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S:\Data_Science\DS_Projects\Excel\"/>
    </mc:Choice>
  </mc:AlternateContent>
  <xr:revisionPtr revIDLastSave="0" documentId="13_ncr:1_{593E0A6C-B851-4941-BE15-B2D0DD5C1993}" xr6:coauthVersionLast="47" xr6:coauthVersionMax="47" xr10:uidLastSave="{00000000-0000-0000-0000-000000000000}"/>
  <bookViews>
    <workbookView xWindow="-102" yWindow="-102" windowWidth="21974" windowHeight="11747" activeTab="3" xr2:uid="{00000000-000D-0000-FFFF-FFFF00000000}"/>
  </bookViews>
  <sheets>
    <sheet name="Call_Data_Table_Sheet" sheetId="1" r:id="rId1"/>
    <sheet name="Icons_Assests_Notes" sheetId="2" r:id="rId2"/>
    <sheet name="PIVOT_Call_Calculation" sheetId="4" r:id="rId3"/>
    <sheet name="Call Center DashBoard_1" sheetId="3" r:id="rId4"/>
  </sheets>
  <definedNames>
    <definedName name="_xlcn.WorksheetConnection_CallCenterDashboardProject.xlsxCall_Custs_Data21" hidden="1">Call_Custs_Data2[]</definedName>
    <definedName name="_xlcn.WorksheetConnection_CallCenterDashboardProject.xlsxCall_Table_Data1" hidden="1">Call_Table_Data[]</definedName>
    <definedName name="Slicer_Representative">#N/A</definedName>
  </definedNames>
  <calcPr calcId="191029"/>
  <pivotCaches>
    <pivotCache cacheId="0" r:id="rId5"/>
    <pivotCache cacheId="1" r:id="rId6"/>
    <pivotCache cacheId="2" r:id="rId7"/>
    <pivotCache cacheId="66" r:id="rId8"/>
    <pivotCache cacheId="69" r:id="rId9"/>
    <pivotCache cacheId="72" r:id="rId10"/>
    <pivotCache cacheId="75" r:id="rId11"/>
    <pivotCache cacheId="78" r:id="rId12"/>
    <pivotCache cacheId="81"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_Table_Data" name="Call_Table_Data" connection="WorksheetConnection_Call Center Dashboard Project.xlsx!Call_Table_Data"/>
          <x15:modelTable id="Call_Custs_Data2" name="Call_Custs_Data2" connection="WorksheetConnection_Call Center Dashboard Project.xlsx!Call_Custs_Data2"/>
        </x15:modelTables>
        <x15:modelRelationships>
          <x15:modelRelationship fromTable="Call_Table_Data" fromColumn="Customer ID" toTable="Call_Custs_Data2" toColumn="Customer ID"/>
        </x15:modelRelationships>
        <x15:extLst>
          <ext xmlns:x16="http://schemas.microsoft.com/office/spreadsheetml/2014/11/main" uri="{9835A34E-60A6-4A7C-AAB8-D5F71C897F49}">
            <x16:modelTimeGroupings>
              <x16:modelTimeGrouping tableName="Call_Table_Data"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08" i="4" l="1"/>
  <c r="H26" i="3" s="1"/>
  <c r="L98" i="4"/>
  <c r="L101" i="4" s="1"/>
  <c r="L97" i="4"/>
  <c r="L100" i="4" s="1"/>
  <c r="L96" i="4"/>
  <c r="L104" i="4" s="1"/>
  <c r="H33" i="3" s="1"/>
  <c r="L16" i="3" a="1"/>
  <c r="L16" i="3" s="1"/>
  <c r="K17" i="3" a="1"/>
  <c r="K17" i="3"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J55" i="4"/>
  <c r="F58" i="4" a="1"/>
  <c r="F58" i="4" s="1"/>
  <c r="K1002" i="1"/>
  <c r="J1002" i="1" a="1"/>
  <c r="J1002" i="1" s="1"/>
  <c r="I1002" i="1"/>
  <c r="K1001" i="1"/>
  <c r="J1001" i="1" a="1"/>
  <c r="J1001" i="1" s="1"/>
  <c r="I1001" i="1"/>
  <c r="K1000" i="1"/>
  <c r="J1000" i="1"/>
  <c r="J1000" i="1" a="1"/>
  <c r="I1000" i="1"/>
  <c r="K999" i="1"/>
  <c r="J999" i="1" a="1"/>
  <c r="J999" i="1" s="1"/>
  <c r="I999" i="1"/>
  <c r="K998" i="1"/>
  <c r="J998" i="1"/>
  <c r="J998" i="1" a="1"/>
  <c r="I998" i="1"/>
  <c r="K997" i="1"/>
  <c r="J997" i="1"/>
  <c r="J997" i="1" a="1"/>
  <c r="I997" i="1"/>
  <c r="K996" i="1"/>
  <c r="J996" i="1"/>
  <c r="J996" i="1" a="1"/>
  <c r="I996" i="1"/>
  <c r="K995" i="1"/>
  <c r="J995" i="1" a="1"/>
  <c r="J995" i="1" s="1"/>
  <c r="I995" i="1"/>
  <c r="K994" i="1"/>
  <c r="J994" i="1" a="1"/>
  <c r="J994" i="1" s="1"/>
  <c r="I994" i="1"/>
  <c r="K993" i="1"/>
  <c r="J993" i="1"/>
  <c r="J993" i="1" a="1"/>
  <c r="I993" i="1"/>
  <c r="K992" i="1"/>
  <c r="J992" i="1"/>
  <c r="J992" i="1" a="1"/>
  <c r="I992" i="1"/>
  <c r="K991" i="1"/>
  <c r="J991" i="1" a="1"/>
  <c r="J991" i="1" s="1"/>
  <c r="I991" i="1"/>
  <c r="K990" i="1"/>
  <c r="J990" i="1"/>
  <c r="J990" i="1" a="1"/>
  <c r="I990" i="1"/>
  <c r="K989" i="1"/>
  <c r="J989" i="1"/>
  <c r="J989" i="1" a="1"/>
  <c r="I989" i="1"/>
  <c r="K988" i="1"/>
  <c r="J988" i="1"/>
  <c r="J988" i="1" a="1"/>
  <c r="I988" i="1"/>
  <c r="K987" i="1"/>
  <c r="J987" i="1" a="1"/>
  <c r="J987" i="1" s="1"/>
  <c r="I987" i="1"/>
  <c r="K986" i="1"/>
  <c r="J986" i="1" a="1"/>
  <c r="J986" i="1" s="1"/>
  <c r="I986" i="1"/>
  <c r="K985" i="1"/>
  <c r="J985" i="1"/>
  <c r="J985" i="1" a="1"/>
  <c r="I985" i="1"/>
  <c r="K984" i="1"/>
  <c r="J984" i="1"/>
  <c r="J984" i="1" a="1"/>
  <c r="I984" i="1"/>
  <c r="K983" i="1"/>
  <c r="J983" i="1" a="1"/>
  <c r="J983" i="1" s="1"/>
  <c r="I983" i="1"/>
  <c r="K982" i="1"/>
  <c r="J982" i="1"/>
  <c r="J982" i="1" a="1"/>
  <c r="I982" i="1"/>
  <c r="K981" i="1"/>
  <c r="J981" i="1"/>
  <c r="J981" i="1" a="1"/>
  <c r="I981" i="1"/>
  <c r="K980" i="1"/>
  <c r="J980" i="1"/>
  <c r="J980" i="1" a="1"/>
  <c r="I980" i="1"/>
  <c r="K979" i="1"/>
  <c r="J979" i="1" a="1"/>
  <c r="J979" i="1" s="1"/>
  <c r="I979" i="1"/>
  <c r="K978" i="1"/>
  <c r="J978" i="1" a="1"/>
  <c r="J978" i="1" s="1"/>
  <c r="I978" i="1"/>
  <c r="K977" i="1"/>
  <c r="J977" i="1"/>
  <c r="J977" i="1" a="1"/>
  <c r="I977" i="1"/>
  <c r="K976" i="1"/>
  <c r="J976" i="1"/>
  <c r="J976" i="1" a="1"/>
  <c r="I976" i="1"/>
  <c r="K975" i="1"/>
  <c r="J975" i="1" a="1"/>
  <c r="J975" i="1" s="1"/>
  <c r="I975" i="1"/>
  <c r="K974" i="1"/>
  <c r="J974" i="1"/>
  <c r="J974" i="1" a="1"/>
  <c r="I974" i="1"/>
  <c r="K973" i="1"/>
  <c r="J973" i="1"/>
  <c r="J973" i="1" a="1"/>
  <c r="I973" i="1"/>
  <c r="K972" i="1"/>
  <c r="J972" i="1"/>
  <c r="J972" i="1" a="1"/>
  <c r="I972" i="1"/>
  <c r="K971" i="1"/>
  <c r="J971" i="1" a="1"/>
  <c r="J971" i="1" s="1"/>
  <c r="I971" i="1"/>
  <c r="K970" i="1"/>
  <c r="J970" i="1" a="1"/>
  <c r="J970" i="1" s="1"/>
  <c r="I970" i="1"/>
  <c r="K969" i="1"/>
  <c r="J969" i="1"/>
  <c r="J969" i="1" a="1"/>
  <c r="I969" i="1"/>
  <c r="K968" i="1"/>
  <c r="J968" i="1"/>
  <c r="J968" i="1" a="1"/>
  <c r="I968" i="1"/>
  <c r="K967" i="1"/>
  <c r="J967" i="1" a="1"/>
  <c r="J967" i="1" s="1"/>
  <c r="I967" i="1"/>
  <c r="K966" i="1"/>
  <c r="J966" i="1"/>
  <c r="J966" i="1" a="1"/>
  <c r="I966" i="1"/>
  <c r="K965" i="1"/>
  <c r="J965" i="1"/>
  <c r="J965" i="1" a="1"/>
  <c r="I965" i="1"/>
  <c r="K964" i="1"/>
  <c r="J964" i="1"/>
  <c r="J964" i="1" a="1"/>
  <c r="I964" i="1"/>
  <c r="K963" i="1"/>
  <c r="J963" i="1" a="1"/>
  <c r="J963" i="1" s="1"/>
  <c r="I963" i="1"/>
  <c r="K962" i="1"/>
  <c r="J962" i="1" a="1"/>
  <c r="J962" i="1" s="1"/>
  <c r="I962" i="1"/>
  <c r="K961" i="1"/>
  <c r="J961" i="1"/>
  <c r="J961" i="1" a="1"/>
  <c r="I961" i="1"/>
  <c r="K960" i="1"/>
  <c r="J960" i="1"/>
  <c r="J960" i="1" a="1"/>
  <c r="I960" i="1"/>
  <c r="K959" i="1"/>
  <c r="J959" i="1" a="1"/>
  <c r="J959" i="1" s="1"/>
  <c r="I959" i="1"/>
  <c r="K958" i="1"/>
  <c r="J958" i="1"/>
  <c r="J958" i="1" a="1"/>
  <c r="I958" i="1"/>
  <c r="K957" i="1"/>
  <c r="J957" i="1"/>
  <c r="J957" i="1" a="1"/>
  <c r="I957" i="1"/>
  <c r="K956" i="1"/>
  <c r="J956" i="1"/>
  <c r="J956" i="1" a="1"/>
  <c r="I956" i="1"/>
  <c r="K955" i="1"/>
  <c r="J955" i="1" a="1"/>
  <c r="J955" i="1" s="1"/>
  <c r="I955" i="1"/>
  <c r="K954" i="1"/>
  <c r="J954" i="1" a="1"/>
  <c r="J954" i="1" s="1"/>
  <c r="I954" i="1"/>
  <c r="K953" i="1"/>
  <c r="J953" i="1"/>
  <c r="J953" i="1" a="1"/>
  <c r="I953" i="1"/>
  <c r="K952" i="1"/>
  <c r="J952" i="1"/>
  <c r="J952" i="1" a="1"/>
  <c r="I952" i="1"/>
  <c r="K951" i="1"/>
  <c r="J951" i="1" a="1"/>
  <c r="J951" i="1" s="1"/>
  <c r="I951" i="1"/>
  <c r="K950" i="1"/>
  <c r="J950" i="1"/>
  <c r="J950" i="1" a="1"/>
  <c r="I950" i="1"/>
  <c r="K949" i="1"/>
  <c r="J949" i="1"/>
  <c r="J949" i="1" a="1"/>
  <c r="I949" i="1"/>
  <c r="K948" i="1"/>
  <c r="J948" i="1"/>
  <c r="J948" i="1" a="1"/>
  <c r="I948" i="1"/>
  <c r="K947" i="1"/>
  <c r="J947" i="1" a="1"/>
  <c r="J947" i="1" s="1"/>
  <c r="I947" i="1"/>
  <c r="K946" i="1"/>
  <c r="J946" i="1" a="1"/>
  <c r="J946" i="1" s="1"/>
  <c r="I946" i="1"/>
  <c r="K945" i="1"/>
  <c r="J945" i="1"/>
  <c r="J945" i="1" a="1"/>
  <c r="I945" i="1"/>
  <c r="K944" i="1"/>
  <c r="J944" i="1"/>
  <c r="J944" i="1" a="1"/>
  <c r="I944" i="1"/>
  <c r="K943" i="1"/>
  <c r="J943" i="1" a="1"/>
  <c r="J943" i="1" s="1"/>
  <c r="I943" i="1"/>
  <c r="K942" i="1"/>
  <c r="J942" i="1"/>
  <c r="J942" i="1" a="1"/>
  <c r="I942" i="1"/>
  <c r="K941" i="1"/>
  <c r="J941" i="1"/>
  <c r="J941" i="1" a="1"/>
  <c r="I941" i="1"/>
  <c r="K940" i="1"/>
  <c r="J940" i="1"/>
  <c r="J940" i="1" a="1"/>
  <c r="I940" i="1"/>
  <c r="K939" i="1"/>
  <c r="J939" i="1" a="1"/>
  <c r="J939" i="1" s="1"/>
  <c r="I939" i="1"/>
  <c r="K938" i="1"/>
  <c r="J938" i="1" a="1"/>
  <c r="J938" i="1" s="1"/>
  <c r="I938" i="1"/>
  <c r="K937" i="1"/>
  <c r="J937" i="1"/>
  <c r="J937" i="1" a="1"/>
  <c r="I937" i="1"/>
  <c r="K936" i="1"/>
  <c r="J936" i="1"/>
  <c r="J936" i="1" a="1"/>
  <c r="I936" i="1"/>
  <c r="K935" i="1"/>
  <c r="J935" i="1" a="1"/>
  <c r="J935" i="1" s="1"/>
  <c r="I935" i="1"/>
  <c r="K934" i="1"/>
  <c r="J934" i="1"/>
  <c r="J934" i="1" a="1"/>
  <c r="I934" i="1"/>
  <c r="K933" i="1"/>
  <c r="J933" i="1"/>
  <c r="J933" i="1" a="1"/>
  <c r="I933" i="1"/>
  <c r="K932" i="1"/>
  <c r="J932" i="1"/>
  <c r="J932" i="1" a="1"/>
  <c r="I932" i="1"/>
  <c r="K931" i="1"/>
  <c r="J931" i="1" a="1"/>
  <c r="J931" i="1" s="1"/>
  <c r="I931" i="1"/>
  <c r="K930" i="1"/>
  <c r="J930" i="1" a="1"/>
  <c r="J930" i="1" s="1"/>
  <c r="I930" i="1"/>
  <c r="K929" i="1"/>
  <c r="J929" i="1"/>
  <c r="J929" i="1" a="1"/>
  <c r="I929" i="1"/>
  <c r="K928" i="1"/>
  <c r="J928" i="1"/>
  <c r="J928" i="1" a="1"/>
  <c r="I928" i="1"/>
  <c r="K927" i="1"/>
  <c r="J927" i="1" a="1"/>
  <c r="J927" i="1" s="1"/>
  <c r="I927" i="1"/>
  <c r="K926" i="1"/>
  <c r="J926" i="1"/>
  <c r="J926" i="1" a="1"/>
  <c r="I926" i="1"/>
  <c r="K925" i="1"/>
  <c r="J925" i="1"/>
  <c r="J925" i="1" a="1"/>
  <c r="I925" i="1"/>
  <c r="K924" i="1"/>
  <c r="J924" i="1"/>
  <c r="J924" i="1" a="1"/>
  <c r="I924" i="1"/>
  <c r="K923" i="1"/>
  <c r="J923" i="1" a="1"/>
  <c r="J923" i="1" s="1"/>
  <c r="I923" i="1"/>
  <c r="K922" i="1"/>
  <c r="J922" i="1" a="1"/>
  <c r="J922" i="1" s="1"/>
  <c r="I922" i="1"/>
  <c r="K921" i="1"/>
  <c r="J921" i="1"/>
  <c r="J921" i="1" a="1"/>
  <c r="I921" i="1"/>
  <c r="K920" i="1"/>
  <c r="J920" i="1"/>
  <c r="J920" i="1" a="1"/>
  <c r="I920" i="1"/>
  <c r="K919" i="1"/>
  <c r="J919" i="1" a="1"/>
  <c r="J919" i="1" s="1"/>
  <c r="I919" i="1"/>
  <c r="K918" i="1"/>
  <c r="J918" i="1"/>
  <c r="J918" i="1" a="1"/>
  <c r="I918" i="1"/>
  <c r="K917" i="1"/>
  <c r="J917" i="1"/>
  <c r="J917" i="1" a="1"/>
  <c r="I917" i="1"/>
  <c r="K916" i="1"/>
  <c r="J916" i="1"/>
  <c r="J916" i="1" a="1"/>
  <c r="I916" i="1"/>
  <c r="K915" i="1"/>
  <c r="J915" i="1" a="1"/>
  <c r="J915" i="1" s="1"/>
  <c r="I915" i="1"/>
  <c r="K914" i="1"/>
  <c r="J914" i="1" a="1"/>
  <c r="J914" i="1" s="1"/>
  <c r="I914" i="1"/>
  <c r="K913" i="1"/>
  <c r="J913" i="1"/>
  <c r="J913" i="1" a="1"/>
  <c r="I913" i="1"/>
  <c r="K912" i="1"/>
  <c r="J912" i="1"/>
  <c r="J912" i="1" a="1"/>
  <c r="I912" i="1"/>
  <c r="K911" i="1"/>
  <c r="J911" i="1" a="1"/>
  <c r="J911" i="1" s="1"/>
  <c r="I911" i="1"/>
  <c r="K910" i="1"/>
  <c r="J910" i="1"/>
  <c r="J910" i="1" a="1"/>
  <c r="I910" i="1"/>
  <c r="K909" i="1"/>
  <c r="J909" i="1"/>
  <c r="J909" i="1" a="1"/>
  <c r="I909" i="1"/>
  <c r="K908" i="1"/>
  <c r="J908" i="1" a="1"/>
  <c r="J908" i="1" s="1"/>
  <c r="I908" i="1"/>
  <c r="K907" i="1"/>
  <c r="J907" i="1" a="1"/>
  <c r="J907" i="1" s="1"/>
  <c r="I907" i="1"/>
  <c r="K906" i="1"/>
  <c r="J906" i="1" a="1"/>
  <c r="J906" i="1" s="1"/>
  <c r="I906" i="1"/>
  <c r="K905" i="1"/>
  <c r="J905" i="1"/>
  <c r="J905" i="1" a="1"/>
  <c r="I905" i="1"/>
  <c r="K904" i="1"/>
  <c r="J904" i="1"/>
  <c r="J904" i="1" a="1"/>
  <c r="I904" i="1"/>
  <c r="K903" i="1"/>
  <c r="J903" i="1" a="1"/>
  <c r="J903" i="1" s="1"/>
  <c r="I903" i="1"/>
  <c r="K902" i="1"/>
  <c r="J902" i="1"/>
  <c r="J902" i="1" a="1"/>
  <c r="I902" i="1"/>
  <c r="K901" i="1"/>
  <c r="J901" i="1"/>
  <c r="J901" i="1" a="1"/>
  <c r="I901" i="1"/>
  <c r="K900" i="1"/>
  <c r="J900" i="1"/>
  <c r="J900" i="1" a="1"/>
  <c r="I900" i="1"/>
  <c r="K899" i="1"/>
  <c r="J899" i="1" a="1"/>
  <c r="J899" i="1" s="1"/>
  <c r="I899" i="1"/>
  <c r="K898" i="1"/>
  <c r="J898" i="1" a="1"/>
  <c r="J898" i="1" s="1"/>
  <c r="I898" i="1"/>
  <c r="K897" i="1"/>
  <c r="J897" i="1"/>
  <c r="J897" i="1" a="1"/>
  <c r="I897" i="1"/>
  <c r="K896" i="1"/>
  <c r="J896" i="1"/>
  <c r="J896" i="1" a="1"/>
  <c r="I896" i="1"/>
  <c r="K895" i="1"/>
  <c r="J895" i="1" a="1"/>
  <c r="J895" i="1" s="1"/>
  <c r="I895" i="1"/>
  <c r="K894" i="1"/>
  <c r="J894" i="1"/>
  <c r="J894" i="1" a="1"/>
  <c r="I894" i="1"/>
  <c r="K893" i="1"/>
  <c r="J893" i="1"/>
  <c r="J893" i="1" a="1"/>
  <c r="I893" i="1"/>
  <c r="K892" i="1"/>
  <c r="J892" i="1"/>
  <c r="J892" i="1" a="1"/>
  <c r="I892" i="1"/>
  <c r="K891" i="1"/>
  <c r="J891" i="1" a="1"/>
  <c r="J891" i="1" s="1"/>
  <c r="I891" i="1"/>
  <c r="K890" i="1"/>
  <c r="J890" i="1" a="1"/>
  <c r="J890" i="1" s="1"/>
  <c r="I890" i="1"/>
  <c r="K889" i="1"/>
  <c r="J889" i="1"/>
  <c r="J889" i="1" a="1"/>
  <c r="I889" i="1"/>
  <c r="K888" i="1"/>
  <c r="J888" i="1"/>
  <c r="J888" i="1" a="1"/>
  <c r="I888" i="1"/>
  <c r="K887" i="1"/>
  <c r="J887" i="1" a="1"/>
  <c r="J887" i="1" s="1"/>
  <c r="I887" i="1"/>
  <c r="K886" i="1"/>
  <c r="J886" i="1"/>
  <c r="J886" i="1" a="1"/>
  <c r="I886" i="1"/>
  <c r="K885" i="1"/>
  <c r="J885" i="1"/>
  <c r="J885" i="1" a="1"/>
  <c r="I885" i="1"/>
  <c r="K884" i="1"/>
  <c r="J884" i="1"/>
  <c r="J884" i="1" a="1"/>
  <c r="I884" i="1"/>
  <c r="K883" i="1"/>
  <c r="J883" i="1" a="1"/>
  <c r="J883" i="1" s="1"/>
  <c r="I883" i="1"/>
  <c r="K882" i="1"/>
  <c r="J882" i="1" a="1"/>
  <c r="J882" i="1" s="1"/>
  <c r="I882" i="1"/>
  <c r="K881" i="1"/>
  <c r="J881" i="1"/>
  <c r="J881" i="1" a="1"/>
  <c r="I881" i="1"/>
  <c r="K880" i="1"/>
  <c r="J880" i="1"/>
  <c r="J880" i="1" a="1"/>
  <c r="I880" i="1"/>
  <c r="K879" i="1"/>
  <c r="J879" i="1" a="1"/>
  <c r="J879" i="1" s="1"/>
  <c r="I879" i="1"/>
  <c r="K878" i="1"/>
  <c r="J878" i="1"/>
  <c r="J878" i="1" a="1"/>
  <c r="I878" i="1"/>
  <c r="K877" i="1"/>
  <c r="J877" i="1"/>
  <c r="J877" i="1" a="1"/>
  <c r="I877" i="1"/>
  <c r="K876" i="1"/>
  <c r="J876" i="1"/>
  <c r="J876" i="1" a="1"/>
  <c r="I876" i="1"/>
  <c r="K875" i="1"/>
  <c r="J875" i="1" a="1"/>
  <c r="J875" i="1" s="1"/>
  <c r="I875" i="1"/>
  <c r="K874" i="1"/>
  <c r="J874" i="1" a="1"/>
  <c r="J874" i="1" s="1"/>
  <c r="I874" i="1"/>
  <c r="K873" i="1"/>
  <c r="J873" i="1"/>
  <c r="J873" i="1" a="1"/>
  <c r="I873" i="1"/>
  <c r="K872" i="1"/>
  <c r="J872" i="1"/>
  <c r="J872" i="1" a="1"/>
  <c r="I872" i="1"/>
  <c r="K871" i="1"/>
  <c r="J871" i="1" a="1"/>
  <c r="J871" i="1" s="1"/>
  <c r="I871" i="1"/>
  <c r="K870" i="1"/>
  <c r="J870" i="1"/>
  <c r="J870" i="1" a="1"/>
  <c r="I870" i="1"/>
  <c r="K869" i="1"/>
  <c r="J869" i="1"/>
  <c r="J869" i="1" a="1"/>
  <c r="I869" i="1"/>
  <c r="K868" i="1"/>
  <c r="J868" i="1"/>
  <c r="J868" i="1" a="1"/>
  <c r="I868" i="1"/>
  <c r="K867" i="1"/>
  <c r="J867" i="1" a="1"/>
  <c r="J867" i="1" s="1"/>
  <c r="I867" i="1"/>
  <c r="K866" i="1"/>
  <c r="J866" i="1" a="1"/>
  <c r="J866" i="1" s="1"/>
  <c r="I866" i="1"/>
  <c r="K865" i="1"/>
  <c r="J865" i="1"/>
  <c r="J865" i="1" a="1"/>
  <c r="I865" i="1"/>
  <c r="K864" i="1"/>
  <c r="J864" i="1"/>
  <c r="J864" i="1" a="1"/>
  <c r="I864" i="1"/>
  <c r="K863" i="1"/>
  <c r="J863" i="1" a="1"/>
  <c r="J863" i="1" s="1"/>
  <c r="I863" i="1"/>
  <c r="K862" i="1"/>
  <c r="J862" i="1"/>
  <c r="J862" i="1" a="1"/>
  <c r="I862" i="1"/>
  <c r="K861" i="1"/>
  <c r="J861" i="1"/>
  <c r="J861" i="1" a="1"/>
  <c r="I861" i="1"/>
  <c r="K860" i="1"/>
  <c r="J860" i="1"/>
  <c r="J860" i="1" a="1"/>
  <c r="I860" i="1"/>
  <c r="K859" i="1"/>
  <c r="J859" i="1" a="1"/>
  <c r="J859" i="1" s="1"/>
  <c r="I859" i="1"/>
  <c r="K858" i="1"/>
  <c r="J858" i="1" a="1"/>
  <c r="J858" i="1" s="1"/>
  <c r="I858" i="1"/>
  <c r="K857" i="1"/>
  <c r="J857" i="1"/>
  <c r="J857" i="1" a="1"/>
  <c r="I857" i="1"/>
  <c r="K856" i="1"/>
  <c r="J856" i="1"/>
  <c r="J856" i="1" a="1"/>
  <c r="I856" i="1"/>
  <c r="K855" i="1"/>
  <c r="J855" i="1" a="1"/>
  <c r="J855" i="1" s="1"/>
  <c r="I855" i="1"/>
  <c r="K854" i="1"/>
  <c r="J854" i="1"/>
  <c r="J854" i="1" a="1"/>
  <c r="I854" i="1"/>
  <c r="K853" i="1"/>
  <c r="J853" i="1"/>
  <c r="J853" i="1" a="1"/>
  <c r="I853" i="1"/>
  <c r="K852" i="1"/>
  <c r="J852" i="1"/>
  <c r="J852" i="1" a="1"/>
  <c r="I852" i="1"/>
  <c r="K851" i="1"/>
  <c r="J851" i="1" a="1"/>
  <c r="J851" i="1" s="1"/>
  <c r="I851" i="1"/>
  <c r="K850" i="1"/>
  <c r="J850" i="1" a="1"/>
  <c r="J850" i="1" s="1"/>
  <c r="I850" i="1"/>
  <c r="K849" i="1"/>
  <c r="J849" i="1"/>
  <c r="J849" i="1" a="1"/>
  <c r="I849" i="1"/>
  <c r="K848" i="1"/>
  <c r="J848" i="1"/>
  <c r="J848" i="1" a="1"/>
  <c r="I848" i="1"/>
  <c r="K847" i="1"/>
  <c r="J847" i="1" a="1"/>
  <c r="J847" i="1" s="1"/>
  <c r="I847" i="1"/>
  <c r="K846" i="1"/>
  <c r="J846" i="1"/>
  <c r="J846" i="1" a="1"/>
  <c r="I846" i="1"/>
  <c r="K845" i="1"/>
  <c r="J845" i="1"/>
  <c r="J845" i="1" a="1"/>
  <c r="I845" i="1"/>
  <c r="K844" i="1"/>
  <c r="J844" i="1"/>
  <c r="J844" i="1" a="1"/>
  <c r="I844" i="1"/>
  <c r="K843" i="1"/>
  <c r="J843" i="1" a="1"/>
  <c r="J843" i="1" s="1"/>
  <c r="I843" i="1"/>
  <c r="K842" i="1"/>
  <c r="J842" i="1" a="1"/>
  <c r="J842" i="1" s="1"/>
  <c r="I842" i="1"/>
  <c r="K841" i="1"/>
  <c r="J841" i="1"/>
  <c r="J841" i="1" a="1"/>
  <c r="I841" i="1"/>
  <c r="K840" i="1"/>
  <c r="J840" i="1"/>
  <c r="J840" i="1" a="1"/>
  <c r="I840" i="1"/>
  <c r="K839" i="1"/>
  <c r="J839" i="1" a="1"/>
  <c r="J839" i="1" s="1"/>
  <c r="I839" i="1"/>
  <c r="K838" i="1"/>
  <c r="J838" i="1"/>
  <c r="J838" i="1" a="1"/>
  <c r="I838" i="1"/>
  <c r="K837" i="1"/>
  <c r="J837" i="1"/>
  <c r="J837" i="1" a="1"/>
  <c r="I837" i="1"/>
  <c r="K836" i="1"/>
  <c r="J836" i="1"/>
  <c r="J836" i="1" a="1"/>
  <c r="I836" i="1"/>
  <c r="K835" i="1"/>
  <c r="J835" i="1" a="1"/>
  <c r="J835" i="1" s="1"/>
  <c r="I835" i="1"/>
  <c r="K834" i="1"/>
  <c r="J834" i="1" a="1"/>
  <c r="J834" i="1" s="1"/>
  <c r="I834" i="1"/>
  <c r="K833" i="1"/>
  <c r="J833" i="1"/>
  <c r="J833" i="1" a="1"/>
  <c r="I833" i="1"/>
  <c r="K832" i="1"/>
  <c r="J832" i="1"/>
  <c r="J832" i="1" a="1"/>
  <c r="I832" i="1"/>
  <c r="K831" i="1"/>
  <c r="J831" i="1" a="1"/>
  <c r="J831" i="1" s="1"/>
  <c r="I831" i="1"/>
  <c r="K830" i="1"/>
  <c r="J830" i="1"/>
  <c r="J830" i="1" a="1"/>
  <c r="I830" i="1"/>
  <c r="K829" i="1"/>
  <c r="J829" i="1"/>
  <c r="J829" i="1" a="1"/>
  <c r="I829" i="1"/>
  <c r="K828" i="1"/>
  <c r="J828" i="1"/>
  <c r="J828" i="1" a="1"/>
  <c r="I828" i="1"/>
  <c r="K827" i="1"/>
  <c r="J827" i="1" a="1"/>
  <c r="J827" i="1" s="1"/>
  <c r="I827" i="1"/>
  <c r="K826" i="1"/>
  <c r="J826" i="1" a="1"/>
  <c r="J826" i="1" s="1"/>
  <c r="I826" i="1"/>
  <c r="K825" i="1"/>
  <c r="J825" i="1" a="1"/>
  <c r="J825" i="1" s="1"/>
  <c r="I825" i="1"/>
  <c r="K824" i="1"/>
  <c r="J824" i="1"/>
  <c r="J824" i="1" a="1"/>
  <c r="I824" i="1"/>
  <c r="K823" i="1"/>
  <c r="J823" i="1" a="1"/>
  <c r="J823" i="1" s="1"/>
  <c r="I823" i="1"/>
  <c r="K822" i="1"/>
  <c r="J822" i="1"/>
  <c r="J822" i="1" a="1"/>
  <c r="I822" i="1"/>
  <c r="K821" i="1"/>
  <c r="J821" i="1"/>
  <c r="J821" i="1" a="1"/>
  <c r="I821" i="1"/>
  <c r="K820" i="1"/>
  <c r="J820" i="1"/>
  <c r="J820" i="1" a="1"/>
  <c r="I820" i="1"/>
  <c r="K819" i="1"/>
  <c r="J819" i="1" a="1"/>
  <c r="J819" i="1" s="1"/>
  <c r="I819" i="1"/>
  <c r="K818" i="1"/>
  <c r="J818" i="1" a="1"/>
  <c r="J818" i="1" s="1"/>
  <c r="I818" i="1"/>
  <c r="K817" i="1"/>
  <c r="J817" i="1" a="1"/>
  <c r="J817" i="1" s="1"/>
  <c r="I817" i="1"/>
  <c r="K816" i="1"/>
  <c r="J816" i="1"/>
  <c r="J816" i="1" a="1"/>
  <c r="I816" i="1"/>
  <c r="K815" i="1"/>
  <c r="J815" i="1" a="1"/>
  <c r="J815" i="1" s="1"/>
  <c r="I815" i="1"/>
  <c r="K814" i="1"/>
  <c r="J814" i="1"/>
  <c r="J814" i="1" a="1"/>
  <c r="I814" i="1"/>
  <c r="K813" i="1"/>
  <c r="J813" i="1"/>
  <c r="J813" i="1" a="1"/>
  <c r="I813" i="1"/>
  <c r="K812" i="1"/>
  <c r="J812" i="1" a="1"/>
  <c r="J812" i="1" s="1"/>
  <c r="I812" i="1"/>
  <c r="K811" i="1"/>
  <c r="J811" i="1" a="1"/>
  <c r="J811" i="1" s="1"/>
  <c r="I811" i="1"/>
  <c r="K810" i="1"/>
  <c r="J810" i="1" a="1"/>
  <c r="J810" i="1" s="1"/>
  <c r="I810" i="1"/>
  <c r="K809" i="1"/>
  <c r="J809" i="1" a="1"/>
  <c r="J809" i="1" s="1"/>
  <c r="I809" i="1"/>
  <c r="K808" i="1"/>
  <c r="J808" i="1"/>
  <c r="J808" i="1" a="1"/>
  <c r="I808" i="1"/>
  <c r="K807" i="1"/>
  <c r="J807" i="1" a="1"/>
  <c r="J807" i="1" s="1"/>
  <c r="I807" i="1"/>
  <c r="K806" i="1"/>
  <c r="J806" i="1"/>
  <c r="J806" i="1" a="1"/>
  <c r="I806" i="1"/>
  <c r="K805" i="1"/>
  <c r="J805" i="1"/>
  <c r="J805" i="1" a="1"/>
  <c r="I805" i="1"/>
  <c r="K804" i="1"/>
  <c r="J804" i="1" a="1"/>
  <c r="J804" i="1" s="1"/>
  <c r="I804" i="1"/>
  <c r="K803" i="1"/>
  <c r="J803" i="1" a="1"/>
  <c r="J803" i="1" s="1"/>
  <c r="I803" i="1"/>
  <c r="K802" i="1"/>
  <c r="J802" i="1" a="1"/>
  <c r="J802" i="1" s="1"/>
  <c r="I802" i="1"/>
  <c r="K801" i="1"/>
  <c r="J801" i="1" a="1"/>
  <c r="J801" i="1" s="1"/>
  <c r="I801" i="1"/>
  <c r="K800" i="1"/>
  <c r="J800" i="1"/>
  <c r="J800" i="1" a="1"/>
  <c r="I800" i="1"/>
  <c r="K799" i="1"/>
  <c r="J799" i="1" a="1"/>
  <c r="J799" i="1" s="1"/>
  <c r="I799" i="1"/>
  <c r="K798" i="1"/>
  <c r="J798" i="1"/>
  <c r="J798" i="1" a="1"/>
  <c r="I798" i="1"/>
  <c r="K797" i="1"/>
  <c r="J797" i="1"/>
  <c r="J797" i="1" a="1"/>
  <c r="I797" i="1"/>
  <c r="K796" i="1"/>
  <c r="J796" i="1" a="1"/>
  <c r="J796" i="1" s="1"/>
  <c r="I796" i="1"/>
  <c r="K795" i="1"/>
  <c r="J795" i="1" a="1"/>
  <c r="J795" i="1" s="1"/>
  <c r="I795" i="1"/>
  <c r="K794" i="1"/>
  <c r="J794" i="1" a="1"/>
  <c r="J794" i="1" s="1"/>
  <c r="I794" i="1"/>
  <c r="K793" i="1"/>
  <c r="J793" i="1" a="1"/>
  <c r="J793" i="1" s="1"/>
  <c r="I793" i="1"/>
  <c r="K792" i="1"/>
  <c r="J792" i="1"/>
  <c r="J792" i="1" a="1"/>
  <c r="I792" i="1"/>
  <c r="K791" i="1"/>
  <c r="J791" i="1" a="1"/>
  <c r="J791" i="1" s="1"/>
  <c r="I791" i="1"/>
  <c r="K790" i="1"/>
  <c r="J790" i="1"/>
  <c r="J790" i="1" a="1"/>
  <c r="I790" i="1"/>
  <c r="K789" i="1"/>
  <c r="J789" i="1"/>
  <c r="J789" i="1" a="1"/>
  <c r="I789" i="1"/>
  <c r="K788" i="1"/>
  <c r="J788" i="1" a="1"/>
  <c r="J788" i="1" s="1"/>
  <c r="I788" i="1"/>
  <c r="K787" i="1"/>
  <c r="J787" i="1" a="1"/>
  <c r="J787" i="1" s="1"/>
  <c r="I787" i="1"/>
  <c r="K786" i="1"/>
  <c r="J786" i="1" a="1"/>
  <c r="J786" i="1" s="1"/>
  <c r="I786" i="1"/>
  <c r="K785" i="1"/>
  <c r="J785" i="1" a="1"/>
  <c r="J785" i="1" s="1"/>
  <c r="I785" i="1"/>
  <c r="K784" i="1"/>
  <c r="J784" i="1"/>
  <c r="J784" i="1" a="1"/>
  <c r="I784" i="1"/>
  <c r="K783" i="1"/>
  <c r="J783" i="1" a="1"/>
  <c r="J783" i="1" s="1"/>
  <c r="I783" i="1"/>
  <c r="K782" i="1"/>
  <c r="J782" i="1"/>
  <c r="J782" i="1" a="1"/>
  <c r="I782" i="1"/>
  <c r="K781" i="1"/>
  <c r="J781" i="1"/>
  <c r="J781" i="1" a="1"/>
  <c r="I781" i="1"/>
  <c r="K780" i="1"/>
  <c r="J780" i="1" a="1"/>
  <c r="J780" i="1" s="1"/>
  <c r="I780" i="1"/>
  <c r="K779" i="1"/>
  <c r="J779" i="1" a="1"/>
  <c r="J779" i="1" s="1"/>
  <c r="I779" i="1"/>
  <c r="K778" i="1"/>
  <c r="J778" i="1" a="1"/>
  <c r="J778" i="1" s="1"/>
  <c r="I778" i="1"/>
  <c r="K777" i="1"/>
  <c r="J777" i="1" a="1"/>
  <c r="J777" i="1" s="1"/>
  <c r="I777" i="1"/>
  <c r="K776" i="1"/>
  <c r="J776" i="1"/>
  <c r="J776" i="1" a="1"/>
  <c r="I776" i="1"/>
  <c r="K775" i="1"/>
  <c r="J775" i="1" a="1"/>
  <c r="J775" i="1" s="1"/>
  <c r="I775" i="1"/>
  <c r="K774" i="1"/>
  <c r="J774" i="1"/>
  <c r="J774" i="1" a="1"/>
  <c r="I774" i="1"/>
  <c r="K773" i="1"/>
  <c r="J773" i="1"/>
  <c r="J773" i="1" a="1"/>
  <c r="I773" i="1"/>
  <c r="K772" i="1"/>
  <c r="J772" i="1" a="1"/>
  <c r="J772" i="1" s="1"/>
  <c r="I772" i="1"/>
  <c r="K771" i="1"/>
  <c r="J771" i="1" a="1"/>
  <c r="J771" i="1" s="1"/>
  <c r="I771" i="1"/>
  <c r="K770" i="1"/>
  <c r="J770" i="1" a="1"/>
  <c r="J770" i="1" s="1"/>
  <c r="I770" i="1"/>
  <c r="K769" i="1"/>
  <c r="J769" i="1" a="1"/>
  <c r="J769" i="1" s="1"/>
  <c r="I769" i="1"/>
  <c r="K768" i="1"/>
  <c r="J768" i="1"/>
  <c r="J768" i="1" a="1"/>
  <c r="I768" i="1"/>
  <c r="K767" i="1"/>
  <c r="J767" i="1" a="1"/>
  <c r="J767" i="1" s="1"/>
  <c r="I767" i="1"/>
  <c r="K766" i="1"/>
  <c r="J766" i="1"/>
  <c r="J766" i="1" a="1"/>
  <c r="I766" i="1"/>
  <c r="K765" i="1"/>
  <c r="J765" i="1"/>
  <c r="J765" i="1" a="1"/>
  <c r="I765" i="1"/>
  <c r="K764" i="1"/>
  <c r="J764" i="1" a="1"/>
  <c r="J764" i="1" s="1"/>
  <c r="I764" i="1"/>
  <c r="K763" i="1"/>
  <c r="J763" i="1" a="1"/>
  <c r="J763" i="1" s="1"/>
  <c r="I763" i="1"/>
  <c r="K762" i="1"/>
  <c r="J762" i="1" a="1"/>
  <c r="J762" i="1" s="1"/>
  <c r="I762" i="1"/>
  <c r="K761" i="1"/>
  <c r="J761" i="1" a="1"/>
  <c r="J761" i="1" s="1"/>
  <c r="I761" i="1"/>
  <c r="K760" i="1"/>
  <c r="J760" i="1"/>
  <c r="J760" i="1" a="1"/>
  <c r="I760" i="1"/>
  <c r="K759" i="1"/>
  <c r="J759" i="1" a="1"/>
  <c r="J759" i="1" s="1"/>
  <c r="I759" i="1"/>
  <c r="K758" i="1"/>
  <c r="J758" i="1"/>
  <c r="J758" i="1" a="1"/>
  <c r="I758" i="1"/>
  <c r="K757" i="1"/>
  <c r="J757" i="1"/>
  <c r="J757" i="1" a="1"/>
  <c r="I757" i="1"/>
  <c r="K756" i="1"/>
  <c r="J756" i="1" a="1"/>
  <c r="J756" i="1" s="1"/>
  <c r="I756" i="1"/>
  <c r="K755" i="1"/>
  <c r="J755" i="1" a="1"/>
  <c r="J755" i="1" s="1"/>
  <c r="I755" i="1"/>
  <c r="K754" i="1"/>
  <c r="J754" i="1" a="1"/>
  <c r="J754" i="1" s="1"/>
  <c r="I754" i="1"/>
  <c r="K753" i="1"/>
  <c r="J753" i="1" a="1"/>
  <c r="J753" i="1" s="1"/>
  <c r="I753" i="1"/>
  <c r="K752" i="1"/>
  <c r="J752" i="1"/>
  <c r="J752" i="1" a="1"/>
  <c r="I752" i="1"/>
  <c r="K751" i="1"/>
  <c r="J751" i="1" a="1"/>
  <c r="J751" i="1" s="1"/>
  <c r="I751" i="1"/>
  <c r="K750" i="1"/>
  <c r="J750" i="1"/>
  <c r="J750" i="1" a="1"/>
  <c r="I750" i="1"/>
  <c r="K749" i="1"/>
  <c r="J749" i="1"/>
  <c r="J749" i="1" a="1"/>
  <c r="I749" i="1"/>
  <c r="K748" i="1"/>
  <c r="J748" i="1" a="1"/>
  <c r="J748" i="1" s="1"/>
  <c r="I748" i="1"/>
  <c r="K747" i="1"/>
  <c r="J747" i="1" a="1"/>
  <c r="J747" i="1" s="1"/>
  <c r="I747" i="1"/>
  <c r="K746" i="1"/>
  <c r="J746" i="1" a="1"/>
  <c r="J746" i="1" s="1"/>
  <c r="I746" i="1"/>
  <c r="K745" i="1"/>
  <c r="J745" i="1" a="1"/>
  <c r="J745" i="1" s="1"/>
  <c r="I745" i="1"/>
  <c r="K744" i="1"/>
  <c r="J744" i="1"/>
  <c r="J744" i="1" a="1"/>
  <c r="I744" i="1"/>
  <c r="K743" i="1"/>
  <c r="J743" i="1" a="1"/>
  <c r="J743" i="1" s="1"/>
  <c r="I743" i="1"/>
  <c r="K742" i="1"/>
  <c r="J742" i="1"/>
  <c r="J742" i="1" a="1"/>
  <c r="I742" i="1"/>
  <c r="K741" i="1"/>
  <c r="J741" i="1"/>
  <c r="J741" i="1" a="1"/>
  <c r="I741" i="1"/>
  <c r="K740" i="1"/>
  <c r="J740" i="1" a="1"/>
  <c r="J740" i="1" s="1"/>
  <c r="I740" i="1"/>
  <c r="K739" i="1"/>
  <c r="J739" i="1" a="1"/>
  <c r="J739" i="1" s="1"/>
  <c r="I739" i="1"/>
  <c r="K738" i="1"/>
  <c r="J738" i="1" a="1"/>
  <c r="J738" i="1" s="1"/>
  <c r="I738" i="1"/>
  <c r="K737" i="1"/>
  <c r="J737" i="1" a="1"/>
  <c r="J737" i="1" s="1"/>
  <c r="I737" i="1"/>
  <c r="K736" i="1"/>
  <c r="J736" i="1"/>
  <c r="J736" i="1" a="1"/>
  <c r="I736" i="1"/>
  <c r="K735" i="1"/>
  <c r="J735" i="1" a="1"/>
  <c r="J735" i="1" s="1"/>
  <c r="I735" i="1"/>
  <c r="K734" i="1"/>
  <c r="J734" i="1"/>
  <c r="J734" i="1" a="1"/>
  <c r="I734" i="1"/>
  <c r="K733" i="1"/>
  <c r="J733" i="1"/>
  <c r="J733" i="1" a="1"/>
  <c r="I733" i="1"/>
  <c r="K732" i="1"/>
  <c r="J732" i="1" a="1"/>
  <c r="J732" i="1" s="1"/>
  <c r="I732" i="1"/>
  <c r="K731" i="1"/>
  <c r="J731" i="1" a="1"/>
  <c r="J731" i="1" s="1"/>
  <c r="I731" i="1"/>
  <c r="K730" i="1"/>
  <c r="J730" i="1" a="1"/>
  <c r="J730" i="1" s="1"/>
  <c r="I730" i="1"/>
  <c r="K729" i="1"/>
  <c r="J729" i="1" a="1"/>
  <c r="J729" i="1" s="1"/>
  <c r="I729" i="1"/>
  <c r="K728" i="1"/>
  <c r="J728" i="1"/>
  <c r="J728" i="1" a="1"/>
  <c r="I728" i="1"/>
  <c r="K727" i="1"/>
  <c r="J727" i="1" a="1"/>
  <c r="J727" i="1" s="1"/>
  <c r="I727" i="1"/>
  <c r="K726" i="1"/>
  <c r="J726" i="1"/>
  <c r="J726" i="1" a="1"/>
  <c r="I726" i="1"/>
  <c r="K725" i="1"/>
  <c r="J725" i="1"/>
  <c r="J725" i="1" a="1"/>
  <c r="I725" i="1"/>
  <c r="K724" i="1"/>
  <c r="J724" i="1" a="1"/>
  <c r="J724" i="1" s="1"/>
  <c r="I724" i="1"/>
  <c r="K723" i="1"/>
  <c r="J723" i="1" a="1"/>
  <c r="J723" i="1" s="1"/>
  <c r="I723" i="1"/>
  <c r="K722" i="1"/>
  <c r="J722" i="1" a="1"/>
  <c r="J722" i="1" s="1"/>
  <c r="I722" i="1"/>
  <c r="K721" i="1"/>
  <c r="J721" i="1" a="1"/>
  <c r="J721" i="1" s="1"/>
  <c r="I721" i="1"/>
  <c r="K720" i="1"/>
  <c r="J720" i="1"/>
  <c r="J720" i="1" a="1"/>
  <c r="I720" i="1"/>
  <c r="K719" i="1"/>
  <c r="J719" i="1" a="1"/>
  <c r="J719" i="1" s="1"/>
  <c r="I719" i="1"/>
  <c r="K718" i="1"/>
  <c r="J718" i="1"/>
  <c r="J718" i="1" a="1"/>
  <c r="I718" i="1"/>
  <c r="K717" i="1"/>
  <c r="J717" i="1"/>
  <c r="J717" i="1" a="1"/>
  <c r="I717" i="1"/>
  <c r="K716" i="1"/>
  <c r="J716" i="1" a="1"/>
  <c r="J716" i="1" s="1"/>
  <c r="I716" i="1"/>
  <c r="K715" i="1"/>
  <c r="J715" i="1" a="1"/>
  <c r="J715" i="1" s="1"/>
  <c r="I715" i="1"/>
  <c r="K714" i="1"/>
  <c r="J714" i="1" a="1"/>
  <c r="J714" i="1" s="1"/>
  <c r="I714" i="1"/>
  <c r="K713" i="1"/>
  <c r="J713" i="1" a="1"/>
  <c r="J713" i="1" s="1"/>
  <c r="I713" i="1"/>
  <c r="K712" i="1"/>
  <c r="J712" i="1"/>
  <c r="J712" i="1" a="1"/>
  <c r="I712" i="1"/>
  <c r="K711" i="1"/>
  <c r="J711" i="1" a="1"/>
  <c r="J711" i="1" s="1"/>
  <c r="I711" i="1"/>
  <c r="K710" i="1"/>
  <c r="J710" i="1"/>
  <c r="J710" i="1" a="1"/>
  <c r="I710" i="1"/>
  <c r="K709" i="1"/>
  <c r="J709" i="1"/>
  <c r="J709" i="1" a="1"/>
  <c r="I709" i="1"/>
  <c r="K708" i="1"/>
  <c r="J708" i="1" a="1"/>
  <c r="J708" i="1" s="1"/>
  <c r="I708" i="1"/>
  <c r="K707" i="1"/>
  <c r="J707" i="1" a="1"/>
  <c r="J707" i="1" s="1"/>
  <c r="I707" i="1"/>
  <c r="K706" i="1"/>
  <c r="J706" i="1" a="1"/>
  <c r="J706" i="1" s="1"/>
  <c r="I706" i="1"/>
  <c r="K705" i="1"/>
  <c r="J705" i="1" a="1"/>
  <c r="J705" i="1" s="1"/>
  <c r="I705" i="1"/>
  <c r="K704" i="1"/>
  <c r="J704" i="1"/>
  <c r="J704" i="1" a="1"/>
  <c r="I704" i="1"/>
  <c r="K703" i="1"/>
  <c r="J703" i="1" a="1"/>
  <c r="J703" i="1" s="1"/>
  <c r="I703" i="1"/>
  <c r="K702" i="1"/>
  <c r="J702" i="1"/>
  <c r="J702" i="1" a="1"/>
  <c r="I702" i="1"/>
  <c r="K701" i="1"/>
  <c r="J701" i="1"/>
  <c r="J701" i="1" a="1"/>
  <c r="I701" i="1"/>
  <c r="K700" i="1"/>
  <c r="J700" i="1" a="1"/>
  <c r="J700" i="1" s="1"/>
  <c r="I700" i="1"/>
  <c r="K699" i="1"/>
  <c r="J699" i="1" a="1"/>
  <c r="J699" i="1" s="1"/>
  <c r="I699" i="1"/>
  <c r="K698" i="1"/>
  <c r="J698" i="1" a="1"/>
  <c r="J698" i="1" s="1"/>
  <c r="I698" i="1"/>
  <c r="K697" i="1"/>
  <c r="J697" i="1" a="1"/>
  <c r="J697" i="1" s="1"/>
  <c r="I697" i="1"/>
  <c r="K696" i="1"/>
  <c r="J696" i="1"/>
  <c r="J696" i="1" a="1"/>
  <c r="I696" i="1"/>
  <c r="K695" i="1"/>
  <c r="J695" i="1" a="1"/>
  <c r="J695" i="1" s="1"/>
  <c r="I695" i="1"/>
  <c r="K694" i="1"/>
  <c r="J694" i="1"/>
  <c r="J694" i="1" a="1"/>
  <c r="I694" i="1"/>
  <c r="K693" i="1"/>
  <c r="J693" i="1"/>
  <c r="J693" i="1" a="1"/>
  <c r="I693" i="1"/>
  <c r="K692" i="1"/>
  <c r="J692" i="1" a="1"/>
  <c r="J692" i="1" s="1"/>
  <c r="I692" i="1"/>
  <c r="K691" i="1"/>
  <c r="J691" i="1" a="1"/>
  <c r="J691" i="1" s="1"/>
  <c r="I691" i="1"/>
  <c r="K690" i="1"/>
  <c r="J690" i="1" a="1"/>
  <c r="J690" i="1" s="1"/>
  <c r="I690" i="1"/>
  <c r="K689" i="1"/>
  <c r="J689" i="1" a="1"/>
  <c r="J689" i="1" s="1"/>
  <c r="I689" i="1"/>
  <c r="K688" i="1"/>
  <c r="J688" i="1"/>
  <c r="J688" i="1" a="1"/>
  <c r="I688" i="1"/>
  <c r="K687" i="1"/>
  <c r="J687" i="1" a="1"/>
  <c r="J687" i="1" s="1"/>
  <c r="I687" i="1"/>
  <c r="K686" i="1"/>
  <c r="J686" i="1"/>
  <c r="J686" i="1" a="1"/>
  <c r="I686" i="1"/>
  <c r="K685" i="1"/>
  <c r="J685" i="1"/>
  <c r="J685" i="1" a="1"/>
  <c r="I685" i="1"/>
  <c r="K684" i="1"/>
  <c r="J684" i="1" a="1"/>
  <c r="J684" i="1" s="1"/>
  <c r="I684" i="1"/>
  <c r="K683" i="1"/>
  <c r="J683" i="1" a="1"/>
  <c r="J683" i="1" s="1"/>
  <c r="I683" i="1"/>
  <c r="K682" i="1"/>
  <c r="J682" i="1" a="1"/>
  <c r="J682" i="1" s="1"/>
  <c r="I682" i="1"/>
  <c r="K681" i="1"/>
  <c r="J681" i="1" a="1"/>
  <c r="J681" i="1" s="1"/>
  <c r="I681" i="1"/>
  <c r="K680" i="1"/>
  <c r="J680" i="1"/>
  <c r="J680" i="1" a="1"/>
  <c r="I680" i="1"/>
  <c r="K679" i="1"/>
  <c r="J679" i="1" a="1"/>
  <c r="J679" i="1" s="1"/>
  <c r="I679" i="1"/>
  <c r="K678" i="1"/>
  <c r="J678" i="1"/>
  <c r="J678" i="1" a="1"/>
  <c r="I678" i="1"/>
  <c r="K677" i="1"/>
  <c r="J677" i="1"/>
  <c r="J677" i="1" a="1"/>
  <c r="I677" i="1"/>
  <c r="K676" i="1"/>
  <c r="J676" i="1" a="1"/>
  <c r="J676" i="1" s="1"/>
  <c r="I676" i="1"/>
  <c r="K675" i="1"/>
  <c r="J675" i="1" a="1"/>
  <c r="J675" i="1" s="1"/>
  <c r="I675" i="1"/>
  <c r="K674" i="1"/>
  <c r="J674" i="1" a="1"/>
  <c r="J674" i="1" s="1"/>
  <c r="I674" i="1"/>
  <c r="K673" i="1"/>
  <c r="J673" i="1" a="1"/>
  <c r="J673" i="1" s="1"/>
  <c r="I673" i="1"/>
  <c r="K672" i="1"/>
  <c r="J672" i="1"/>
  <c r="J672" i="1" a="1"/>
  <c r="I672" i="1"/>
  <c r="K671" i="1"/>
  <c r="J671" i="1" a="1"/>
  <c r="J671" i="1" s="1"/>
  <c r="I671" i="1"/>
  <c r="K670" i="1"/>
  <c r="J670" i="1"/>
  <c r="J670" i="1" a="1"/>
  <c r="I670" i="1"/>
  <c r="K669" i="1"/>
  <c r="J669" i="1"/>
  <c r="J669" i="1" a="1"/>
  <c r="I669" i="1"/>
  <c r="K668" i="1"/>
  <c r="J668" i="1" a="1"/>
  <c r="J668" i="1" s="1"/>
  <c r="I668" i="1"/>
  <c r="K667" i="1"/>
  <c r="J667" i="1" a="1"/>
  <c r="J667" i="1" s="1"/>
  <c r="I667" i="1"/>
  <c r="K666" i="1"/>
  <c r="J666" i="1" a="1"/>
  <c r="J666" i="1" s="1"/>
  <c r="I666" i="1"/>
  <c r="K665" i="1"/>
  <c r="J665" i="1"/>
  <c r="J665" i="1" a="1"/>
  <c r="I665" i="1"/>
  <c r="K664" i="1"/>
  <c r="J664" i="1"/>
  <c r="J664" i="1" a="1"/>
  <c r="I664" i="1"/>
  <c r="K663" i="1"/>
  <c r="J663" i="1" a="1"/>
  <c r="J663" i="1" s="1"/>
  <c r="I663" i="1"/>
  <c r="K662" i="1"/>
  <c r="J662" i="1"/>
  <c r="J662" i="1" a="1"/>
  <c r="I662" i="1"/>
  <c r="K661" i="1"/>
  <c r="J661" i="1"/>
  <c r="J661" i="1" a="1"/>
  <c r="I661" i="1"/>
  <c r="K660" i="1"/>
  <c r="J660" i="1" a="1"/>
  <c r="J660" i="1" s="1"/>
  <c r="I660" i="1"/>
  <c r="K659" i="1"/>
  <c r="J659" i="1" a="1"/>
  <c r="J659" i="1" s="1"/>
  <c r="I659" i="1"/>
  <c r="K658" i="1"/>
  <c r="J658" i="1" a="1"/>
  <c r="J658" i="1" s="1"/>
  <c r="I658" i="1"/>
  <c r="K657" i="1"/>
  <c r="J657" i="1"/>
  <c r="J657" i="1" a="1"/>
  <c r="I657" i="1"/>
  <c r="K656" i="1"/>
  <c r="J656" i="1"/>
  <c r="J656" i="1" a="1"/>
  <c r="I656" i="1"/>
  <c r="K655" i="1"/>
  <c r="J655" i="1" a="1"/>
  <c r="J655" i="1" s="1"/>
  <c r="I655" i="1"/>
  <c r="K654" i="1"/>
  <c r="J654" i="1"/>
  <c r="J654" i="1" a="1"/>
  <c r="I654" i="1"/>
  <c r="K653" i="1"/>
  <c r="J653" i="1"/>
  <c r="J653" i="1" a="1"/>
  <c r="I653" i="1"/>
  <c r="K652" i="1"/>
  <c r="J652" i="1" a="1"/>
  <c r="J652" i="1" s="1"/>
  <c r="I652" i="1"/>
  <c r="K651" i="1"/>
  <c r="J651" i="1" a="1"/>
  <c r="J651" i="1" s="1"/>
  <c r="I651" i="1"/>
  <c r="K650" i="1"/>
  <c r="J650" i="1" a="1"/>
  <c r="J650" i="1" s="1"/>
  <c r="I650" i="1"/>
  <c r="K649" i="1"/>
  <c r="J649" i="1" a="1"/>
  <c r="J649" i="1" s="1"/>
  <c r="I649" i="1"/>
  <c r="K648" i="1"/>
  <c r="J648" i="1"/>
  <c r="J648" i="1" a="1"/>
  <c r="I648" i="1"/>
  <c r="K647" i="1"/>
  <c r="J647" i="1" a="1"/>
  <c r="J647" i="1" s="1"/>
  <c r="I647" i="1"/>
  <c r="K646" i="1"/>
  <c r="J646" i="1"/>
  <c r="J646" i="1" a="1"/>
  <c r="I646" i="1"/>
  <c r="K645" i="1"/>
  <c r="J645" i="1"/>
  <c r="J645" i="1" a="1"/>
  <c r="I645" i="1"/>
  <c r="K644" i="1"/>
  <c r="J644" i="1" a="1"/>
  <c r="J644" i="1" s="1"/>
  <c r="I644" i="1"/>
  <c r="K643" i="1"/>
  <c r="J643" i="1" a="1"/>
  <c r="J643" i="1" s="1"/>
  <c r="I643" i="1"/>
  <c r="K642" i="1"/>
  <c r="J642" i="1" a="1"/>
  <c r="J642" i="1" s="1"/>
  <c r="I642" i="1"/>
  <c r="K641" i="1"/>
  <c r="J641" i="1" a="1"/>
  <c r="J641" i="1" s="1"/>
  <c r="I641" i="1"/>
  <c r="K640" i="1"/>
  <c r="J640" i="1"/>
  <c r="J640" i="1" a="1"/>
  <c r="I640" i="1"/>
  <c r="K639" i="1"/>
  <c r="J639" i="1" a="1"/>
  <c r="J639" i="1" s="1"/>
  <c r="I639" i="1"/>
  <c r="K638" i="1"/>
  <c r="J638" i="1"/>
  <c r="J638" i="1" a="1"/>
  <c r="I638" i="1"/>
  <c r="K637" i="1"/>
  <c r="J637" i="1"/>
  <c r="J637" i="1" a="1"/>
  <c r="I637" i="1"/>
  <c r="K636" i="1"/>
  <c r="J636" i="1" a="1"/>
  <c r="J636" i="1" s="1"/>
  <c r="I636" i="1"/>
  <c r="K635" i="1"/>
  <c r="J635" i="1" a="1"/>
  <c r="J635" i="1" s="1"/>
  <c r="I635" i="1"/>
  <c r="K634" i="1"/>
  <c r="J634" i="1" a="1"/>
  <c r="J634" i="1" s="1"/>
  <c r="I634" i="1"/>
  <c r="K633" i="1"/>
  <c r="J633" i="1" a="1"/>
  <c r="J633" i="1" s="1"/>
  <c r="I633" i="1"/>
  <c r="K632" i="1"/>
  <c r="J632" i="1"/>
  <c r="J632" i="1" a="1"/>
  <c r="I632" i="1"/>
  <c r="K631" i="1"/>
  <c r="J631" i="1" a="1"/>
  <c r="J631" i="1" s="1"/>
  <c r="I631" i="1"/>
  <c r="K630" i="1"/>
  <c r="J630" i="1"/>
  <c r="J630" i="1" a="1"/>
  <c r="I630" i="1"/>
  <c r="K629" i="1"/>
  <c r="J629" i="1"/>
  <c r="J629" i="1" a="1"/>
  <c r="I629" i="1"/>
  <c r="K628" i="1"/>
  <c r="J628" i="1" a="1"/>
  <c r="J628" i="1" s="1"/>
  <c r="I628" i="1"/>
  <c r="K627" i="1"/>
  <c r="J627" i="1" a="1"/>
  <c r="J627" i="1" s="1"/>
  <c r="I627" i="1"/>
  <c r="K626" i="1"/>
  <c r="J626" i="1" a="1"/>
  <c r="J626" i="1" s="1"/>
  <c r="I626" i="1"/>
  <c r="K625" i="1"/>
  <c r="J625" i="1" a="1"/>
  <c r="J625" i="1" s="1"/>
  <c r="I625" i="1"/>
  <c r="K624" i="1"/>
  <c r="J624" i="1"/>
  <c r="J624" i="1" a="1"/>
  <c r="I624" i="1"/>
  <c r="K623" i="1"/>
  <c r="J623" i="1" a="1"/>
  <c r="J623" i="1" s="1"/>
  <c r="I623" i="1"/>
  <c r="K622" i="1"/>
  <c r="J622" i="1"/>
  <c r="J622" i="1" a="1"/>
  <c r="I622" i="1"/>
  <c r="K621" i="1"/>
  <c r="J621" i="1"/>
  <c r="J621" i="1" a="1"/>
  <c r="I621" i="1"/>
  <c r="K620" i="1"/>
  <c r="J620" i="1" a="1"/>
  <c r="J620" i="1" s="1"/>
  <c r="I620" i="1"/>
  <c r="K619" i="1"/>
  <c r="J619" i="1" a="1"/>
  <c r="J619" i="1" s="1"/>
  <c r="I619" i="1"/>
  <c r="K618" i="1"/>
  <c r="J618" i="1" a="1"/>
  <c r="J618" i="1" s="1"/>
  <c r="I618" i="1"/>
  <c r="K617" i="1"/>
  <c r="J617" i="1" a="1"/>
  <c r="J617" i="1" s="1"/>
  <c r="I617" i="1"/>
  <c r="K616" i="1"/>
  <c r="J616" i="1"/>
  <c r="J616" i="1" a="1"/>
  <c r="I616" i="1"/>
  <c r="K615" i="1"/>
  <c r="J615" i="1" a="1"/>
  <c r="J615" i="1" s="1"/>
  <c r="I615" i="1"/>
  <c r="K614" i="1"/>
  <c r="J614" i="1"/>
  <c r="J614" i="1" a="1"/>
  <c r="I614" i="1"/>
  <c r="K613" i="1"/>
  <c r="J613" i="1"/>
  <c r="J613" i="1" a="1"/>
  <c r="I613" i="1"/>
  <c r="K612" i="1"/>
  <c r="J612" i="1" a="1"/>
  <c r="J612" i="1" s="1"/>
  <c r="I612" i="1"/>
  <c r="K611" i="1"/>
  <c r="J611" i="1" a="1"/>
  <c r="J611" i="1" s="1"/>
  <c r="I611" i="1"/>
  <c r="K610" i="1"/>
  <c r="J610" i="1" a="1"/>
  <c r="J610" i="1" s="1"/>
  <c r="I610" i="1"/>
  <c r="K609" i="1"/>
  <c r="J609" i="1" a="1"/>
  <c r="J609" i="1" s="1"/>
  <c r="I609" i="1"/>
  <c r="K608" i="1"/>
  <c r="J608" i="1"/>
  <c r="J608" i="1" a="1"/>
  <c r="I608" i="1"/>
  <c r="K607" i="1"/>
  <c r="J607" i="1" a="1"/>
  <c r="J607" i="1" s="1"/>
  <c r="I607" i="1"/>
  <c r="K606" i="1"/>
  <c r="J606" i="1"/>
  <c r="J606" i="1" a="1"/>
  <c r="I606" i="1"/>
  <c r="K605" i="1"/>
  <c r="J605" i="1"/>
  <c r="J605" i="1" a="1"/>
  <c r="I605" i="1"/>
  <c r="K604" i="1"/>
  <c r="J604" i="1" a="1"/>
  <c r="J604" i="1" s="1"/>
  <c r="I604" i="1"/>
  <c r="K603" i="1"/>
  <c r="J603" i="1" a="1"/>
  <c r="J603" i="1" s="1"/>
  <c r="I603" i="1"/>
  <c r="K602" i="1"/>
  <c r="J602" i="1" a="1"/>
  <c r="J602" i="1" s="1"/>
  <c r="I602" i="1"/>
  <c r="K601" i="1"/>
  <c r="J601" i="1" a="1"/>
  <c r="J601" i="1" s="1"/>
  <c r="I601" i="1"/>
  <c r="K600" i="1"/>
  <c r="J600" i="1"/>
  <c r="J600" i="1" a="1"/>
  <c r="I600" i="1"/>
  <c r="K599" i="1"/>
  <c r="J599" i="1" a="1"/>
  <c r="J599" i="1" s="1"/>
  <c r="I599" i="1"/>
  <c r="K598" i="1"/>
  <c r="J598" i="1"/>
  <c r="J598" i="1" a="1"/>
  <c r="I598" i="1"/>
  <c r="K597" i="1"/>
  <c r="J597" i="1"/>
  <c r="J597" i="1" a="1"/>
  <c r="I597" i="1"/>
  <c r="K596" i="1"/>
  <c r="J596" i="1" a="1"/>
  <c r="J596" i="1" s="1"/>
  <c r="I596" i="1"/>
  <c r="K595" i="1"/>
  <c r="J595" i="1" a="1"/>
  <c r="J595" i="1" s="1"/>
  <c r="I595" i="1"/>
  <c r="K594" i="1"/>
  <c r="J594" i="1" a="1"/>
  <c r="J594" i="1" s="1"/>
  <c r="I594" i="1"/>
  <c r="K593" i="1"/>
  <c r="J593" i="1" a="1"/>
  <c r="J593" i="1" s="1"/>
  <c r="I593" i="1"/>
  <c r="K592" i="1"/>
  <c r="J592" i="1"/>
  <c r="J592" i="1" a="1"/>
  <c r="I592" i="1"/>
  <c r="K591" i="1"/>
  <c r="J591" i="1" a="1"/>
  <c r="J591" i="1" s="1"/>
  <c r="I591" i="1"/>
  <c r="K590" i="1"/>
  <c r="J590" i="1"/>
  <c r="J590" i="1" a="1"/>
  <c r="I590" i="1"/>
  <c r="K589" i="1"/>
  <c r="J589" i="1"/>
  <c r="J589" i="1" a="1"/>
  <c r="I589" i="1"/>
  <c r="K588" i="1"/>
  <c r="J588" i="1" a="1"/>
  <c r="J588" i="1" s="1"/>
  <c r="I588" i="1"/>
  <c r="K587" i="1"/>
  <c r="J587" i="1" a="1"/>
  <c r="J587" i="1" s="1"/>
  <c r="I587" i="1"/>
  <c r="K586" i="1"/>
  <c r="J586" i="1" a="1"/>
  <c r="J586" i="1" s="1"/>
  <c r="I586" i="1"/>
  <c r="K585" i="1"/>
  <c r="J585" i="1" a="1"/>
  <c r="J585" i="1" s="1"/>
  <c r="I585" i="1"/>
  <c r="K584" i="1"/>
  <c r="J584" i="1"/>
  <c r="J584" i="1" a="1"/>
  <c r="I584" i="1"/>
  <c r="K583" i="1"/>
  <c r="J583" i="1" a="1"/>
  <c r="J583" i="1" s="1"/>
  <c r="I583" i="1"/>
  <c r="K582" i="1"/>
  <c r="J582" i="1"/>
  <c r="J582" i="1" a="1"/>
  <c r="I582" i="1"/>
  <c r="K581" i="1"/>
  <c r="J581" i="1"/>
  <c r="J581" i="1" a="1"/>
  <c r="I581" i="1"/>
  <c r="K580" i="1"/>
  <c r="J580" i="1" a="1"/>
  <c r="J580" i="1" s="1"/>
  <c r="I580" i="1"/>
  <c r="K579" i="1"/>
  <c r="J579" i="1" a="1"/>
  <c r="J579" i="1" s="1"/>
  <c r="I579" i="1"/>
  <c r="K578" i="1"/>
  <c r="J578" i="1" a="1"/>
  <c r="J578" i="1" s="1"/>
  <c r="I578" i="1"/>
  <c r="K577" i="1"/>
  <c r="J577" i="1" a="1"/>
  <c r="J577" i="1" s="1"/>
  <c r="I577" i="1"/>
  <c r="K576" i="1"/>
  <c r="J576" i="1"/>
  <c r="J576" i="1" a="1"/>
  <c r="I576" i="1"/>
  <c r="K575" i="1"/>
  <c r="J575" i="1" a="1"/>
  <c r="J575" i="1" s="1"/>
  <c r="I575" i="1"/>
  <c r="K574" i="1"/>
  <c r="J574" i="1"/>
  <c r="J574" i="1" a="1"/>
  <c r="I574" i="1"/>
  <c r="K573" i="1"/>
  <c r="J573" i="1"/>
  <c r="J573" i="1" a="1"/>
  <c r="I573" i="1"/>
  <c r="K572" i="1"/>
  <c r="J572" i="1" a="1"/>
  <c r="J572" i="1" s="1"/>
  <c r="I572" i="1"/>
  <c r="K571" i="1"/>
  <c r="J571" i="1" a="1"/>
  <c r="J571" i="1" s="1"/>
  <c r="I571" i="1"/>
  <c r="K570" i="1"/>
  <c r="J570" i="1" a="1"/>
  <c r="J570" i="1" s="1"/>
  <c r="I570" i="1"/>
  <c r="K569" i="1"/>
  <c r="J569" i="1" a="1"/>
  <c r="J569" i="1" s="1"/>
  <c r="I569" i="1"/>
  <c r="K568" i="1"/>
  <c r="J568" i="1"/>
  <c r="J568" i="1" a="1"/>
  <c r="I568" i="1"/>
  <c r="K567" i="1"/>
  <c r="J567" i="1" a="1"/>
  <c r="J567" i="1" s="1"/>
  <c r="I567" i="1"/>
  <c r="K566" i="1"/>
  <c r="J566" i="1"/>
  <c r="J566" i="1" a="1"/>
  <c r="I566" i="1"/>
  <c r="K565" i="1"/>
  <c r="J565" i="1"/>
  <c r="J565" i="1" a="1"/>
  <c r="I565" i="1"/>
  <c r="K564" i="1"/>
  <c r="J564" i="1" a="1"/>
  <c r="J564" i="1" s="1"/>
  <c r="I564" i="1"/>
  <c r="K563" i="1"/>
  <c r="J563" i="1" a="1"/>
  <c r="J563" i="1" s="1"/>
  <c r="I563" i="1"/>
  <c r="K562" i="1"/>
  <c r="J562" i="1" a="1"/>
  <c r="J562" i="1" s="1"/>
  <c r="I562" i="1"/>
  <c r="K561" i="1"/>
  <c r="J561" i="1" a="1"/>
  <c r="J561" i="1" s="1"/>
  <c r="I561" i="1"/>
  <c r="K560" i="1"/>
  <c r="J560" i="1"/>
  <c r="J560" i="1" a="1"/>
  <c r="I560" i="1"/>
  <c r="K559" i="1"/>
  <c r="J559" i="1" a="1"/>
  <c r="J559" i="1" s="1"/>
  <c r="I559" i="1"/>
  <c r="K558" i="1"/>
  <c r="J558" i="1"/>
  <c r="J558" i="1" a="1"/>
  <c r="I558" i="1"/>
  <c r="K557" i="1"/>
  <c r="J557" i="1"/>
  <c r="J557" i="1" a="1"/>
  <c r="I557" i="1"/>
  <c r="K556" i="1"/>
  <c r="J556" i="1" a="1"/>
  <c r="J556" i="1" s="1"/>
  <c r="I556" i="1"/>
  <c r="K555" i="1"/>
  <c r="J555" i="1" a="1"/>
  <c r="J555" i="1" s="1"/>
  <c r="I555" i="1"/>
  <c r="K554" i="1"/>
  <c r="J554" i="1" a="1"/>
  <c r="J554" i="1" s="1"/>
  <c r="I554" i="1"/>
  <c r="K553" i="1"/>
  <c r="J553" i="1" a="1"/>
  <c r="J553" i="1" s="1"/>
  <c r="I553" i="1"/>
  <c r="K552" i="1"/>
  <c r="J552" i="1"/>
  <c r="J552" i="1" a="1"/>
  <c r="I552" i="1"/>
  <c r="K551" i="1"/>
  <c r="J551" i="1" a="1"/>
  <c r="J551" i="1" s="1"/>
  <c r="I551" i="1"/>
  <c r="K550" i="1"/>
  <c r="J550" i="1"/>
  <c r="J550" i="1" a="1"/>
  <c r="I550" i="1"/>
  <c r="K549" i="1"/>
  <c r="J549" i="1"/>
  <c r="J549" i="1" a="1"/>
  <c r="I549" i="1"/>
  <c r="K548" i="1"/>
  <c r="J548" i="1" a="1"/>
  <c r="J548" i="1" s="1"/>
  <c r="I548" i="1"/>
  <c r="K547" i="1"/>
  <c r="J547" i="1" a="1"/>
  <c r="J547" i="1" s="1"/>
  <c r="I547" i="1"/>
  <c r="K546" i="1"/>
  <c r="J546" i="1" a="1"/>
  <c r="J546" i="1" s="1"/>
  <c r="I546" i="1"/>
  <c r="K545" i="1"/>
  <c r="J545" i="1" a="1"/>
  <c r="J545" i="1" s="1"/>
  <c r="I545" i="1"/>
  <c r="K544" i="1"/>
  <c r="J544" i="1"/>
  <c r="J544" i="1" a="1"/>
  <c r="I544" i="1"/>
  <c r="K543" i="1"/>
  <c r="J543" i="1" a="1"/>
  <c r="J543" i="1" s="1"/>
  <c r="I543" i="1"/>
  <c r="K542" i="1"/>
  <c r="J542" i="1"/>
  <c r="J542" i="1" a="1"/>
  <c r="I542" i="1"/>
  <c r="K541" i="1"/>
  <c r="J541" i="1"/>
  <c r="J541" i="1" a="1"/>
  <c r="I541" i="1"/>
  <c r="K540" i="1"/>
  <c r="J540" i="1" a="1"/>
  <c r="J540" i="1" s="1"/>
  <c r="I540" i="1"/>
  <c r="K539" i="1"/>
  <c r="J539" i="1" a="1"/>
  <c r="J539" i="1" s="1"/>
  <c r="I539" i="1"/>
  <c r="K538" i="1"/>
  <c r="J538" i="1" a="1"/>
  <c r="J538" i="1" s="1"/>
  <c r="I538" i="1"/>
  <c r="K537" i="1"/>
  <c r="J537" i="1" a="1"/>
  <c r="J537" i="1" s="1"/>
  <c r="I537" i="1"/>
  <c r="K536" i="1"/>
  <c r="J536" i="1"/>
  <c r="J536" i="1" a="1"/>
  <c r="I536" i="1"/>
  <c r="K535" i="1"/>
  <c r="J535" i="1" a="1"/>
  <c r="J535" i="1" s="1"/>
  <c r="I535" i="1"/>
  <c r="K534" i="1"/>
  <c r="J534" i="1"/>
  <c r="J534" i="1" a="1"/>
  <c r="I534" i="1"/>
  <c r="K533" i="1"/>
  <c r="J533" i="1"/>
  <c r="J533" i="1" a="1"/>
  <c r="I533" i="1"/>
  <c r="K532" i="1"/>
  <c r="J532" i="1" a="1"/>
  <c r="J532" i="1" s="1"/>
  <c r="I532" i="1"/>
  <c r="K531" i="1"/>
  <c r="J531" i="1" a="1"/>
  <c r="J531" i="1" s="1"/>
  <c r="I531" i="1"/>
  <c r="K530" i="1"/>
  <c r="J530" i="1" a="1"/>
  <c r="J530" i="1" s="1"/>
  <c r="I530" i="1"/>
  <c r="K529" i="1"/>
  <c r="J529" i="1" a="1"/>
  <c r="J529" i="1" s="1"/>
  <c r="I529" i="1"/>
  <c r="K528" i="1"/>
  <c r="J528" i="1"/>
  <c r="J528" i="1" a="1"/>
  <c r="I528" i="1"/>
  <c r="K527" i="1"/>
  <c r="J527" i="1" a="1"/>
  <c r="J527" i="1" s="1"/>
  <c r="I527" i="1"/>
  <c r="K526" i="1"/>
  <c r="J526" i="1"/>
  <c r="J526" i="1" a="1"/>
  <c r="I526" i="1"/>
  <c r="K525" i="1"/>
  <c r="J525" i="1"/>
  <c r="J525" i="1" a="1"/>
  <c r="I525" i="1"/>
  <c r="K524" i="1"/>
  <c r="J524" i="1" a="1"/>
  <c r="J524" i="1" s="1"/>
  <c r="I524" i="1"/>
  <c r="K523" i="1"/>
  <c r="J523" i="1" a="1"/>
  <c r="J523" i="1" s="1"/>
  <c r="I523" i="1"/>
  <c r="K522" i="1"/>
  <c r="J522" i="1" a="1"/>
  <c r="J522" i="1" s="1"/>
  <c r="I522" i="1"/>
  <c r="K521" i="1"/>
  <c r="J521" i="1" a="1"/>
  <c r="J521" i="1" s="1"/>
  <c r="I521" i="1"/>
  <c r="K520" i="1"/>
  <c r="J520" i="1"/>
  <c r="J520" i="1" a="1"/>
  <c r="I520" i="1"/>
  <c r="K519" i="1"/>
  <c r="J519" i="1" a="1"/>
  <c r="J519" i="1" s="1"/>
  <c r="I519" i="1"/>
  <c r="K518" i="1"/>
  <c r="J518" i="1"/>
  <c r="J518" i="1" a="1"/>
  <c r="I518" i="1"/>
  <c r="K517" i="1"/>
  <c r="J517" i="1"/>
  <c r="J517" i="1" a="1"/>
  <c r="I517" i="1"/>
  <c r="K516" i="1"/>
  <c r="J516" i="1" a="1"/>
  <c r="J516" i="1" s="1"/>
  <c r="I516" i="1"/>
  <c r="K515" i="1"/>
  <c r="J515" i="1" a="1"/>
  <c r="J515" i="1" s="1"/>
  <c r="I515" i="1"/>
  <c r="K514" i="1"/>
  <c r="J514" i="1" a="1"/>
  <c r="J514" i="1" s="1"/>
  <c r="I514" i="1"/>
  <c r="K513" i="1"/>
  <c r="J513" i="1" a="1"/>
  <c r="J513" i="1" s="1"/>
  <c r="I513" i="1"/>
  <c r="K512" i="1"/>
  <c r="J512" i="1"/>
  <c r="J512" i="1" a="1"/>
  <c r="I512" i="1"/>
  <c r="K511" i="1"/>
  <c r="J511" i="1" a="1"/>
  <c r="J511" i="1" s="1"/>
  <c r="I511" i="1"/>
  <c r="K510" i="1"/>
  <c r="J510" i="1"/>
  <c r="J510" i="1" a="1"/>
  <c r="I510" i="1"/>
  <c r="K509" i="1"/>
  <c r="J509" i="1"/>
  <c r="J509" i="1" a="1"/>
  <c r="I509" i="1"/>
  <c r="K508" i="1"/>
  <c r="J508" i="1" a="1"/>
  <c r="J508" i="1" s="1"/>
  <c r="I508" i="1"/>
  <c r="K507" i="1"/>
  <c r="J507" i="1" a="1"/>
  <c r="J507" i="1" s="1"/>
  <c r="I507" i="1"/>
  <c r="K506" i="1"/>
  <c r="J506" i="1" a="1"/>
  <c r="J506" i="1" s="1"/>
  <c r="I506" i="1"/>
  <c r="K505" i="1"/>
  <c r="J505" i="1" a="1"/>
  <c r="J505" i="1" s="1"/>
  <c r="I505" i="1"/>
  <c r="K504" i="1"/>
  <c r="J504" i="1"/>
  <c r="J504" i="1" a="1"/>
  <c r="I504" i="1"/>
  <c r="K503" i="1"/>
  <c r="J503" i="1" a="1"/>
  <c r="J503" i="1" s="1"/>
  <c r="I503" i="1"/>
  <c r="K502" i="1"/>
  <c r="J502" i="1"/>
  <c r="J502" i="1" a="1"/>
  <c r="I502" i="1"/>
  <c r="K501" i="1"/>
  <c r="J501" i="1"/>
  <c r="J501" i="1" a="1"/>
  <c r="I501" i="1"/>
  <c r="K500" i="1"/>
  <c r="J500" i="1" a="1"/>
  <c r="J500" i="1" s="1"/>
  <c r="I500" i="1"/>
  <c r="K499" i="1"/>
  <c r="J499" i="1" a="1"/>
  <c r="J499" i="1" s="1"/>
  <c r="I499" i="1"/>
  <c r="K498" i="1"/>
  <c r="J498" i="1" a="1"/>
  <c r="J498" i="1" s="1"/>
  <c r="I498" i="1"/>
  <c r="K497" i="1"/>
  <c r="J497" i="1" a="1"/>
  <c r="J497" i="1" s="1"/>
  <c r="I497" i="1"/>
  <c r="K496" i="1"/>
  <c r="J496" i="1"/>
  <c r="J496" i="1" a="1"/>
  <c r="I496" i="1"/>
  <c r="K495" i="1"/>
  <c r="J495" i="1" a="1"/>
  <c r="J495" i="1" s="1"/>
  <c r="I495" i="1"/>
  <c r="K494" i="1"/>
  <c r="J494" i="1"/>
  <c r="J494" i="1" a="1"/>
  <c r="I494" i="1"/>
  <c r="K493" i="1"/>
  <c r="J493" i="1"/>
  <c r="J493" i="1" a="1"/>
  <c r="I493" i="1"/>
  <c r="K492" i="1"/>
  <c r="J492" i="1" a="1"/>
  <c r="J492" i="1" s="1"/>
  <c r="I492" i="1"/>
  <c r="K491" i="1"/>
  <c r="J491" i="1" a="1"/>
  <c r="J491" i="1" s="1"/>
  <c r="I491" i="1"/>
  <c r="K490" i="1"/>
  <c r="J490" i="1" a="1"/>
  <c r="J490" i="1" s="1"/>
  <c r="I490" i="1"/>
  <c r="K489" i="1"/>
  <c r="J489" i="1" a="1"/>
  <c r="J489" i="1" s="1"/>
  <c r="I489" i="1"/>
  <c r="K488" i="1"/>
  <c r="J488" i="1"/>
  <c r="J488" i="1" a="1"/>
  <c r="I488" i="1"/>
  <c r="K487" i="1"/>
  <c r="J487" i="1" a="1"/>
  <c r="J487" i="1" s="1"/>
  <c r="I487" i="1"/>
  <c r="K486" i="1"/>
  <c r="J486" i="1"/>
  <c r="J486" i="1" a="1"/>
  <c r="I486" i="1"/>
  <c r="K485" i="1"/>
  <c r="J485" i="1"/>
  <c r="J485" i="1" a="1"/>
  <c r="I485" i="1"/>
  <c r="K484" i="1"/>
  <c r="J484" i="1" a="1"/>
  <c r="J484" i="1" s="1"/>
  <c r="I484" i="1"/>
  <c r="K483" i="1"/>
  <c r="J483" i="1" a="1"/>
  <c r="J483" i="1" s="1"/>
  <c r="I483" i="1"/>
  <c r="K482" i="1"/>
  <c r="J482" i="1" a="1"/>
  <c r="J482" i="1" s="1"/>
  <c r="I482" i="1"/>
  <c r="K481" i="1"/>
  <c r="J481" i="1" a="1"/>
  <c r="J481" i="1" s="1"/>
  <c r="I481" i="1"/>
  <c r="K480" i="1"/>
  <c r="J480" i="1"/>
  <c r="J480" i="1" a="1"/>
  <c r="I480" i="1"/>
  <c r="K479" i="1"/>
  <c r="J479" i="1" a="1"/>
  <c r="J479" i="1" s="1"/>
  <c r="I479" i="1"/>
  <c r="K478" i="1"/>
  <c r="J478" i="1"/>
  <c r="J478" i="1" a="1"/>
  <c r="I478" i="1"/>
  <c r="K477" i="1"/>
  <c r="J477" i="1"/>
  <c r="J477" i="1" a="1"/>
  <c r="I477" i="1"/>
  <c r="K476" i="1"/>
  <c r="J476" i="1" a="1"/>
  <c r="J476" i="1" s="1"/>
  <c r="I476" i="1"/>
  <c r="K475" i="1"/>
  <c r="J475" i="1" a="1"/>
  <c r="J475" i="1" s="1"/>
  <c r="I475" i="1"/>
  <c r="K474" i="1"/>
  <c r="J474" i="1" a="1"/>
  <c r="J474" i="1" s="1"/>
  <c r="I474" i="1"/>
  <c r="K473" i="1"/>
  <c r="J473" i="1" a="1"/>
  <c r="J473" i="1" s="1"/>
  <c r="I473" i="1"/>
  <c r="K472" i="1"/>
  <c r="J472" i="1"/>
  <c r="J472" i="1" a="1"/>
  <c r="I472" i="1"/>
  <c r="K471" i="1"/>
  <c r="J471" i="1" a="1"/>
  <c r="J471" i="1" s="1"/>
  <c r="I471" i="1"/>
  <c r="K470" i="1"/>
  <c r="J470" i="1"/>
  <c r="J470" i="1" a="1"/>
  <c r="I470" i="1"/>
  <c r="K469" i="1"/>
  <c r="J469" i="1"/>
  <c r="J469" i="1" a="1"/>
  <c r="I469" i="1"/>
  <c r="K468" i="1"/>
  <c r="J468" i="1" a="1"/>
  <c r="J468" i="1" s="1"/>
  <c r="I468" i="1"/>
  <c r="K467" i="1"/>
  <c r="J467" i="1" a="1"/>
  <c r="J467" i="1" s="1"/>
  <c r="I467" i="1"/>
  <c r="K466" i="1"/>
  <c r="J466" i="1" a="1"/>
  <c r="J466" i="1" s="1"/>
  <c r="I466" i="1"/>
  <c r="K465" i="1"/>
  <c r="J465" i="1" a="1"/>
  <c r="J465" i="1" s="1"/>
  <c r="I465" i="1"/>
  <c r="K464" i="1"/>
  <c r="J464" i="1"/>
  <c r="J464" i="1" a="1"/>
  <c r="I464" i="1"/>
  <c r="K463" i="1"/>
  <c r="J463" i="1" a="1"/>
  <c r="J463" i="1" s="1"/>
  <c r="I463" i="1"/>
  <c r="K462" i="1"/>
  <c r="J462" i="1"/>
  <c r="J462" i="1" a="1"/>
  <c r="I462" i="1"/>
  <c r="K461" i="1"/>
  <c r="J461" i="1"/>
  <c r="J461" i="1" a="1"/>
  <c r="I461" i="1"/>
  <c r="K460" i="1"/>
  <c r="J460" i="1" a="1"/>
  <c r="J460" i="1" s="1"/>
  <c r="I460" i="1"/>
  <c r="K459" i="1"/>
  <c r="J459" i="1" a="1"/>
  <c r="J459" i="1" s="1"/>
  <c r="I459" i="1"/>
  <c r="K458" i="1"/>
  <c r="J458" i="1" a="1"/>
  <c r="J458" i="1" s="1"/>
  <c r="I458" i="1"/>
  <c r="K457" i="1"/>
  <c r="J457" i="1" a="1"/>
  <c r="J457" i="1" s="1"/>
  <c r="I457" i="1"/>
  <c r="K456" i="1"/>
  <c r="J456" i="1"/>
  <c r="J456" i="1" a="1"/>
  <c r="I456" i="1"/>
  <c r="K455" i="1"/>
  <c r="J455" i="1" a="1"/>
  <c r="J455" i="1" s="1"/>
  <c r="I455" i="1"/>
  <c r="K454" i="1"/>
  <c r="J454" i="1"/>
  <c r="J454" i="1" a="1"/>
  <c r="I454" i="1"/>
  <c r="K453" i="1"/>
  <c r="J453" i="1"/>
  <c r="J453" i="1" a="1"/>
  <c r="I453" i="1"/>
  <c r="K452" i="1"/>
  <c r="J452" i="1" a="1"/>
  <c r="J452" i="1" s="1"/>
  <c r="I452" i="1"/>
  <c r="K451" i="1"/>
  <c r="J451" i="1" a="1"/>
  <c r="J451" i="1" s="1"/>
  <c r="I451" i="1"/>
  <c r="K450" i="1"/>
  <c r="J450" i="1" a="1"/>
  <c r="J450" i="1" s="1"/>
  <c r="I450" i="1"/>
  <c r="K449" i="1"/>
  <c r="J449" i="1" a="1"/>
  <c r="J449" i="1" s="1"/>
  <c r="I449" i="1"/>
  <c r="K448" i="1"/>
  <c r="J448" i="1"/>
  <c r="J448" i="1" a="1"/>
  <c r="I448" i="1"/>
  <c r="K447" i="1"/>
  <c r="J447" i="1" a="1"/>
  <c r="J447" i="1" s="1"/>
  <c r="I447" i="1"/>
  <c r="K446" i="1"/>
  <c r="J446" i="1"/>
  <c r="J446" i="1" a="1"/>
  <c r="I446" i="1"/>
  <c r="K445" i="1"/>
  <c r="J445" i="1"/>
  <c r="J445" i="1" a="1"/>
  <c r="I445" i="1"/>
  <c r="K444" i="1"/>
  <c r="J444" i="1" a="1"/>
  <c r="J444" i="1" s="1"/>
  <c r="I444" i="1"/>
  <c r="K443" i="1"/>
  <c r="J443" i="1" a="1"/>
  <c r="J443" i="1" s="1"/>
  <c r="I443" i="1"/>
  <c r="K442" i="1"/>
  <c r="J442" i="1" a="1"/>
  <c r="J442" i="1" s="1"/>
  <c r="I442" i="1"/>
  <c r="K441" i="1"/>
  <c r="J441" i="1" a="1"/>
  <c r="J441" i="1" s="1"/>
  <c r="I441" i="1"/>
  <c r="K440" i="1"/>
  <c r="J440" i="1"/>
  <c r="J440" i="1" a="1"/>
  <c r="I440" i="1"/>
  <c r="K439" i="1"/>
  <c r="J439" i="1" a="1"/>
  <c r="J439" i="1" s="1"/>
  <c r="I439" i="1"/>
  <c r="K438" i="1"/>
  <c r="J438" i="1"/>
  <c r="J438" i="1" a="1"/>
  <c r="I438" i="1"/>
  <c r="K437" i="1"/>
  <c r="J437" i="1"/>
  <c r="J437" i="1" a="1"/>
  <c r="I437" i="1"/>
  <c r="K436" i="1"/>
  <c r="J436" i="1" a="1"/>
  <c r="J436" i="1" s="1"/>
  <c r="I436" i="1"/>
  <c r="K435" i="1"/>
  <c r="J435" i="1" a="1"/>
  <c r="J435" i="1" s="1"/>
  <c r="I435" i="1"/>
  <c r="K434" i="1"/>
  <c r="J434" i="1" a="1"/>
  <c r="J434" i="1" s="1"/>
  <c r="I434" i="1"/>
  <c r="K433" i="1"/>
  <c r="J433" i="1" a="1"/>
  <c r="J433" i="1" s="1"/>
  <c r="I433" i="1"/>
  <c r="K432" i="1"/>
  <c r="J432" i="1"/>
  <c r="J432" i="1" a="1"/>
  <c r="I432" i="1"/>
  <c r="K431" i="1"/>
  <c r="J431" i="1" a="1"/>
  <c r="J431" i="1" s="1"/>
  <c r="I431" i="1"/>
  <c r="K430" i="1"/>
  <c r="J430" i="1"/>
  <c r="J430" i="1" a="1"/>
  <c r="I430" i="1"/>
  <c r="K429" i="1"/>
  <c r="J429" i="1"/>
  <c r="J429" i="1" a="1"/>
  <c r="I429" i="1"/>
  <c r="K428" i="1"/>
  <c r="J428" i="1" a="1"/>
  <c r="J428" i="1" s="1"/>
  <c r="I428" i="1"/>
  <c r="K427" i="1"/>
  <c r="J427" i="1" a="1"/>
  <c r="J427" i="1" s="1"/>
  <c r="I427" i="1"/>
  <c r="K426" i="1"/>
  <c r="J426" i="1" a="1"/>
  <c r="J426" i="1" s="1"/>
  <c r="I426" i="1"/>
  <c r="K425" i="1"/>
  <c r="J425" i="1"/>
  <c r="J425" i="1" a="1"/>
  <c r="I425" i="1"/>
  <c r="K424" i="1"/>
  <c r="J424" i="1"/>
  <c r="J424" i="1" a="1"/>
  <c r="I424" i="1"/>
  <c r="K423" i="1"/>
  <c r="J423" i="1" a="1"/>
  <c r="J423" i="1" s="1"/>
  <c r="I423" i="1"/>
  <c r="K422" i="1"/>
  <c r="J422" i="1"/>
  <c r="J422" i="1" a="1"/>
  <c r="I422" i="1"/>
  <c r="K421" i="1"/>
  <c r="J421" i="1"/>
  <c r="J421" i="1" a="1"/>
  <c r="I421" i="1"/>
  <c r="K420" i="1"/>
  <c r="J420" i="1" a="1"/>
  <c r="J420" i="1" s="1"/>
  <c r="I420" i="1"/>
  <c r="K419" i="1"/>
  <c r="J419" i="1" a="1"/>
  <c r="J419" i="1" s="1"/>
  <c r="I419" i="1"/>
  <c r="K418" i="1"/>
  <c r="J418" i="1" a="1"/>
  <c r="J418" i="1" s="1"/>
  <c r="I418" i="1"/>
  <c r="K417" i="1"/>
  <c r="J417" i="1" a="1"/>
  <c r="J417" i="1" s="1"/>
  <c r="I417" i="1"/>
  <c r="K416" i="1"/>
  <c r="J416" i="1"/>
  <c r="J416" i="1" a="1"/>
  <c r="I416" i="1"/>
  <c r="K415" i="1"/>
  <c r="J415" i="1" a="1"/>
  <c r="J415" i="1" s="1"/>
  <c r="I415" i="1"/>
  <c r="K414" i="1"/>
  <c r="J414" i="1"/>
  <c r="J414" i="1" a="1"/>
  <c r="I414" i="1"/>
  <c r="K413" i="1"/>
  <c r="J413" i="1"/>
  <c r="J413" i="1" a="1"/>
  <c r="I413" i="1"/>
  <c r="K412" i="1"/>
  <c r="J412" i="1" a="1"/>
  <c r="J412" i="1" s="1"/>
  <c r="I412" i="1"/>
  <c r="K411" i="1"/>
  <c r="J411" i="1" a="1"/>
  <c r="J411" i="1" s="1"/>
  <c r="I411" i="1"/>
  <c r="K410" i="1"/>
  <c r="J410" i="1" a="1"/>
  <c r="J410" i="1" s="1"/>
  <c r="I410" i="1"/>
  <c r="K409" i="1"/>
  <c r="J409" i="1"/>
  <c r="J409" i="1" a="1"/>
  <c r="I409" i="1"/>
  <c r="K408" i="1"/>
  <c r="J408" i="1"/>
  <c r="J408" i="1" a="1"/>
  <c r="I408" i="1"/>
  <c r="K407" i="1"/>
  <c r="J407" i="1" a="1"/>
  <c r="J407" i="1" s="1"/>
  <c r="I407" i="1"/>
  <c r="K406" i="1"/>
  <c r="J406" i="1"/>
  <c r="J406" i="1" a="1"/>
  <c r="I406" i="1"/>
  <c r="K405" i="1"/>
  <c r="J405" i="1"/>
  <c r="J405" i="1" a="1"/>
  <c r="I405" i="1"/>
  <c r="K404" i="1"/>
  <c r="J404" i="1"/>
  <c r="J404" i="1" a="1"/>
  <c r="I404" i="1"/>
  <c r="K403" i="1"/>
  <c r="J403" i="1" a="1"/>
  <c r="J403" i="1" s="1"/>
  <c r="I403" i="1"/>
  <c r="K402" i="1"/>
  <c r="J402" i="1" a="1"/>
  <c r="J402" i="1" s="1"/>
  <c r="I402" i="1"/>
  <c r="K401" i="1"/>
  <c r="J401" i="1" a="1"/>
  <c r="J401" i="1" s="1"/>
  <c r="I401" i="1"/>
  <c r="K400" i="1"/>
  <c r="J400" i="1"/>
  <c r="J400" i="1" a="1"/>
  <c r="I400" i="1"/>
  <c r="K399" i="1"/>
  <c r="J399" i="1" a="1"/>
  <c r="J399" i="1" s="1"/>
  <c r="I399" i="1"/>
  <c r="K398" i="1"/>
  <c r="J398" i="1"/>
  <c r="J398" i="1" a="1"/>
  <c r="I398" i="1"/>
  <c r="K397" i="1"/>
  <c r="J397" i="1"/>
  <c r="J397" i="1" a="1"/>
  <c r="I397" i="1"/>
  <c r="K396" i="1"/>
  <c r="J396" i="1"/>
  <c r="J396" i="1" a="1"/>
  <c r="I396" i="1"/>
  <c r="K395" i="1"/>
  <c r="J395" i="1" a="1"/>
  <c r="J395" i="1" s="1"/>
  <c r="I395" i="1"/>
  <c r="K394" i="1"/>
  <c r="J394" i="1" a="1"/>
  <c r="J394" i="1" s="1"/>
  <c r="I394" i="1"/>
  <c r="K393" i="1"/>
  <c r="J393" i="1" a="1"/>
  <c r="J393" i="1" s="1"/>
  <c r="I393" i="1"/>
  <c r="K392" i="1"/>
  <c r="J392" i="1"/>
  <c r="J392" i="1" a="1"/>
  <c r="I392" i="1"/>
  <c r="K391" i="1"/>
  <c r="J391" i="1" a="1"/>
  <c r="J391" i="1" s="1"/>
  <c r="I391" i="1"/>
  <c r="K390" i="1"/>
  <c r="J390" i="1"/>
  <c r="J390" i="1" a="1"/>
  <c r="I390" i="1"/>
  <c r="K389" i="1"/>
  <c r="J389" i="1"/>
  <c r="J389" i="1" a="1"/>
  <c r="I389" i="1"/>
  <c r="K388" i="1"/>
  <c r="J388" i="1"/>
  <c r="J388" i="1" a="1"/>
  <c r="I388" i="1"/>
  <c r="K387" i="1"/>
  <c r="J387" i="1" a="1"/>
  <c r="J387" i="1" s="1"/>
  <c r="I387" i="1"/>
  <c r="K386" i="1"/>
  <c r="J386" i="1" a="1"/>
  <c r="J386" i="1" s="1"/>
  <c r="I386" i="1"/>
  <c r="K385" i="1"/>
  <c r="J385" i="1" a="1"/>
  <c r="J385" i="1" s="1"/>
  <c r="I385" i="1"/>
  <c r="K384" i="1"/>
  <c r="J384" i="1"/>
  <c r="J384" i="1" a="1"/>
  <c r="I384" i="1"/>
  <c r="K383" i="1"/>
  <c r="J383" i="1" a="1"/>
  <c r="J383" i="1" s="1"/>
  <c r="I383" i="1"/>
  <c r="K382" i="1"/>
  <c r="J382" i="1"/>
  <c r="J382" i="1" a="1"/>
  <c r="I382" i="1"/>
  <c r="K381" i="1"/>
  <c r="J381" i="1"/>
  <c r="J381" i="1" a="1"/>
  <c r="I381" i="1"/>
  <c r="K380" i="1"/>
  <c r="J380" i="1"/>
  <c r="J380" i="1" a="1"/>
  <c r="I380" i="1"/>
  <c r="K379" i="1"/>
  <c r="J379" i="1" a="1"/>
  <c r="J379" i="1" s="1"/>
  <c r="I379" i="1"/>
  <c r="K378" i="1"/>
  <c r="J378" i="1" a="1"/>
  <c r="J378" i="1" s="1"/>
  <c r="I378" i="1"/>
  <c r="K377" i="1"/>
  <c r="J377" i="1" a="1"/>
  <c r="J377" i="1" s="1"/>
  <c r="I377" i="1"/>
  <c r="K376" i="1"/>
  <c r="J376" i="1"/>
  <c r="J376" i="1" a="1"/>
  <c r="I376" i="1"/>
  <c r="K375" i="1"/>
  <c r="J375" i="1" a="1"/>
  <c r="J375" i="1" s="1"/>
  <c r="I375" i="1"/>
  <c r="K374" i="1"/>
  <c r="J374" i="1"/>
  <c r="J374" i="1" a="1"/>
  <c r="I374" i="1"/>
  <c r="K373" i="1"/>
  <c r="J373" i="1"/>
  <c r="J373" i="1" a="1"/>
  <c r="I373" i="1"/>
  <c r="K372" i="1"/>
  <c r="J372" i="1"/>
  <c r="J372" i="1" a="1"/>
  <c r="I372" i="1"/>
  <c r="K371" i="1"/>
  <c r="J371" i="1" a="1"/>
  <c r="J371" i="1" s="1"/>
  <c r="I371" i="1"/>
  <c r="K370" i="1"/>
  <c r="J370" i="1" a="1"/>
  <c r="J370" i="1" s="1"/>
  <c r="I370" i="1"/>
  <c r="K369" i="1"/>
  <c r="J369" i="1" a="1"/>
  <c r="J369" i="1" s="1"/>
  <c r="I369" i="1"/>
  <c r="K368" i="1"/>
  <c r="J368" i="1"/>
  <c r="J368" i="1" a="1"/>
  <c r="I368" i="1"/>
  <c r="K367" i="1"/>
  <c r="J367" i="1" a="1"/>
  <c r="J367" i="1" s="1"/>
  <c r="I367" i="1"/>
  <c r="K366" i="1"/>
  <c r="J366" i="1"/>
  <c r="J366" i="1" a="1"/>
  <c r="I366" i="1"/>
  <c r="K365" i="1"/>
  <c r="J365" i="1"/>
  <c r="J365" i="1" a="1"/>
  <c r="I365" i="1"/>
  <c r="K364" i="1"/>
  <c r="J364" i="1"/>
  <c r="J364" i="1" a="1"/>
  <c r="I364" i="1"/>
  <c r="K363" i="1"/>
  <c r="J363" i="1" a="1"/>
  <c r="J363" i="1" s="1"/>
  <c r="I363" i="1"/>
  <c r="K362" i="1"/>
  <c r="J362" i="1" a="1"/>
  <c r="J362" i="1" s="1"/>
  <c r="I362" i="1"/>
  <c r="K361" i="1"/>
  <c r="J361" i="1" a="1"/>
  <c r="J361" i="1" s="1"/>
  <c r="I361" i="1"/>
  <c r="K360" i="1"/>
  <c r="J360" i="1"/>
  <c r="J360" i="1" a="1"/>
  <c r="I360" i="1"/>
  <c r="K359" i="1"/>
  <c r="J359" i="1" a="1"/>
  <c r="J359" i="1" s="1"/>
  <c r="I359" i="1"/>
  <c r="K358" i="1"/>
  <c r="J358" i="1"/>
  <c r="J358" i="1" a="1"/>
  <c r="I358" i="1"/>
  <c r="K357" i="1"/>
  <c r="J357" i="1"/>
  <c r="J357" i="1" a="1"/>
  <c r="I357" i="1"/>
  <c r="K356" i="1"/>
  <c r="J356" i="1" a="1"/>
  <c r="J356" i="1" s="1"/>
  <c r="I356" i="1"/>
  <c r="K355" i="1"/>
  <c r="J355" i="1" a="1"/>
  <c r="J355" i="1" s="1"/>
  <c r="I355" i="1"/>
  <c r="K354" i="1"/>
  <c r="J354" i="1" a="1"/>
  <c r="J354" i="1" s="1"/>
  <c r="I354" i="1"/>
  <c r="K353" i="1"/>
  <c r="J353" i="1" a="1"/>
  <c r="J353" i="1" s="1"/>
  <c r="I353" i="1"/>
  <c r="K352" i="1"/>
  <c r="J352" i="1"/>
  <c r="J352" i="1" a="1"/>
  <c r="I352" i="1"/>
  <c r="K351" i="1"/>
  <c r="J351" i="1" a="1"/>
  <c r="J351" i="1" s="1"/>
  <c r="I351" i="1"/>
  <c r="K350" i="1"/>
  <c r="J350" i="1"/>
  <c r="J350" i="1" a="1"/>
  <c r="I350" i="1"/>
  <c r="K349" i="1"/>
  <c r="J349" i="1"/>
  <c r="J349" i="1" a="1"/>
  <c r="I349" i="1"/>
  <c r="K348" i="1"/>
  <c r="J348" i="1" a="1"/>
  <c r="J348" i="1" s="1"/>
  <c r="I348" i="1"/>
  <c r="K347" i="1"/>
  <c r="J347" i="1" a="1"/>
  <c r="J347" i="1" s="1"/>
  <c r="I347" i="1"/>
  <c r="K346" i="1"/>
  <c r="J346" i="1"/>
  <c r="J346" i="1" a="1"/>
  <c r="I346" i="1"/>
  <c r="K345" i="1"/>
  <c r="J345" i="1" a="1"/>
  <c r="J345" i="1" s="1"/>
  <c r="I345" i="1"/>
  <c r="K344" i="1"/>
  <c r="J344" i="1"/>
  <c r="J344" i="1" a="1"/>
  <c r="I344" i="1"/>
  <c r="K343" i="1"/>
  <c r="J343" i="1" a="1"/>
  <c r="J343" i="1" s="1"/>
  <c r="I343" i="1"/>
  <c r="K342" i="1"/>
  <c r="J342" i="1"/>
  <c r="J342" i="1" a="1"/>
  <c r="I342" i="1"/>
  <c r="K341" i="1"/>
  <c r="J341" i="1"/>
  <c r="J341" i="1" a="1"/>
  <c r="I341" i="1"/>
  <c r="K340" i="1"/>
  <c r="J340" i="1" a="1"/>
  <c r="J340" i="1" s="1"/>
  <c r="I340" i="1"/>
  <c r="K339" i="1"/>
  <c r="J339" i="1" a="1"/>
  <c r="J339" i="1" s="1"/>
  <c r="I339" i="1"/>
  <c r="K338" i="1"/>
  <c r="J338" i="1"/>
  <c r="J338" i="1" a="1"/>
  <c r="I338" i="1"/>
  <c r="K337" i="1"/>
  <c r="J337" i="1" a="1"/>
  <c r="J337" i="1" s="1"/>
  <c r="I337" i="1"/>
  <c r="K336" i="1"/>
  <c r="J336" i="1"/>
  <c r="J336" i="1" a="1"/>
  <c r="I336" i="1"/>
  <c r="K335" i="1"/>
  <c r="J335" i="1" a="1"/>
  <c r="J335" i="1" s="1"/>
  <c r="I335" i="1"/>
  <c r="K334" i="1"/>
  <c r="J334" i="1"/>
  <c r="J334" i="1" a="1"/>
  <c r="I334" i="1"/>
  <c r="K333" i="1"/>
  <c r="J333" i="1"/>
  <c r="J333" i="1" a="1"/>
  <c r="I333" i="1"/>
  <c r="K332" i="1"/>
  <c r="J332" i="1"/>
  <c r="J332" i="1" a="1"/>
  <c r="I332" i="1"/>
  <c r="K331" i="1"/>
  <c r="J331" i="1" a="1"/>
  <c r="J331" i="1" s="1"/>
  <c r="I331" i="1"/>
  <c r="K330" i="1"/>
  <c r="J330" i="1" a="1"/>
  <c r="J330" i="1" s="1"/>
  <c r="I330" i="1"/>
  <c r="K329" i="1"/>
  <c r="J329" i="1" a="1"/>
  <c r="J329" i="1" s="1"/>
  <c r="I329" i="1"/>
  <c r="K328" i="1"/>
  <c r="J328" i="1"/>
  <c r="J328" i="1" a="1"/>
  <c r="I328" i="1"/>
  <c r="K327" i="1"/>
  <c r="J327" i="1" a="1"/>
  <c r="J327" i="1" s="1"/>
  <c r="I327" i="1"/>
  <c r="K326" i="1"/>
  <c r="J326" i="1"/>
  <c r="J326" i="1" a="1"/>
  <c r="I326" i="1"/>
  <c r="K325" i="1"/>
  <c r="J325" i="1"/>
  <c r="J325" i="1" a="1"/>
  <c r="I325" i="1"/>
  <c r="K324" i="1"/>
  <c r="J324" i="1" a="1"/>
  <c r="J324" i="1" s="1"/>
  <c r="I324" i="1"/>
  <c r="K323" i="1"/>
  <c r="J323" i="1" a="1"/>
  <c r="J323" i="1" s="1"/>
  <c r="I323" i="1"/>
  <c r="K322" i="1"/>
  <c r="J322" i="1" a="1"/>
  <c r="J322" i="1" s="1"/>
  <c r="I322" i="1"/>
  <c r="K321" i="1"/>
  <c r="J321" i="1"/>
  <c r="J321" i="1" a="1"/>
  <c r="I321" i="1"/>
  <c r="K320" i="1"/>
  <c r="J320" i="1"/>
  <c r="J320" i="1" a="1"/>
  <c r="I320" i="1"/>
  <c r="K319" i="1"/>
  <c r="J319" i="1"/>
  <c r="J319" i="1" a="1"/>
  <c r="I319" i="1"/>
  <c r="K318" i="1"/>
  <c r="J318" i="1"/>
  <c r="J318" i="1" a="1"/>
  <c r="I318" i="1"/>
  <c r="K317" i="1"/>
  <c r="J317" i="1"/>
  <c r="J317" i="1" a="1"/>
  <c r="I317" i="1"/>
  <c r="K316" i="1"/>
  <c r="J316" i="1" a="1"/>
  <c r="J316" i="1" s="1"/>
  <c r="I316" i="1"/>
  <c r="K315" i="1"/>
  <c r="J315" i="1" a="1"/>
  <c r="J315" i="1" s="1"/>
  <c r="I315" i="1"/>
  <c r="K314" i="1"/>
  <c r="J314" i="1" a="1"/>
  <c r="J314" i="1" s="1"/>
  <c r="I314" i="1"/>
  <c r="K313" i="1"/>
  <c r="J313" i="1"/>
  <c r="J313" i="1" a="1"/>
  <c r="I313" i="1"/>
  <c r="K312" i="1"/>
  <c r="J312" i="1"/>
  <c r="J312" i="1" a="1"/>
  <c r="I312" i="1"/>
  <c r="K311" i="1"/>
  <c r="J311" i="1"/>
  <c r="J311" i="1" a="1"/>
  <c r="I311" i="1"/>
  <c r="K310" i="1"/>
  <c r="J310" i="1"/>
  <c r="J310" i="1" a="1"/>
  <c r="I310" i="1"/>
  <c r="K309" i="1"/>
  <c r="J309" i="1"/>
  <c r="J309" i="1" a="1"/>
  <c r="I309" i="1"/>
  <c r="K308" i="1"/>
  <c r="J308" i="1" a="1"/>
  <c r="J308" i="1" s="1"/>
  <c r="I308" i="1"/>
  <c r="K307" i="1"/>
  <c r="J307" i="1" a="1"/>
  <c r="J307" i="1" s="1"/>
  <c r="I307" i="1"/>
  <c r="K306" i="1"/>
  <c r="J306" i="1" a="1"/>
  <c r="J306" i="1" s="1"/>
  <c r="I306" i="1"/>
  <c r="K305" i="1"/>
  <c r="J305" i="1"/>
  <c r="J305" i="1" a="1"/>
  <c r="I305" i="1"/>
  <c r="K304" i="1"/>
  <c r="J304" i="1"/>
  <c r="J304" i="1" a="1"/>
  <c r="I304" i="1"/>
  <c r="K303" i="1"/>
  <c r="J303" i="1"/>
  <c r="J303" i="1" a="1"/>
  <c r="I303" i="1"/>
  <c r="K302" i="1"/>
  <c r="J302" i="1"/>
  <c r="J302" i="1" a="1"/>
  <c r="I302" i="1"/>
  <c r="K301" i="1"/>
  <c r="J301" i="1"/>
  <c r="J301" i="1" a="1"/>
  <c r="I301" i="1"/>
  <c r="K300" i="1"/>
  <c r="J300" i="1" a="1"/>
  <c r="J300" i="1" s="1"/>
  <c r="I300" i="1"/>
  <c r="K299" i="1"/>
  <c r="J299" i="1" a="1"/>
  <c r="J299" i="1" s="1"/>
  <c r="I299" i="1"/>
  <c r="K298" i="1"/>
  <c r="J298" i="1" a="1"/>
  <c r="J298" i="1" s="1"/>
  <c r="I298" i="1"/>
  <c r="K297" i="1"/>
  <c r="J297" i="1"/>
  <c r="J297" i="1" a="1"/>
  <c r="I297" i="1"/>
  <c r="K296" i="1"/>
  <c r="J296" i="1"/>
  <c r="J296" i="1" a="1"/>
  <c r="I296" i="1"/>
  <c r="K295" i="1"/>
  <c r="J295" i="1"/>
  <c r="J295" i="1" a="1"/>
  <c r="I295" i="1"/>
  <c r="K294" i="1"/>
  <c r="J294" i="1"/>
  <c r="J294" i="1" a="1"/>
  <c r="I294" i="1"/>
  <c r="K293" i="1"/>
  <c r="J293" i="1"/>
  <c r="J293" i="1" a="1"/>
  <c r="I293" i="1"/>
  <c r="K292" i="1"/>
  <c r="J292" i="1" a="1"/>
  <c r="J292" i="1" s="1"/>
  <c r="I292" i="1"/>
  <c r="K291" i="1"/>
  <c r="J291" i="1" a="1"/>
  <c r="J291" i="1" s="1"/>
  <c r="I291" i="1"/>
  <c r="K290" i="1"/>
  <c r="J290" i="1" a="1"/>
  <c r="J290" i="1" s="1"/>
  <c r="I290" i="1"/>
  <c r="K289" i="1"/>
  <c r="J289" i="1"/>
  <c r="J289" i="1" a="1"/>
  <c r="I289" i="1"/>
  <c r="K288" i="1"/>
  <c r="J288" i="1"/>
  <c r="J288" i="1" a="1"/>
  <c r="I288" i="1"/>
  <c r="K287" i="1"/>
  <c r="J287" i="1"/>
  <c r="J287" i="1" a="1"/>
  <c r="I287" i="1"/>
  <c r="K286" i="1"/>
  <c r="J286" i="1"/>
  <c r="J286" i="1" a="1"/>
  <c r="I286" i="1"/>
  <c r="K285" i="1"/>
  <c r="J285" i="1"/>
  <c r="J285" i="1" a="1"/>
  <c r="I285" i="1"/>
  <c r="K284" i="1"/>
  <c r="J284" i="1" a="1"/>
  <c r="J284" i="1" s="1"/>
  <c r="I284" i="1"/>
  <c r="K283" i="1"/>
  <c r="J283" i="1" a="1"/>
  <c r="J283" i="1" s="1"/>
  <c r="I283" i="1"/>
  <c r="K282" i="1"/>
  <c r="J282" i="1" a="1"/>
  <c r="J282" i="1" s="1"/>
  <c r="I282" i="1"/>
  <c r="K281" i="1"/>
  <c r="J281" i="1"/>
  <c r="J281" i="1" a="1"/>
  <c r="I281" i="1"/>
  <c r="K280" i="1"/>
  <c r="J280" i="1"/>
  <c r="J280" i="1" a="1"/>
  <c r="I280" i="1"/>
  <c r="K279" i="1"/>
  <c r="J279" i="1"/>
  <c r="J279" i="1" a="1"/>
  <c r="I279" i="1"/>
  <c r="K278" i="1"/>
  <c r="J278" i="1"/>
  <c r="J278" i="1" a="1"/>
  <c r="I278" i="1"/>
  <c r="K277" i="1"/>
  <c r="J277" i="1"/>
  <c r="J277" i="1" a="1"/>
  <c r="I277" i="1"/>
  <c r="K276" i="1"/>
  <c r="J276" i="1" a="1"/>
  <c r="J276" i="1" s="1"/>
  <c r="I276" i="1"/>
  <c r="K275" i="1"/>
  <c r="J275" i="1" a="1"/>
  <c r="J275" i="1" s="1"/>
  <c r="I275" i="1"/>
  <c r="K274" i="1"/>
  <c r="J274" i="1" a="1"/>
  <c r="J274" i="1" s="1"/>
  <c r="I274" i="1"/>
  <c r="K273" i="1"/>
  <c r="J273" i="1"/>
  <c r="J273" i="1" a="1"/>
  <c r="I273" i="1"/>
  <c r="K272" i="1"/>
  <c r="J272" i="1"/>
  <c r="J272" i="1" a="1"/>
  <c r="I272" i="1"/>
  <c r="K271" i="1"/>
  <c r="J271" i="1"/>
  <c r="J271" i="1" a="1"/>
  <c r="I271" i="1"/>
  <c r="K270" i="1"/>
  <c r="J270" i="1"/>
  <c r="J270" i="1" a="1"/>
  <c r="I270" i="1"/>
  <c r="K269" i="1"/>
  <c r="J269" i="1"/>
  <c r="J269" i="1" a="1"/>
  <c r="I269" i="1"/>
  <c r="K268" i="1"/>
  <c r="J268" i="1" a="1"/>
  <c r="J268" i="1" s="1"/>
  <c r="I268" i="1"/>
  <c r="K267" i="1"/>
  <c r="J267" i="1" a="1"/>
  <c r="J267" i="1" s="1"/>
  <c r="I267" i="1"/>
  <c r="K266" i="1"/>
  <c r="J266" i="1" a="1"/>
  <c r="J266" i="1" s="1"/>
  <c r="I266" i="1"/>
  <c r="K265" i="1"/>
  <c r="J265" i="1"/>
  <c r="J265" i="1" a="1"/>
  <c r="I265" i="1"/>
  <c r="K264" i="1"/>
  <c r="J264" i="1"/>
  <c r="J264" i="1" a="1"/>
  <c r="I264" i="1"/>
  <c r="K263" i="1"/>
  <c r="J263" i="1"/>
  <c r="J263" i="1" a="1"/>
  <c r="I263" i="1"/>
  <c r="K262" i="1"/>
  <c r="J262" i="1"/>
  <c r="J262" i="1" a="1"/>
  <c r="I262" i="1"/>
  <c r="K261" i="1"/>
  <c r="J261" i="1"/>
  <c r="J261" i="1" a="1"/>
  <c r="I261" i="1"/>
  <c r="K260" i="1"/>
  <c r="J260" i="1" a="1"/>
  <c r="J260" i="1" s="1"/>
  <c r="I260" i="1"/>
  <c r="K259" i="1"/>
  <c r="J259" i="1" a="1"/>
  <c r="J259" i="1" s="1"/>
  <c r="I259" i="1"/>
  <c r="K258" i="1"/>
  <c r="J258" i="1" a="1"/>
  <c r="J258" i="1" s="1"/>
  <c r="I258" i="1"/>
  <c r="K257" i="1"/>
  <c r="J257" i="1"/>
  <c r="J257" i="1" a="1"/>
  <c r="I257" i="1"/>
  <c r="K256" i="1"/>
  <c r="J256" i="1"/>
  <c r="J256" i="1" a="1"/>
  <c r="I256" i="1"/>
  <c r="K255" i="1"/>
  <c r="J255" i="1"/>
  <c r="J255" i="1" a="1"/>
  <c r="I255" i="1"/>
  <c r="K254" i="1"/>
  <c r="J254" i="1"/>
  <c r="J254" i="1" a="1"/>
  <c r="I254" i="1"/>
  <c r="K253" i="1"/>
  <c r="J253" i="1"/>
  <c r="J253" i="1" a="1"/>
  <c r="I253" i="1"/>
  <c r="K252" i="1"/>
  <c r="J252" i="1" a="1"/>
  <c r="J252" i="1" s="1"/>
  <c r="I252" i="1"/>
  <c r="K251" i="1"/>
  <c r="J251" i="1" a="1"/>
  <c r="J251" i="1" s="1"/>
  <c r="I251" i="1"/>
  <c r="K250" i="1"/>
  <c r="J250" i="1" a="1"/>
  <c r="J250" i="1" s="1"/>
  <c r="I250" i="1"/>
  <c r="K249" i="1"/>
  <c r="J249" i="1"/>
  <c r="J249" i="1" a="1"/>
  <c r="I249" i="1"/>
  <c r="K248" i="1"/>
  <c r="J248" i="1"/>
  <c r="J248" i="1" a="1"/>
  <c r="I248" i="1"/>
  <c r="K247" i="1"/>
  <c r="J247" i="1"/>
  <c r="J247" i="1" a="1"/>
  <c r="I247" i="1"/>
  <c r="K246" i="1"/>
  <c r="J246" i="1"/>
  <c r="J246" i="1" a="1"/>
  <c r="I246" i="1"/>
  <c r="K245" i="1"/>
  <c r="J245" i="1"/>
  <c r="J245" i="1" a="1"/>
  <c r="I245" i="1"/>
  <c r="K244" i="1"/>
  <c r="J244" i="1" a="1"/>
  <c r="J244" i="1" s="1"/>
  <c r="I244" i="1"/>
  <c r="K243" i="1"/>
  <c r="J243" i="1" a="1"/>
  <c r="J243" i="1" s="1"/>
  <c r="I243" i="1"/>
  <c r="K242" i="1"/>
  <c r="J242" i="1" a="1"/>
  <c r="J242" i="1" s="1"/>
  <c r="I242" i="1"/>
  <c r="K241" i="1"/>
  <c r="J241" i="1"/>
  <c r="J241" i="1" a="1"/>
  <c r="I241" i="1"/>
  <c r="K240" i="1"/>
  <c r="J240" i="1"/>
  <c r="J240" i="1" a="1"/>
  <c r="I240" i="1"/>
  <c r="K239" i="1"/>
  <c r="J239" i="1"/>
  <c r="J239" i="1" a="1"/>
  <c r="I239" i="1"/>
  <c r="K238" i="1"/>
  <c r="J238" i="1"/>
  <c r="J238" i="1" a="1"/>
  <c r="I238" i="1"/>
  <c r="K237" i="1"/>
  <c r="J237" i="1"/>
  <c r="J237" i="1" a="1"/>
  <c r="I237" i="1"/>
  <c r="K236" i="1"/>
  <c r="J236" i="1" a="1"/>
  <c r="J236" i="1" s="1"/>
  <c r="I236" i="1"/>
  <c r="K235" i="1"/>
  <c r="J235" i="1" a="1"/>
  <c r="J235" i="1" s="1"/>
  <c r="I235" i="1"/>
  <c r="K234" i="1"/>
  <c r="J234" i="1" a="1"/>
  <c r="J234" i="1" s="1"/>
  <c r="I234" i="1"/>
  <c r="K233" i="1"/>
  <c r="J233" i="1"/>
  <c r="J233" i="1" a="1"/>
  <c r="I233" i="1"/>
  <c r="K232" i="1"/>
  <c r="J232" i="1" a="1"/>
  <c r="J232" i="1" s="1"/>
  <c r="I232" i="1"/>
  <c r="K231" i="1"/>
  <c r="J231" i="1"/>
  <c r="J231" i="1" a="1"/>
  <c r="I231" i="1"/>
  <c r="K230" i="1"/>
  <c r="J230" i="1"/>
  <c r="J230" i="1" a="1"/>
  <c r="I230" i="1"/>
  <c r="K229" i="1"/>
  <c r="J229" i="1"/>
  <c r="J229" i="1" a="1"/>
  <c r="I229" i="1"/>
  <c r="K228" i="1"/>
  <c r="J228" i="1" a="1"/>
  <c r="J228" i="1" s="1"/>
  <c r="I228" i="1"/>
  <c r="K227" i="1"/>
  <c r="J227" i="1" a="1"/>
  <c r="J227" i="1" s="1"/>
  <c r="I227" i="1"/>
  <c r="K226" i="1"/>
  <c r="J226" i="1" a="1"/>
  <c r="J226" i="1" s="1"/>
  <c r="I226" i="1"/>
  <c r="K225" i="1"/>
  <c r="J225" i="1"/>
  <c r="J225" i="1" a="1"/>
  <c r="I225" i="1"/>
  <c r="K224" i="1"/>
  <c r="J224" i="1" a="1"/>
  <c r="J224" i="1" s="1"/>
  <c r="I224" i="1"/>
  <c r="K223" i="1"/>
  <c r="J223" i="1"/>
  <c r="J223" i="1" a="1"/>
  <c r="I223" i="1"/>
  <c r="K222" i="1"/>
  <c r="J222" i="1"/>
  <c r="J222" i="1" a="1"/>
  <c r="I222" i="1"/>
  <c r="K221" i="1"/>
  <c r="J221" i="1"/>
  <c r="J221" i="1" a="1"/>
  <c r="I221" i="1"/>
  <c r="K220" i="1"/>
  <c r="J220" i="1" a="1"/>
  <c r="J220" i="1" s="1"/>
  <c r="I220" i="1"/>
  <c r="K219" i="1"/>
  <c r="J219" i="1" a="1"/>
  <c r="J219" i="1" s="1"/>
  <c r="I219" i="1"/>
  <c r="K218" i="1"/>
  <c r="J218" i="1" a="1"/>
  <c r="J218" i="1" s="1"/>
  <c r="I218" i="1"/>
  <c r="K217" i="1"/>
  <c r="J217" i="1"/>
  <c r="J217" i="1" a="1"/>
  <c r="I217" i="1"/>
  <c r="K216" i="1"/>
  <c r="J216" i="1"/>
  <c r="J216" i="1" a="1"/>
  <c r="I216" i="1"/>
  <c r="K215" i="1"/>
  <c r="J215" i="1"/>
  <c r="J215" i="1" a="1"/>
  <c r="I215" i="1"/>
  <c r="K214" i="1"/>
  <c r="J214" i="1"/>
  <c r="J214" i="1" a="1"/>
  <c r="I214" i="1"/>
  <c r="K213" i="1"/>
  <c r="J213" i="1"/>
  <c r="J213" i="1" a="1"/>
  <c r="I213" i="1"/>
  <c r="K212" i="1"/>
  <c r="J212" i="1" a="1"/>
  <c r="J212" i="1" s="1"/>
  <c r="I212" i="1"/>
  <c r="K211" i="1"/>
  <c r="J211" i="1" a="1"/>
  <c r="J211" i="1" s="1"/>
  <c r="I211" i="1"/>
  <c r="K210" i="1"/>
  <c r="J210" i="1" a="1"/>
  <c r="J210" i="1" s="1"/>
  <c r="I210" i="1"/>
  <c r="K209" i="1"/>
  <c r="J209" i="1"/>
  <c r="J209" i="1" a="1"/>
  <c r="I209" i="1"/>
  <c r="K208" i="1"/>
  <c r="J208" i="1" a="1"/>
  <c r="J208" i="1" s="1"/>
  <c r="I208" i="1"/>
  <c r="K207" i="1"/>
  <c r="J207" i="1"/>
  <c r="J207" i="1" a="1"/>
  <c r="I207" i="1"/>
  <c r="K206" i="1"/>
  <c r="J206" i="1"/>
  <c r="J206" i="1" a="1"/>
  <c r="I206" i="1"/>
  <c r="K205" i="1"/>
  <c r="J205" i="1"/>
  <c r="J205" i="1" a="1"/>
  <c r="I205" i="1"/>
  <c r="K204" i="1"/>
  <c r="J204" i="1" a="1"/>
  <c r="J204" i="1" s="1"/>
  <c r="I204" i="1"/>
  <c r="K203" i="1"/>
  <c r="J203" i="1" a="1"/>
  <c r="J203" i="1" s="1"/>
  <c r="I203" i="1"/>
  <c r="K202" i="1"/>
  <c r="J202" i="1" a="1"/>
  <c r="J202" i="1" s="1"/>
  <c r="I202" i="1"/>
  <c r="K201" i="1"/>
  <c r="J201" i="1"/>
  <c r="J201" i="1" a="1"/>
  <c r="I201" i="1"/>
  <c r="K200" i="1"/>
  <c r="J200" i="1" a="1"/>
  <c r="J200" i="1" s="1"/>
  <c r="I200" i="1"/>
  <c r="K199" i="1"/>
  <c r="J199" i="1"/>
  <c r="J199" i="1" a="1"/>
  <c r="I199" i="1"/>
  <c r="K198" i="1"/>
  <c r="J198" i="1"/>
  <c r="J198" i="1" a="1"/>
  <c r="I198" i="1"/>
  <c r="K197" i="1"/>
  <c r="J197" i="1"/>
  <c r="J197" i="1" a="1"/>
  <c r="I197" i="1"/>
  <c r="K196" i="1"/>
  <c r="J196" i="1" a="1"/>
  <c r="J196" i="1" s="1"/>
  <c r="I196" i="1"/>
  <c r="K195" i="1"/>
  <c r="J195" i="1" a="1"/>
  <c r="J195" i="1" s="1"/>
  <c r="I195" i="1"/>
  <c r="K194" i="1"/>
  <c r="J194" i="1" a="1"/>
  <c r="J194" i="1" s="1"/>
  <c r="I194" i="1"/>
  <c r="K193" i="1"/>
  <c r="J193" i="1"/>
  <c r="J193" i="1" a="1"/>
  <c r="I193" i="1"/>
  <c r="K192" i="1"/>
  <c r="J192" i="1" a="1"/>
  <c r="J192" i="1" s="1"/>
  <c r="I192" i="1"/>
  <c r="K191" i="1"/>
  <c r="J191" i="1"/>
  <c r="J191" i="1" a="1"/>
  <c r="I191" i="1"/>
  <c r="K190" i="1"/>
  <c r="J190" i="1"/>
  <c r="J190" i="1" a="1"/>
  <c r="I190" i="1"/>
  <c r="K189" i="1"/>
  <c r="J189" i="1"/>
  <c r="J189" i="1" a="1"/>
  <c r="I189" i="1"/>
  <c r="K188" i="1"/>
  <c r="J188" i="1" a="1"/>
  <c r="J188" i="1" s="1"/>
  <c r="I188" i="1"/>
  <c r="K187" i="1"/>
  <c r="J187" i="1" a="1"/>
  <c r="J187" i="1" s="1"/>
  <c r="I187" i="1"/>
  <c r="K186" i="1"/>
  <c r="J186" i="1" a="1"/>
  <c r="J186" i="1" s="1"/>
  <c r="I186" i="1"/>
  <c r="K185" i="1"/>
  <c r="J185" i="1"/>
  <c r="J185" i="1" a="1"/>
  <c r="I185" i="1"/>
  <c r="K184" i="1"/>
  <c r="J184" i="1" a="1"/>
  <c r="J184" i="1" s="1"/>
  <c r="I184" i="1"/>
  <c r="K183" i="1"/>
  <c r="J183" i="1"/>
  <c r="J183" i="1" a="1"/>
  <c r="I183" i="1"/>
  <c r="K182" i="1"/>
  <c r="J182" i="1"/>
  <c r="J182" i="1" a="1"/>
  <c r="I182" i="1"/>
  <c r="K181" i="1"/>
  <c r="J181" i="1"/>
  <c r="J181" i="1" a="1"/>
  <c r="I181" i="1"/>
  <c r="K180" i="1"/>
  <c r="J180" i="1" a="1"/>
  <c r="J180" i="1" s="1"/>
  <c r="I180" i="1"/>
  <c r="K179" i="1"/>
  <c r="J179" i="1" a="1"/>
  <c r="J179" i="1" s="1"/>
  <c r="I179" i="1"/>
  <c r="K178" i="1"/>
  <c r="J178" i="1" a="1"/>
  <c r="J178" i="1" s="1"/>
  <c r="I178" i="1"/>
  <c r="K177" i="1"/>
  <c r="J177" i="1"/>
  <c r="J177" i="1" a="1"/>
  <c r="I177" i="1"/>
  <c r="K176" i="1"/>
  <c r="J176" i="1" a="1"/>
  <c r="J176" i="1" s="1"/>
  <c r="I176" i="1"/>
  <c r="K175" i="1"/>
  <c r="J175" i="1"/>
  <c r="J175" i="1" a="1"/>
  <c r="I175" i="1"/>
  <c r="K174" i="1"/>
  <c r="J174" i="1"/>
  <c r="J174" i="1" a="1"/>
  <c r="I174" i="1"/>
  <c r="K173" i="1"/>
  <c r="J173" i="1"/>
  <c r="J173" i="1" a="1"/>
  <c r="I173" i="1"/>
  <c r="K172" i="1"/>
  <c r="J172" i="1" a="1"/>
  <c r="J172" i="1" s="1"/>
  <c r="I172" i="1"/>
  <c r="K171" i="1"/>
  <c r="J171" i="1" a="1"/>
  <c r="J171" i="1" s="1"/>
  <c r="I171" i="1"/>
  <c r="K170" i="1"/>
  <c r="J170" i="1" a="1"/>
  <c r="J170" i="1" s="1"/>
  <c r="I170" i="1"/>
  <c r="K169" i="1"/>
  <c r="J169" i="1"/>
  <c r="J169" i="1" a="1"/>
  <c r="I169" i="1"/>
  <c r="K168" i="1"/>
  <c r="J168" i="1"/>
  <c r="J168" i="1" a="1"/>
  <c r="I168" i="1"/>
  <c r="K167" i="1"/>
  <c r="J167" i="1"/>
  <c r="J167" i="1" a="1"/>
  <c r="I167" i="1"/>
  <c r="K166" i="1"/>
  <c r="J166" i="1"/>
  <c r="J166" i="1" a="1"/>
  <c r="I166" i="1"/>
  <c r="K165" i="1"/>
  <c r="J165" i="1"/>
  <c r="J165" i="1" a="1"/>
  <c r="I165" i="1"/>
  <c r="K164" i="1"/>
  <c r="J164" i="1" a="1"/>
  <c r="J164" i="1" s="1"/>
  <c r="I164" i="1"/>
  <c r="K163" i="1"/>
  <c r="J163" i="1" a="1"/>
  <c r="J163" i="1" s="1"/>
  <c r="I163" i="1"/>
  <c r="K162" i="1"/>
  <c r="J162" i="1" a="1"/>
  <c r="J162" i="1" s="1"/>
  <c r="I162" i="1"/>
  <c r="K161" i="1"/>
  <c r="J161" i="1"/>
  <c r="J161" i="1" a="1"/>
  <c r="I161" i="1"/>
  <c r="K160" i="1"/>
  <c r="J160" i="1" a="1"/>
  <c r="J160" i="1" s="1"/>
  <c r="I160" i="1"/>
  <c r="K159" i="1"/>
  <c r="J159" i="1"/>
  <c r="J159" i="1" a="1"/>
  <c r="I159" i="1"/>
  <c r="K158" i="1"/>
  <c r="J158" i="1"/>
  <c r="J158" i="1" a="1"/>
  <c r="I158" i="1"/>
  <c r="K157" i="1"/>
  <c r="J157" i="1"/>
  <c r="J157" i="1" a="1"/>
  <c r="I157" i="1"/>
  <c r="K156" i="1"/>
  <c r="J156" i="1" a="1"/>
  <c r="J156" i="1" s="1"/>
  <c r="I156" i="1"/>
  <c r="K155" i="1"/>
  <c r="J155" i="1" a="1"/>
  <c r="J155" i="1" s="1"/>
  <c r="I155" i="1"/>
  <c r="K154" i="1"/>
  <c r="J154" i="1" a="1"/>
  <c r="J154" i="1" s="1"/>
  <c r="I154" i="1"/>
  <c r="K153" i="1"/>
  <c r="J153" i="1"/>
  <c r="J153" i="1" a="1"/>
  <c r="I153" i="1"/>
  <c r="K152" i="1"/>
  <c r="J152" i="1" a="1"/>
  <c r="J152" i="1" s="1"/>
  <c r="I152" i="1"/>
  <c r="K151" i="1"/>
  <c r="J151" i="1"/>
  <c r="J151" i="1" a="1"/>
  <c r="I151" i="1"/>
  <c r="K150" i="1"/>
  <c r="J150" i="1"/>
  <c r="J150" i="1" a="1"/>
  <c r="I150" i="1"/>
  <c r="K149" i="1"/>
  <c r="J149" i="1"/>
  <c r="J149" i="1" a="1"/>
  <c r="I149" i="1"/>
  <c r="K148" i="1"/>
  <c r="J148" i="1" a="1"/>
  <c r="J148" i="1" s="1"/>
  <c r="I148" i="1"/>
  <c r="K147" i="1"/>
  <c r="J147" i="1" a="1"/>
  <c r="J147" i="1" s="1"/>
  <c r="I147" i="1"/>
  <c r="K146" i="1"/>
  <c r="J146" i="1" a="1"/>
  <c r="J146" i="1" s="1"/>
  <c r="I146" i="1"/>
  <c r="K145" i="1"/>
  <c r="J145" i="1"/>
  <c r="J145" i="1" a="1"/>
  <c r="I145" i="1"/>
  <c r="K144" i="1"/>
  <c r="J144" i="1" a="1"/>
  <c r="J144" i="1" s="1"/>
  <c r="I144" i="1"/>
  <c r="K143" i="1"/>
  <c r="J143" i="1"/>
  <c r="J143" i="1" a="1"/>
  <c r="I143" i="1"/>
  <c r="K142" i="1"/>
  <c r="J142" i="1"/>
  <c r="J142" i="1" a="1"/>
  <c r="I142" i="1"/>
  <c r="K141" i="1"/>
  <c r="J141" i="1"/>
  <c r="J141" i="1" a="1"/>
  <c r="I141" i="1"/>
  <c r="K140" i="1"/>
  <c r="J140" i="1" a="1"/>
  <c r="J140" i="1" s="1"/>
  <c r="I140" i="1"/>
  <c r="K139" i="1"/>
  <c r="J139" i="1" a="1"/>
  <c r="J139" i="1" s="1"/>
  <c r="I139" i="1"/>
  <c r="K138" i="1"/>
  <c r="J138" i="1" a="1"/>
  <c r="J138" i="1" s="1"/>
  <c r="I138" i="1"/>
  <c r="K137" i="1"/>
  <c r="J137" i="1"/>
  <c r="J137" i="1" a="1"/>
  <c r="I137" i="1"/>
  <c r="K136" i="1"/>
  <c r="J136" i="1" a="1"/>
  <c r="J136" i="1" s="1"/>
  <c r="I136" i="1"/>
  <c r="K135" i="1"/>
  <c r="J135" i="1"/>
  <c r="J135" i="1" a="1"/>
  <c r="I135" i="1"/>
  <c r="K134" i="1"/>
  <c r="J134" i="1"/>
  <c r="J134" i="1" a="1"/>
  <c r="I134" i="1"/>
  <c r="K133" i="1"/>
  <c r="J133" i="1"/>
  <c r="J133" i="1" a="1"/>
  <c r="I133" i="1"/>
  <c r="K132" i="1"/>
  <c r="J132" i="1" a="1"/>
  <c r="J132" i="1" s="1"/>
  <c r="I132" i="1"/>
  <c r="K131" i="1"/>
  <c r="J131" i="1" a="1"/>
  <c r="J131" i="1" s="1"/>
  <c r="I131" i="1"/>
  <c r="K130" i="1"/>
  <c r="J130" i="1" a="1"/>
  <c r="J130" i="1" s="1"/>
  <c r="I130" i="1"/>
  <c r="K129" i="1"/>
  <c r="J129" i="1" a="1"/>
  <c r="J129" i="1" s="1"/>
  <c r="I129" i="1"/>
  <c r="K128" i="1"/>
  <c r="J128" i="1" a="1"/>
  <c r="J128" i="1" s="1"/>
  <c r="I128" i="1"/>
  <c r="K127" i="1"/>
  <c r="J127" i="1"/>
  <c r="J127" i="1" a="1"/>
  <c r="I127" i="1"/>
  <c r="K126" i="1"/>
  <c r="J126" i="1"/>
  <c r="J126" i="1" a="1"/>
  <c r="I126" i="1"/>
  <c r="K125" i="1"/>
  <c r="J125" i="1"/>
  <c r="J125" i="1" a="1"/>
  <c r="I125" i="1"/>
  <c r="K124" i="1"/>
  <c r="J124" i="1" a="1"/>
  <c r="J124" i="1" s="1"/>
  <c r="I124" i="1"/>
  <c r="K123" i="1"/>
  <c r="J123" i="1" a="1"/>
  <c r="J123" i="1" s="1"/>
  <c r="I123" i="1"/>
  <c r="K122" i="1"/>
  <c r="J122" i="1" a="1"/>
  <c r="J122" i="1" s="1"/>
  <c r="I122" i="1"/>
  <c r="K121" i="1"/>
  <c r="J121" i="1"/>
  <c r="J121" i="1" a="1"/>
  <c r="I121" i="1"/>
  <c r="K120" i="1"/>
  <c r="J120" i="1" a="1"/>
  <c r="J120" i="1" s="1"/>
  <c r="I120" i="1"/>
  <c r="K119" i="1"/>
  <c r="J119" i="1"/>
  <c r="J119" i="1" a="1"/>
  <c r="I119" i="1"/>
  <c r="K118" i="1"/>
  <c r="J118" i="1"/>
  <c r="J118" i="1" a="1"/>
  <c r="I118" i="1"/>
  <c r="K117" i="1"/>
  <c r="J117" i="1"/>
  <c r="J117" i="1" a="1"/>
  <c r="I117" i="1"/>
  <c r="K116" i="1"/>
  <c r="J116" i="1" a="1"/>
  <c r="J116" i="1" s="1"/>
  <c r="I116" i="1"/>
  <c r="K115" i="1"/>
  <c r="J115" i="1" a="1"/>
  <c r="J115" i="1" s="1"/>
  <c r="I115" i="1"/>
  <c r="K114" i="1"/>
  <c r="J114" i="1" a="1"/>
  <c r="J114" i="1" s="1"/>
  <c r="I114" i="1"/>
  <c r="K113" i="1"/>
  <c r="J113" i="1" a="1"/>
  <c r="J113" i="1" s="1"/>
  <c r="I113" i="1"/>
  <c r="K112" i="1"/>
  <c r="J112" i="1" a="1"/>
  <c r="J112" i="1" s="1"/>
  <c r="I112" i="1"/>
  <c r="K111" i="1"/>
  <c r="J111" i="1"/>
  <c r="J111" i="1" a="1"/>
  <c r="I111" i="1"/>
  <c r="K110" i="1"/>
  <c r="J110" i="1"/>
  <c r="J110" i="1" a="1"/>
  <c r="I110" i="1"/>
  <c r="K109" i="1"/>
  <c r="J109" i="1"/>
  <c r="J109" i="1" a="1"/>
  <c r="I109" i="1"/>
  <c r="K108" i="1"/>
  <c r="J108" i="1" a="1"/>
  <c r="J108" i="1" s="1"/>
  <c r="I108" i="1"/>
  <c r="K107" i="1"/>
  <c r="J107" i="1" a="1"/>
  <c r="J107" i="1" s="1"/>
  <c r="I107" i="1"/>
  <c r="K106" i="1"/>
  <c r="J106" i="1" a="1"/>
  <c r="J106" i="1" s="1"/>
  <c r="I106" i="1"/>
  <c r="K105" i="1"/>
  <c r="J105" i="1" a="1"/>
  <c r="J105" i="1" s="1"/>
  <c r="I105" i="1"/>
  <c r="K104" i="1"/>
  <c r="J104" i="1" a="1"/>
  <c r="J104" i="1" s="1"/>
  <c r="I104" i="1"/>
  <c r="K103" i="1"/>
  <c r="J103" i="1"/>
  <c r="J103" i="1" a="1"/>
  <c r="I103" i="1"/>
  <c r="K102" i="1"/>
  <c r="J102" i="1"/>
  <c r="J102" i="1" a="1"/>
  <c r="I102" i="1"/>
  <c r="K101" i="1"/>
  <c r="J101" i="1"/>
  <c r="J101" i="1" a="1"/>
  <c r="I101" i="1"/>
  <c r="K100" i="1"/>
  <c r="J100" i="1" a="1"/>
  <c r="J100" i="1" s="1"/>
  <c r="I100" i="1"/>
  <c r="K99" i="1"/>
  <c r="J99" i="1" a="1"/>
  <c r="J99" i="1" s="1"/>
  <c r="I99" i="1"/>
  <c r="K98" i="1"/>
  <c r="J98" i="1" a="1"/>
  <c r="J98" i="1" s="1"/>
  <c r="I98" i="1"/>
  <c r="K97" i="1"/>
  <c r="J97" i="1" a="1"/>
  <c r="J97" i="1" s="1"/>
  <c r="I97" i="1"/>
  <c r="K96" i="1"/>
  <c r="J96" i="1" a="1"/>
  <c r="J96" i="1" s="1"/>
  <c r="I96" i="1"/>
  <c r="K95" i="1"/>
  <c r="J95" i="1"/>
  <c r="J95" i="1" a="1"/>
  <c r="I95" i="1"/>
  <c r="K94" i="1"/>
  <c r="J94" i="1"/>
  <c r="J94" i="1" a="1"/>
  <c r="I94" i="1"/>
  <c r="K93" i="1"/>
  <c r="J93" i="1"/>
  <c r="J93" i="1" a="1"/>
  <c r="I93" i="1"/>
  <c r="K92" i="1"/>
  <c r="J92" i="1" a="1"/>
  <c r="J92" i="1" s="1"/>
  <c r="I92" i="1"/>
  <c r="K91" i="1"/>
  <c r="J91" i="1" a="1"/>
  <c r="J91" i="1" s="1"/>
  <c r="I91" i="1"/>
  <c r="K90" i="1"/>
  <c r="J90" i="1" a="1"/>
  <c r="J90" i="1" s="1"/>
  <c r="I90" i="1"/>
  <c r="K89" i="1"/>
  <c r="J89" i="1" a="1"/>
  <c r="J89" i="1" s="1"/>
  <c r="I89" i="1"/>
  <c r="K88" i="1"/>
  <c r="J88" i="1" a="1"/>
  <c r="J88" i="1" s="1"/>
  <c r="I88" i="1"/>
  <c r="K87" i="1"/>
  <c r="J87" i="1"/>
  <c r="J87" i="1" a="1"/>
  <c r="I87" i="1"/>
  <c r="K86" i="1"/>
  <c r="J86" i="1"/>
  <c r="J86" i="1" a="1"/>
  <c r="I86" i="1"/>
  <c r="K85" i="1"/>
  <c r="J85" i="1"/>
  <c r="J85" i="1" a="1"/>
  <c r="I85" i="1"/>
  <c r="K84" i="1"/>
  <c r="J84" i="1" a="1"/>
  <c r="J84" i="1" s="1"/>
  <c r="I84" i="1"/>
  <c r="K83" i="1"/>
  <c r="J83" i="1" a="1"/>
  <c r="J83" i="1" s="1"/>
  <c r="I83" i="1"/>
  <c r="K82" i="1"/>
  <c r="J82" i="1" a="1"/>
  <c r="J82" i="1" s="1"/>
  <c r="I82" i="1"/>
  <c r="K81" i="1"/>
  <c r="J81" i="1"/>
  <c r="J81" i="1" a="1"/>
  <c r="I81" i="1"/>
  <c r="K80" i="1"/>
  <c r="J80" i="1" a="1"/>
  <c r="J80" i="1" s="1"/>
  <c r="I80" i="1"/>
  <c r="K79" i="1"/>
  <c r="J79" i="1"/>
  <c r="J79" i="1" a="1"/>
  <c r="I79" i="1"/>
  <c r="K78" i="1"/>
  <c r="J78" i="1"/>
  <c r="J78" i="1" a="1"/>
  <c r="I78" i="1"/>
  <c r="K77" i="1"/>
  <c r="J77" i="1"/>
  <c r="J77" i="1" a="1"/>
  <c r="I77" i="1"/>
  <c r="K76" i="1"/>
  <c r="J76" i="1" a="1"/>
  <c r="J76" i="1" s="1"/>
  <c r="I76" i="1"/>
  <c r="K75" i="1"/>
  <c r="J75" i="1" a="1"/>
  <c r="J75" i="1" s="1"/>
  <c r="I75" i="1"/>
  <c r="K74" i="1"/>
  <c r="J74" i="1" a="1"/>
  <c r="J74" i="1" s="1"/>
  <c r="I74" i="1"/>
  <c r="K73" i="1"/>
  <c r="J73" i="1" a="1"/>
  <c r="J73" i="1" s="1"/>
  <c r="I73" i="1"/>
  <c r="K72" i="1"/>
  <c r="J72" i="1" a="1"/>
  <c r="J72" i="1" s="1"/>
  <c r="I72" i="1"/>
  <c r="K71" i="1"/>
  <c r="J71" i="1"/>
  <c r="J71" i="1" a="1"/>
  <c r="I71" i="1"/>
  <c r="K70" i="1"/>
  <c r="J70" i="1"/>
  <c r="J70" i="1" a="1"/>
  <c r="I70" i="1"/>
  <c r="K69" i="1"/>
  <c r="J69" i="1"/>
  <c r="J69" i="1" a="1"/>
  <c r="I69" i="1"/>
  <c r="K68" i="1"/>
  <c r="J68" i="1" a="1"/>
  <c r="J68" i="1" s="1"/>
  <c r="I68" i="1"/>
  <c r="K67" i="1"/>
  <c r="J67" i="1" a="1"/>
  <c r="J67" i="1" s="1"/>
  <c r="I67" i="1"/>
  <c r="K66" i="1"/>
  <c r="J66" i="1" a="1"/>
  <c r="J66" i="1" s="1"/>
  <c r="I66" i="1"/>
  <c r="K65" i="1"/>
  <c r="J65" i="1" a="1"/>
  <c r="J65" i="1" s="1"/>
  <c r="I65" i="1"/>
  <c r="K64" i="1"/>
  <c r="J64" i="1" a="1"/>
  <c r="J64" i="1" s="1"/>
  <c r="I64" i="1"/>
  <c r="K63" i="1"/>
  <c r="J63" i="1"/>
  <c r="J63" i="1" a="1"/>
  <c r="I63" i="1"/>
  <c r="K62" i="1"/>
  <c r="J62" i="1"/>
  <c r="J62" i="1" a="1"/>
  <c r="I62" i="1"/>
  <c r="K61" i="1"/>
  <c r="J61" i="1"/>
  <c r="J61" i="1" a="1"/>
  <c r="I61" i="1"/>
  <c r="K60" i="1"/>
  <c r="J60" i="1" a="1"/>
  <c r="J60" i="1" s="1"/>
  <c r="I60" i="1"/>
  <c r="K59" i="1"/>
  <c r="J59" i="1" a="1"/>
  <c r="J59" i="1" s="1"/>
  <c r="I59" i="1"/>
  <c r="K58" i="1"/>
  <c r="J58" i="1" a="1"/>
  <c r="J58" i="1" s="1"/>
  <c r="I58" i="1"/>
  <c r="K57" i="1"/>
  <c r="J57" i="1" a="1"/>
  <c r="J57" i="1" s="1"/>
  <c r="I57" i="1"/>
  <c r="K56" i="1"/>
  <c r="J56" i="1" a="1"/>
  <c r="J56" i="1" s="1"/>
  <c r="I56" i="1"/>
  <c r="K55" i="1"/>
  <c r="J55" i="1"/>
  <c r="J55" i="1" a="1"/>
  <c r="I55" i="1"/>
  <c r="K54" i="1"/>
  <c r="J54" i="1"/>
  <c r="J54" i="1" a="1"/>
  <c r="I54" i="1"/>
  <c r="K53" i="1"/>
  <c r="J53" i="1"/>
  <c r="J53" i="1" a="1"/>
  <c r="I53" i="1"/>
  <c r="K52" i="1"/>
  <c r="J52" i="1" a="1"/>
  <c r="J52" i="1" s="1"/>
  <c r="I52" i="1"/>
  <c r="K51" i="1"/>
  <c r="J51" i="1" a="1"/>
  <c r="J51" i="1" s="1"/>
  <c r="I51" i="1"/>
  <c r="K50" i="1"/>
  <c r="J50" i="1" a="1"/>
  <c r="J50" i="1" s="1"/>
  <c r="I50" i="1"/>
  <c r="K49" i="1"/>
  <c r="J49" i="1" a="1"/>
  <c r="J49" i="1" s="1"/>
  <c r="I49" i="1"/>
  <c r="K48" i="1"/>
  <c r="J48" i="1" a="1"/>
  <c r="J48" i="1" s="1"/>
  <c r="I48" i="1"/>
  <c r="K47" i="1"/>
  <c r="J47" i="1"/>
  <c r="J47" i="1" a="1"/>
  <c r="I47" i="1"/>
  <c r="K46" i="1"/>
  <c r="J46" i="1"/>
  <c r="J46" i="1" a="1"/>
  <c r="I46" i="1"/>
  <c r="K45" i="1"/>
  <c r="J45" i="1"/>
  <c r="J45" i="1" a="1"/>
  <c r="I45" i="1"/>
  <c r="K44" i="1"/>
  <c r="J44" i="1" a="1"/>
  <c r="J44" i="1" s="1"/>
  <c r="I44" i="1"/>
  <c r="K43" i="1"/>
  <c r="J43" i="1" a="1"/>
  <c r="J43" i="1" s="1"/>
  <c r="I43" i="1"/>
  <c r="K42" i="1"/>
  <c r="J42" i="1" a="1"/>
  <c r="J42" i="1" s="1"/>
  <c r="I42" i="1"/>
  <c r="K41" i="1"/>
  <c r="J41" i="1" a="1"/>
  <c r="J41" i="1" s="1"/>
  <c r="I41" i="1"/>
  <c r="K40" i="1"/>
  <c r="J40" i="1" a="1"/>
  <c r="J40" i="1" s="1"/>
  <c r="I40" i="1"/>
  <c r="K39" i="1"/>
  <c r="J39" i="1"/>
  <c r="J39" i="1" a="1"/>
  <c r="I39" i="1"/>
  <c r="K38" i="1"/>
  <c r="J38" i="1"/>
  <c r="J38" i="1" a="1"/>
  <c r="I38" i="1"/>
  <c r="K37" i="1"/>
  <c r="J37" i="1"/>
  <c r="J37" i="1" a="1"/>
  <c r="I37" i="1"/>
  <c r="K36" i="1"/>
  <c r="J36" i="1" a="1"/>
  <c r="J36" i="1" s="1"/>
  <c r="I36" i="1"/>
  <c r="K35" i="1"/>
  <c r="J35" i="1" a="1"/>
  <c r="J35" i="1" s="1"/>
  <c r="I35" i="1"/>
  <c r="K34" i="1"/>
  <c r="J34" i="1" a="1"/>
  <c r="J34" i="1" s="1"/>
  <c r="I34" i="1"/>
  <c r="K33" i="1"/>
  <c r="J33" i="1" a="1"/>
  <c r="J33" i="1" s="1"/>
  <c r="I33" i="1"/>
  <c r="K32" i="1"/>
  <c r="J32" i="1" a="1"/>
  <c r="J32" i="1" s="1"/>
  <c r="I32" i="1"/>
  <c r="K31" i="1"/>
  <c r="J31" i="1"/>
  <c r="J31" i="1" a="1"/>
  <c r="I31" i="1"/>
  <c r="K30" i="1"/>
  <c r="J30" i="1"/>
  <c r="J30" i="1" a="1"/>
  <c r="I30" i="1"/>
  <c r="K29" i="1"/>
  <c r="J29" i="1"/>
  <c r="J29" i="1" a="1"/>
  <c r="I29" i="1"/>
  <c r="K28" i="1"/>
  <c r="J28" i="1" a="1"/>
  <c r="J28" i="1" s="1"/>
  <c r="I28" i="1"/>
  <c r="K27" i="1"/>
  <c r="J27" i="1" a="1"/>
  <c r="J27" i="1" s="1"/>
  <c r="I27" i="1"/>
  <c r="K26" i="1"/>
  <c r="J26" i="1" a="1"/>
  <c r="J26" i="1" s="1"/>
  <c r="I26" i="1"/>
  <c r="K25" i="1"/>
  <c r="J25" i="1" a="1"/>
  <c r="J25" i="1" s="1"/>
  <c r="I25" i="1"/>
  <c r="K24" i="1"/>
  <c r="J24" i="1" a="1"/>
  <c r="J24" i="1" s="1"/>
  <c r="I24" i="1"/>
  <c r="K23" i="1"/>
  <c r="J23" i="1"/>
  <c r="J23" i="1" a="1"/>
  <c r="I23" i="1"/>
  <c r="K22" i="1"/>
  <c r="J22" i="1"/>
  <c r="J22" i="1" a="1"/>
  <c r="I22" i="1"/>
  <c r="K21" i="1"/>
  <c r="J21" i="1"/>
  <c r="J21" i="1" a="1"/>
  <c r="I21" i="1"/>
  <c r="K20" i="1"/>
  <c r="J20" i="1" a="1"/>
  <c r="J20" i="1" s="1"/>
  <c r="I20" i="1"/>
  <c r="K19" i="1"/>
  <c r="J19" i="1" a="1"/>
  <c r="J19" i="1" s="1"/>
  <c r="I19" i="1"/>
  <c r="K18" i="1"/>
  <c r="J18" i="1" a="1"/>
  <c r="J18" i="1" s="1"/>
  <c r="I18" i="1"/>
  <c r="K17" i="1"/>
  <c r="J17" i="1" a="1"/>
  <c r="J17" i="1" s="1"/>
  <c r="I17" i="1"/>
  <c r="K16" i="1"/>
  <c r="J16" i="1" a="1"/>
  <c r="J16" i="1" s="1"/>
  <c r="I16" i="1"/>
  <c r="K15" i="1"/>
  <c r="J15" i="1"/>
  <c r="J15" i="1" a="1"/>
  <c r="I15" i="1"/>
  <c r="K14" i="1"/>
  <c r="J14" i="1"/>
  <c r="J14" i="1" a="1"/>
  <c r="I14" i="1"/>
  <c r="K13" i="1"/>
  <c r="J13" i="1"/>
  <c r="J13" i="1" a="1"/>
  <c r="I13" i="1"/>
  <c r="K12" i="1"/>
  <c r="J12" i="1" a="1"/>
  <c r="J12" i="1" s="1"/>
  <c r="I12" i="1"/>
  <c r="K11" i="1"/>
  <c r="J11" i="1" a="1"/>
  <c r="J11" i="1" s="1"/>
  <c r="I11" i="1"/>
  <c r="K10" i="1"/>
  <c r="J10" i="1" a="1"/>
  <c r="J10" i="1" s="1"/>
  <c r="I10" i="1"/>
  <c r="K9" i="1"/>
  <c r="J9" i="1" a="1"/>
  <c r="J9" i="1" s="1"/>
  <c r="I9" i="1"/>
  <c r="K8" i="1"/>
  <c r="J8" i="1" a="1"/>
  <c r="J8" i="1" s="1"/>
  <c r="I8" i="1"/>
  <c r="K7" i="1"/>
  <c r="J7" i="1"/>
  <c r="J7" i="1" a="1"/>
  <c r="I7" i="1"/>
  <c r="K6" i="1"/>
  <c r="J6" i="1"/>
  <c r="J6" i="1" a="1"/>
  <c r="I6" i="1"/>
  <c r="K5" i="1"/>
  <c r="J5" i="1"/>
  <c r="J5" i="1" a="1"/>
  <c r="I5" i="1"/>
  <c r="K4" i="1"/>
  <c r="J4" i="1" a="1"/>
  <c r="J4" i="1" s="1"/>
  <c r="I4" i="1"/>
  <c r="K3" i="1"/>
  <c r="J3" i="1" a="1"/>
  <c r="J3" i="1" s="1"/>
  <c r="I3" i="1"/>
  <c r="J59" i="4" l="1"/>
  <c r="L105" i="4"/>
  <c r="H32" i="3" s="1"/>
  <c r="L106" i="4"/>
  <c r="H34" i="3" s="1"/>
  <c r="I59" i="4"/>
  <c r="I61" i="4"/>
  <c r="I60" i="4"/>
  <c r="J58" i="4"/>
  <c r="J62" i="4"/>
  <c r="J61" i="4"/>
  <c r="I58" i="4"/>
  <c r="J60" i="4"/>
  <c r="I6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DADDE5-6521-48EA-991A-1F6AF4C18F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B261B84-5E47-43B9-AE48-E0FCF697667E}" name="WorksheetConnection_Call Center Dashboard Project.xlsx!Call_Custs_Data2" type="102" refreshedVersion="8" minRefreshableVersion="5">
    <extLst>
      <ext xmlns:x15="http://schemas.microsoft.com/office/spreadsheetml/2010/11/main" uri="{DE250136-89BD-433C-8126-D09CA5730AF9}">
        <x15:connection id="Call_Custs_Data2">
          <x15:rangePr sourceName="_xlcn.WorksheetConnection_CallCenterDashboardProject.xlsxCall_Custs_Data21"/>
        </x15:connection>
      </ext>
    </extLst>
  </connection>
  <connection id="3" xr16:uid="{71B5931E-29DC-47C0-9E01-AF8DD275DE53}" name="WorksheetConnection_Call Center Dashboard Project.xlsx!Call_Table_Data" type="102" refreshedVersion="8" minRefreshableVersion="5">
    <extLst>
      <ext xmlns:x15="http://schemas.microsoft.com/office/spreadsheetml/2010/11/main" uri="{DE250136-89BD-433C-8126-D09CA5730AF9}">
        <x15:connection id="Call_Table_Data" autoDelete="1">
          <x15:rangePr sourceName="_xlcn.WorksheetConnection_CallCenterDashboardProject.xlsxCall_Table_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<sst xmlns="http://schemas.openxmlformats.org/spreadsheetml/2006/main" count="3261" uniqueCount="1172">
  <si>
    <t>Call Centre Data</t>
  </si>
  <si>
    <t>Call number</t>
  </si>
  <si>
    <t>Customer ID</t>
  </si>
  <si>
    <t>Duration</t>
  </si>
  <si>
    <t>Representative</t>
  </si>
  <si>
    <t>Date of Call</t>
  </si>
  <si>
    <t>Purchase Amount</t>
  </si>
  <si>
    <t>Satisfaction Rating</t>
  </si>
  <si>
    <t>Finacial Year</t>
  </si>
  <si>
    <t>Day of Week</t>
  </si>
  <si>
    <t>Duration Bucket in Hours</t>
  </si>
  <si>
    <t>Rating Rounded</t>
  </si>
  <si>
    <t>Gedner</t>
  </si>
  <si>
    <t>Age</t>
  </si>
  <si>
    <t>City</t>
  </si>
  <si>
    <t>Call_7271</t>
  </si>
  <si>
    <t>C0003</t>
  </si>
  <si>
    <t>R05</t>
  </si>
  <si>
    <t>C0001</t>
  </si>
  <si>
    <t>Male</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</si>
  <si>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</si>
  <si>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</si>
  <si>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</si>
  <si>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</si>
  <si>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</si>
  <si>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</si>
  <si>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</si>
  <si>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</si>
  <si>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</si>
  <si>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</si>
  <si>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</si>
  <si>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</si>
  <si>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</si>
  <si>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</si>
  <si>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</si>
  <si>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</si>
  <si>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</si>
  <si>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</si>
  <si>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Female</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</si>
  <si>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</si>
  <si>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</si>
  <si>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</si>
  <si>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</si>
  <si>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</si>
  <si>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</si>
  <si>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</si>
  <si>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</si>
  <si>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</si>
  <si>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</si>
  <si>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</si>
  <si>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</si>
  <si>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</si>
  <si>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</si>
  <si>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</si>
  <si>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</si>
  <si>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</si>
  <si>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</si>
  <si>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</si>
  <si>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</si>
  <si>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</si>
  <si>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</si>
  <si>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</si>
  <si>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</si>
  <si>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</si>
  <si>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</si>
  <si>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</si>
  <si>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</si>
  <si>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</si>
  <si>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</si>
  <si>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</si>
  <si>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</si>
  <si>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</si>
  <si>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</si>
  <si>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</si>
  <si>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</si>
  <si>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</si>
  <si>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</si>
  <si>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</si>
  <si>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</si>
  <si>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</si>
  <si>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</si>
  <si>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</si>
  <si>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</si>
  <si>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</si>
  <si>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</si>
  <si>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</si>
  <si>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</si>
  <si>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</si>
  <si>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</si>
  <si>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</si>
  <si>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</si>
  <si>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</si>
  <si>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</si>
  <si>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</si>
  <si>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</si>
  <si>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</si>
  <si>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</si>
  <si>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</si>
  <si>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</si>
  <si>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</si>
  <si>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</si>
  <si>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</si>
  <si>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</si>
  <si>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</si>
  <si>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</si>
  <si>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</si>
  <si>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</si>
  <si>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</si>
  <si>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</si>
  <si>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</si>
  <si>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</si>
  <si>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</si>
  <si>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</si>
  <si>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</si>
  <si>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</si>
  <si>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</si>
  <si>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</si>
  <si>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</si>
  <si>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</si>
  <si>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</si>
  <si>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</si>
  <si>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</si>
  <si>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</si>
  <si>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</si>
  <si>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</si>
  <si>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</si>
  <si>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</si>
  <si>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</si>
  <si>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</si>
  <si>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</si>
  <si>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</si>
  <si>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</si>
  <si>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</si>
  <si>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</si>
  <si>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</si>
  <si>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</si>
  <si>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</si>
  <si>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</si>
  <si>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</si>
  <si>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</si>
  <si>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</si>
  <si>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</si>
  <si>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</si>
  <si>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</si>
  <si>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</si>
  <si>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</si>
  <si>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</si>
  <si>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</si>
  <si>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</si>
  <si>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</si>
  <si>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</si>
  <si>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</si>
  <si>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</si>
  <si>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</si>
  <si>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</si>
  <si>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</si>
  <si>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</si>
  <si>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</si>
  <si>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</si>
  <si>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</si>
  <si>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</si>
  <si>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</si>
  <si>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</si>
  <si>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</si>
  <si>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</si>
  <si>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</si>
  <si>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</si>
  <si>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</si>
  <si>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</si>
  <si>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</si>
  <si>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</si>
  <si>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</si>
  <si>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</si>
  <si>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</si>
  <si>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</si>
  <si>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</si>
  <si>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</si>
  <si>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</si>
  <si>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</si>
  <si>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</si>
  <si>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</si>
  <si>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</si>
  <si>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</si>
  <si>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</si>
  <si>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</si>
  <si>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</si>
  <si>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</si>
  <si>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</si>
  <si>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</si>
  <si>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</si>
  <si>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</si>
  <si>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</si>
  <si>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</si>
  <si>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</si>
  <si>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</si>
  <si>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</si>
  <si>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</si>
  <si>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</si>
  <si>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</si>
  <si>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</si>
  <si>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</si>
  <si>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</si>
  <si>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</si>
  <si>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</si>
  <si>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</si>
  <si>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</si>
  <si>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</si>
  <si>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</si>
  <si>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</si>
  <si>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</si>
  <si>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</si>
  <si>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</si>
  <si>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</si>
  <si>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</si>
  <si>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</si>
  <si>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</si>
  <si>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</si>
  <si>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</si>
  <si>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</si>
  <si>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</si>
  <si>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</si>
  <si>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</si>
  <si>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</si>
  <si>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</si>
  <si>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</si>
  <si>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</si>
  <si>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</si>
  <si>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</si>
  <si>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</si>
  <si>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</si>
  <si>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</si>
  <si>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</si>
  <si>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</si>
  <si>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</si>
  <si>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</si>
  <si>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</si>
  <si>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</si>
  <si>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</si>
  <si>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</si>
  <si>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</si>
  <si>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</si>
  <si>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</si>
  <si>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</si>
  <si>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</si>
  <si>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</si>
  <si>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</si>
  <si>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</si>
  <si>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</si>
  <si>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</si>
  <si>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</si>
  <si>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</si>
  <si>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</si>
  <si>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</si>
  <si>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</si>
  <si>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</si>
  <si>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</si>
  <si>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</si>
  <si>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</si>
  <si>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</si>
  <si>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</si>
  <si>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</si>
  <si>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</si>
  <si>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</si>
  <si>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</si>
  <si>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</si>
  <si>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</si>
  <si>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</si>
  <si>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</si>
  <si>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</si>
  <si>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</si>
  <si>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</si>
  <si>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</si>
  <si>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</si>
  <si>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</si>
  <si>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</si>
  <si>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</si>
  <si>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</si>
  <si>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</si>
  <si>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</si>
  <si>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</si>
  <si>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</si>
  <si>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</si>
  <si>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</si>
  <si>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</si>
  <si>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</si>
  <si>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</si>
  <si>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</si>
  <si>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</si>
  <si>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</si>
  <si>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</si>
  <si>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</si>
  <si>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</si>
  <si>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</si>
  <si>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</si>
  <si>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</si>
  <si>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</si>
  <si>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</si>
  <si>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</si>
  <si>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</si>
  <si>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</si>
  <si>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</si>
  <si>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</si>
  <si>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</si>
  <si>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</si>
  <si>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</si>
  <si>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</si>
  <si>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</si>
  <si>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</si>
  <si>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</si>
  <si>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</si>
  <si>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</si>
  <si>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</si>
  <si>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</si>
  <si>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</si>
  <si>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</si>
  <si>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</si>
  <si>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</si>
  <si>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</si>
  <si>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</si>
  <si>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</si>
  <si>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</si>
  <si>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</si>
  <si>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</si>
  <si>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</si>
  <si>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</si>
  <si>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</si>
  <si>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</si>
  <si>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</si>
  <si>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</si>
  <si>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</si>
  <si>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</si>
  <si>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</si>
  <si>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</si>
  <si>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</si>
  <si>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</si>
  <si>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</si>
  <si>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</si>
  <si>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</si>
  <si>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</si>
  <si>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</si>
  <si>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</si>
  <si>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</si>
  <si>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</si>
  <si>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</si>
  <si>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</si>
  <si>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</si>
  <si>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</si>
  <si>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</si>
  <si>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</si>
  <si>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</si>
  <si>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</si>
  <si>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</si>
  <si>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</si>
  <si>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</si>
  <si>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</si>
  <si>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</si>
  <si>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</si>
  <si>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</si>
  <si>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</si>
  <si>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</si>
  <si>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</si>
  <si>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</si>
  <si>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</si>
  <si>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</si>
  <si>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</si>
  <si>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</si>
  <si>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</si>
  <si>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</si>
  <si>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</si>
  <si>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</si>
  <si>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</si>
  <si>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</si>
  <si>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</si>
  <si>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</si>
  <si>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</si>
  <si>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</si>
  <si>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</si>
  <si>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</si>
  <si>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</si>
  <si>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</si>
  <si>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</si>
  <si>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</si>
  <si>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</si>
  <si>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</si>
  <si>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</si>
  <si>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</si>
  <si>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</si>
  <si>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</si>
  <si>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</si>
  <si>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</si>
  <si>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</si>
  <si>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</si>
  <si>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</si>
  <si>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</si>
  <si>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</si>
  <si>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</si>
  <si>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</si>
  <si>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</si>
  <si>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</si>
  <si>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</si>
  <si>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</si>
  <si>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</si>
  <si>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</si>
  <si>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</si>
  <si>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</si>
  <si>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</si>
  <si>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</si>
  <si>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</si>
  <si>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</si>
  <si>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</si>
  <si>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</si>
  <si>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</si>
  <si>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</si>
  <si>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</si>
  <si>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</si>
  <si>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</si>
  <si>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</si>
  <si>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</si>
  <si>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</si>
  <si>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</si>
  <si>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</si>
  <si>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</si>
  <si>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</si>
  <si>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</si>
  <si>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</si>
  <si>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</si>
  <si>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</si>
  <si>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</si>
  <si>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</si>
  <si>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</si>
  <si>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</si>
  <si>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</si>
  <si>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</si>
  <si>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</si>
  <si>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</si>
  <si>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</si>
  <si>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</si>
  <si>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</si>
  <si>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</si>
  <si>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</si>
  <si>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</si>
  <si>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</si>
  <si>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</si>
  <si>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</si>
  <si>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</si>
  <si>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</si>
  <si>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</si>
  <si>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</si>
  <si>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</si>
  <si>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</si>
  <si>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</si>
  <si>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</si>
  <si>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</si>
  <si>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</si>
  <si>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</si>
  <si>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</si>
  <si>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</si>
  <si>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</si>
  <si>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</si>
  <si>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</si>
  <si>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</si>
  <si>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</si>
  <si>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</si>
  <si>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</si>
  <si>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</si>
  <si>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</si>
  <si>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</si>
  <si>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</si>
  <si>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</si>
  <si>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</si>
  <si>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</si>
  <si>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</si>
  <si>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</si>
  <si>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</si>
  <si>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</si>
  <si>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</si>
  <si>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</si>
  <si>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</si>
  <si>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</si>
  <si>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</si>
  <si>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</si>
  <si>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</si>
  <si>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</si>
  <si>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</si>
  <si>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</si>
  <si>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</si>
  <si>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</si>
  <si>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</si>
  <si>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</si>
  <si>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</si>
  <si>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</si>
  <si>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</si>
  <si>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</si>
  <si>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</si>
  <si>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</si>
  <si>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</si>
  <si>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</si>
  <si>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</si>
  <si>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</si>
  <si>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</si>
  <si>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</si>
  <si>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</si>
  <si>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</si>
  <si>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</si>
  <si>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</si>
  <si>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</si>
  <si>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</si>
  <si>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</si>
  <si>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</si>
  <si>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</si>
  <si>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</si>
  <si>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</si>
  <si>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</si>
  <si>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</si>
  <si>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</si>
  <si>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</si>
  <si>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</si>
  <si>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</si>
  <si>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</si>
  <si>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</si>
  <si>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</si>
  <si>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</si>
  <si>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</si>
  <si>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</si>
  <si>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</si>
  <si>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</si>
  <si>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</si>
  <si>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</si>
  <si>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</si>
  <si>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</si>
  <si>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</si>
  <si>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</si>
  <si>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</si>
  <si>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</si>
  <si>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</si>
  <si>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</si>
  <si>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</si>
  <si>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</si>
  <si>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</si>
  <si>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</si>
  <si>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</si>
  <si>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</si>
  <si>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</si>
  <si>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</si>
  <si>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</si>
  <si>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</si>
  <si>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</si>
  <si>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</si>
  <si>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</si>
  <si>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</si>
  <si>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</si>
  <si>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</si>
  <si>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</si>
  <si>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</si>
  <si>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</si>
  <si>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</si>
  <si>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</si>
  <si>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</si>
  <si>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</si>
  <si>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</si>
  <si>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</si>
  <si>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</si>
  <si>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</si>
  <si>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</si>
  <si>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</si>
  <si>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</si>
  <si>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</si>
  <si>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</si>
  <si>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</si>
  <si>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</si>
  <si>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</si>
  <si>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</si>
  <si>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</si>
  <si>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</si>
  <si>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</si>
  <si>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</si>
  <si>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</si>
  <si>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</si>
  <si>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</si>
  <si>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</si>
  <si>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</si>
  <si>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</si>
  <si>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</si>
  <si>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</si>
  <si>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</si>
  <si>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</si>
  <si>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</si>
  <si>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</si>
  <si>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</si>
  <si>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</si>
  <si>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</si>
  <si>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</si>
  <si>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</si>
  <si>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</si>
  <si>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</si>
  <si>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</si>
  <si>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</si>
  <si>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</si>
  <si>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</si>
  <si>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</si>
  <si>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</si>
  <si>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</si>
  <si>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</si>
  <si>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</si>
  <si>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</si>
  <si>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</si>
  <si>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</si>
  <si>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</si>
  <si>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</si>
  <si>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</si>
  <si>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</si>
  <si>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</si>
  <si>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</si>
  <si>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</si>
  <si>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</si>
  <si>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</si>
  <si>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</si>
  <si>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</si>
  <si>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</si>
  <si>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</si>
  <si>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</si>
  <si>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</si>
  <si>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</si>
  <si>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</si>
  <si>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</si>
  <si>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</si>
  <si>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</si>
  <si>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</si>
  <si>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</si>
  <si>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</si>
  <si>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</si>
  <si>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</si>
  <si>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</si>
  <si>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</si>
  <si>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</si>
  <si>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</si>
  <si>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</si>
  <si>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</si>
  <si>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</si>
  <si>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</si>
  <si>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</si>
  <si>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</si>
  <si>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</si>
  <si>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</si>
  <si>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</si>
  <si>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</si>
  <si>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</si>
  <si>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</si>
  <si>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</si>
  <si>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</si>
  <si>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</si>
  <si>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</si>
  <si>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</si>
  <si>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</si>
  <si>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</si>
  <si>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</si>
  <si>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</si>
  <si>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</si>
  <si>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</si>
  <si>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</si>
  <si>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</si>
  <si>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</si>
  <si>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</si>
  <si>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</si>
  <si>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</si>
  <si>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</si>
  <si>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</si>
  <si>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</si>
  <si>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</si>
  <si>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</si>
  <si>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</si>
  <si>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</si>
  <si>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</si>
  <si>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</si>
  <si>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</si>
  <si>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</si>
  <si>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</si>
  <si>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</si>
  <si>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</si>
  <si>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</si>
  <si>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</si>
  <si>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</si>
  <si>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</si>
  <si>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</si>
  <si>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</si>
  <si>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</si>
  <si>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</si>
  <si>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</si>
  <si>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</si>
  <si>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</si>
  <si>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</si>
  <si>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</si>
  <si>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</si>
  <si>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</si>
  <si>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</si>
  <si>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</si>
  <si>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</si>
  <si>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</si>
  <si>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</si>
  <si>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</si>
  <si>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</si>
  <si>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</si>
  <si>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</si>
  <si>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</si>
  <si>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</si>
  <si>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</si>
  <si>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</si>
  <si>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</si>
  <si>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</si>
  <si>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</si>
  <si>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</si>
  <si>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</si>
  <si>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</si>
  <si>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</si>
  <si>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</si>
  <si>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</si>
  <si>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</si>
  <si>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</si>
  <si>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</si>
  <si>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</si>
  <si>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</si>
  <si>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</si>
  <si>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</si>
  <si>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</si>
  <si>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</si>
  <si>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</si>
  <si>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</si>
  <si>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</si>
  <si>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</si>
  <si>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</si>
  <si>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</si>
  <si>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</si>
  <si>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</si>
  <si>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</si>
  <si>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</si>
  <si>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</si>
  <si>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</si>
  <si>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</si>
  <si>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</si>
  <si>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</si>
  <si>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</si>
  <si>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</si>
  <si>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</si>
  <si>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</si>
  <si>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</si>
  <si>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</si>
  <si>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</si>
  <si>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</si>
  <si>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</si>
  <si>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</si>
  <si>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</si>
  <si>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</si>
  <si>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</si>
  <si>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</si>
  <si>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</si>
  <si>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</si>
  <si>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</si>
  <si>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</si>
  <si>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</si>
  <si>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</si>
  <si>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</si>
  <si>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</si>
  <si>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</si>
  <si>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</si>
  <si>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</si>
  <si>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</si>
  <si>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</si>
  <si>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</si>
  <si>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</si>
  <si>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</si>
  <si>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</si>
  <si>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</si>
  <si>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</si>
  <si>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</si>
  <si>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</si>
  <si>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</si>
  <si>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</si>
  <si>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</si>
  <si>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</si>
  <si>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</si>
  <si>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</si>
  <si>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</si>
  <si>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</si>
  <si>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</si>
  <si>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</si>
  <si>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</si>
  <si>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</si>
  <si>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</si>
  <si>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</si>
  <si>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</si>
  <si>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</si>
  <si>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</si>
  <si>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</si>
  <si>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</si>
  <si>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</si>
  <si>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</si>
  <si>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</si>
  <si>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</si>
  <si>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</si>
  <si>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</si>
  <si>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</si>
  <si>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</si>
  <si>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</si>
  <si>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</si>
  <si>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</si>
  <si>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</si>
  <si>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</si>
  <si>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</si>
  <si>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</si>
  <si>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</si>
  <si>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</si>
  <si>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</si>
  <si>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</si>
  <si>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</si>
  <si>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</si>
  <si>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</si>
  <si>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</si>
  <si>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</si>
  <si>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</si>
  <si>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</si>
  <si>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</si>
  <si>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</si>
  <si>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</si>
  <si>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</si>
  <si>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</si>
  <si>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</si>
  <si>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</si>
  <si>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</si>
  <si>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</si>
  <si>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</si>
  <si>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</si>
  <si>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</si>
  <si>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</si>
  <si>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</si>
  <si>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</si>
  <si>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</si>
  <si>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</si>
  <si>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</si>
  <si>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</si>
  <si>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</si>
  <si>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</si>
  <si>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</si>
  <si>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</si>
  <si>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</si>
  <si>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</si>
  <si>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</si>
  <si>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</si>
  <si>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</si>
  <si>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</si>
  <si>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</si>
  <si>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</si>
  <si>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</si>
  <si>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</si>
  <si>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</si>
  <si>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</si>
  <si>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</si>
  <si>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</si>
  <si>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</si>
  <si>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</si>
  <si>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</si>
  <si>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</si>
  <si>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</si>
  <si>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</si>
  <si>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</si>
  <si>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</si>
  <si>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</si>
  <si>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</si>
  <si>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</si>
  <si>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</si>
  <si>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</si>
  <si>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</si>
  <si>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</si>
  <si>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</si>
  <si>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</si>
  <si>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</si>
  <si>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</si>
  <si>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</si>
  <si>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</si>
  <si>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</si>
  <si>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</si>
  <si>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</si>
  <si>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</si>
  <si>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</si>
  <si>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</si>
  <si>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</si>
  <si>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</si>
  <si>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</si>
  <si>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</si>
  <si>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</si>
  <si>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</si>
  <si>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</si>
  <si>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</si>
  <si>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</si>
  <si>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</si>
  <si>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</si>
  <si>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</si>
  <si>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</si>
  <si>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</si>
  <si>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</si>
  <si>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</si>
  <si>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</si>
  <si>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</si>
  <si>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</si>
  <si>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</si>
  <si>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</si>
  <si>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</si>
  <si>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</si>
  <si>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</si>
  <si>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</si>
  <si>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</si>
  <si>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</si>
  <si>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</si>
  <si>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</si>
  <si>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</si>
  <si>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</si>
  <si>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</si>
  <si>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</si>
  <si>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</si>
  <si>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</si>
  <si>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</si>
  <si>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</si>
  <si>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</si>
  <si>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</si>
  <si>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</si>
  <si>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</si>
  <si>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</si>
  <si>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</si>
  <si>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</si>
  <si>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</si>
  <si>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</si>
  <si>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</si>
  <si>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</si>
  <si>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</si>
  <si>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</si>
  <si>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</si>
  <si>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</si>
  <si>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</si>
  <si>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</si>
  <si>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</si>
  <si>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</si>
  <si>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</si>
  <si>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</si>
  <si>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</si>
  <si>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</si>
  <si>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</si>
  <si>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</si>
  <si>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</si>
  <si>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</si>
  <si>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</si>
  <si>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</si>
  <si>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</si>
  <si>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</si>
  <si>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</si>
  <si>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</si>
  <si>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</si>
  <si>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</si>
  <si>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</si>
  <si>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</si>
  <si>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</si>
  <si>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</si>
  <si>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</si>
  <si>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</si>
  <si>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</si>
  <si>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</si>
  <si>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</si>
  <si>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</si>
  <si>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</si>
  <si>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</si>
  <si>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</si>
  <si>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</si>
  <si>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</si>
  <si>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</si>
  <si>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</si>
  <si>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</si>
  <si>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</si>
  <si>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</si>
  <si>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</si>
  <si>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</si>
  <si>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</si>
  <si>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</si>
  <si>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</si>
  <si>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</si>
  <si>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</si>
  <si>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</si>
  <si>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</si>
  <si>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</si>
  <si>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</si>
  <si>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</si>
  <si>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</si>
  <si>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</si>
  <si>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</si>
  <si>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</si>
  <si>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</si>
  <si>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</si>
  <si>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</si>
  <si>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</si>
  <si>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</si>
  <si>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</si>
  <si>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</si>
  <si>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</si>
  <si>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</si>
  <si>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</si>
  <si>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</si>
  <si>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</si>
  <si>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</si>
  <si>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</si>
  <si>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</si>
  <si>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</si>
  <si>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</si>
  <si>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</si>
  <si>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</si>
  <si>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</si>
  <si>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</si>
  <si>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</si>
  <si>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</si>
  <si>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</si>
  <si>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</si>
  <si>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</si>
  <si>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</si>
  <si>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</si>
  <si>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</si>
  <si>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</si>
  <si>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</si>
  <si>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</si>
  <si>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</si>
  <si>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</si>
  <si>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</si>
  <si>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</si>
  <si>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</si>
  <si>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</si>
  <si>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</si>
  <si>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</si>
  <si>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</si>
  <si>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</si>
  <si>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</si>
  <si>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</si>
  <si>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</si>
  <si>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</si>
  <si>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</si>
  <si>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</si>
  <si>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S.No</t>
  </si>
  <si>
    <t>Topics</t>
  </si>
  <si>
    <t>Steps</t>
  </si>
  <si>
    <t>Steps Description</t>
  </si>
  <si>
    <t>Formula</t>
  </si>
  <si>
    <t>Uses</t>
  </si>
  <si>
    <t>AT</t>
  </si>
  <si>
    <t>AT Sheet</t>
  </si>
  <si>
    <t>Set up the Dashboard Page &amp; Theme</t>
  </si>
  <si>
    <t xml:space="preserve">Go to Page Layout --&gt;
Set Fonts [Header as Bold and Body as Light] --&gt; Effects Throughout the sheet edition
Theme 
Colour as Slipstream </t>
  </si>
  <si>
    <t>Call_Data_Table_Sheet</t>
  </si>
  <si>
    <t>Background Fill the Dashboard some area as Blured Grey color</t>
  </si>
  <si>
    <t>Call_Centre_1</t>
  </si>
  <si>
    <t>All calculations and Analysis for our dashboard generated through the Pivot Table</t>
  </si>
  <si>
    <r>
      <t xml:space="preserve">PIVOT TABLE CALCULATIONS - </t>
    </r>
    <r>
      <rPr>
        <b/>
        <sz val="11"/>
        <color theme="1"/>
        <rFont val="Calibri"/>
        <family val="2"/>
        <scheme val="minor"/>
      </rPr>
      <t>Creating the "Data Model"</t>
    </r>
  </si>
  <si>
    <r>
      <t xml:space="preserve">Create PIVOT TABLE for the </t>
    </r>
    <r>
      <rPr>
        <b/>
        <sz val="11"/>
        <color theme="1"/>
        <rFont val="Calibri"/>
        <family val="2"/>
        <scheme val="minor"/>
      </rPr>
      <t>KPI</t>
    </r>
    <r>
      <rPr>
        <sz val="11"/>
        <color theme="1"/>
        <rFont val="Calibri"/>
        <family val="2"/>
        <scheme val="minor"/>
      </rPr>
      <t>s (Key Performance Indicator)</t>
    </r>
  </si>
  <si>
    <t>Call_Data_Table_Sheet
PIVOT CALL_Calculations</t>
  </si>
  <si>
    <r>
      <t xml:space="preserve">Make Relationship Between tables --&gt;Click inside anywhere of PIVOT TABLE --&gt; Go to </t>
    </r>
    <r>
      <rPr>
        <b/>
        <sz val="11"/>
        <color theme="1"/>
        <rFont val="Calibri"/>
        <family val="2"/>
        <scheme val="minor"/>
      </rPr>
      <t>Analze Pivot Table</t>
    </r>
    <r>
      <rPr>
        <sz val="11"/>
        <color theme="1"/>
        <rFont val="Calibri"/>
        <family val="2"/>
        <scheme val="minor"/>
      </rPr>
      <t xml:space="preserve"> Ribbon --&gt; Click on </t>
    </r>
    <r>
      <rPr>
        <b/>
        <sz val="11"/>
        <color theme="1"/>
        <rFont val="Calibri"/>
        <family val="2"/>
        <scheme val="minor"/>
      </rPr>
      <t>Relationship</t>
    </r>
    <r>
      <rPr>
        <sz val="11"/>
        <color theme="1"/>
        <rFont val="Calibri"/>
        <family val="2"/>
        <scheme val="minor"/>
      </rPr>
      <t xml:space="preserve"> Feature</t>
    </r>
  </si>
  <si>
    <t>In Relationship Mini Window --&gt; Add New Relations between Call Data and Customer Data</t>
  </si>
  <si>
    <t>Create Relationship Mini Window --&gt; Map the Table and Its coloumn to make Connections</t>
  </si>
  <si>
    <t>POWER PIVOT &amp; DAX Measures</t>
  </si>
  <si>
    <r>
      <t xml:space="preserve">Select any value cell data --&gt; Insert --&gt; PIVOT Table --&gt; Enable the </t>
    </r>
    <r>
      <rPr>
        <b/>
        <sz val="11"/>
        <color theme="1"/>
        <rFont val="Calibri"/>
        <family val="2"/>
        <scheme val="minor"/>
      </rPr>
      <t>Data Model Check Box</t>
    </r>
    <r>
      <rPr>
        <sz val="11"/>
        <color theme="1"/>
        <rFont val="Calibri"/>
        <family val="2"/>
        <scheme val="minor"/>
      </rPr>
      <t xml:space="preserve"> 
(This Feature helps In</t>
    </r>
    <r>
      <rPr>
        <b/>
        <sz val="11"/>
        <color theme="1"/>
        <rFont val="Calibri"/>
        <family val="2"/>
        <scheme val="minor"/>
      </rPr>
      <t xml:space="preserve"> Combaining the All tables in Sheet + Add Measuture</t>
    </r>
    <r>
      <rPr>
        <sz val="11"/>
        <color theme="1"/>
        <rFont val="Calibri"/>
        <family val="2"/>
        <scheme val="minor"/>
      </rPr>
      <t xml:space="preserve"> )
Pivot Table created in new Sheet
Rename the PIVOT Table in PIVOT TABLE Anaylze Ribbon</t>
    </r>
  </si>
  <si>
    <r>
      <t xml:space="preserve">Once Created, we can notice that </t>
    </r>
    <r>
      <rPr>
        <b/>
        <sz val="11"/>
        <color theme="1"/>
        <rFont val="Calibri"/>
        <family val="2"/>
        <scheme val="minor"/>
      </rPr>
      <t>"Add Measure"</t>
    </r>
    <r>
      <rPr>
        <sz val="11"/>
        <color theme="1"/>
        <rFont val="Calibri"/>
        <family val="2"/>
        <scheme val="minor"/>
      </rPr>
      <t xml:space="preserve"> option when right click on PIVOT TABLE NAME</t>
    </r>
  </si>
  <si>
    <t>To Count ROWS of the call table --&gt; Total Calls</t>
  </si>
  <si>
    <t>=COUNTROWS(Call_Table_Data)</t>
  </si>
  <si>
    <t>DAX Measures</t>
  </si>
  <si>
    <t>DAX Formula Language</t>
  </si>
  <si>
    <t>Under Measures Wini Window --&gt; 
Select Table Name 
Provide Appropriate Measure Name</t>
  </si>
  <si>
    <t>Provide DAX Formula --&gt; Check the formula is right</t>
  </si>
  <si>
    <t>Sub Topics</t>
  </si>
  <si>
    <t>Total Call Count</t>
  </si>
  <si>
    <r>
      <t xml:space="preserve">This will add call count formula measure to the table to access in one click calculations
</t>
    </r>
    <r>
      <rPr>
        <b/>
        <sz val="11"/>
        <color theme="1"/>
        <rFont val="Calibri"/>
        <family val="2"/>
        <scheme val="minor"/>
      </rPr>
      <t xml:space="preserve">Note: </t>
    </r>
    <r>
      <rPr>
        <sz val="11"/>
        <color theme="1"/>
        <rFont val="Calibri"/>
        <family val="2"/>
        <scheme val="minor"/>
      </rPr>
      <t>This measure can not be drag to anywhere on the fields sections, default to Values section</t>
    </r>
  </si>
  <si>
    <t xml:space="preserve">Total Amount </t>
  </si>
  <si>
    <t>Total Amount</t>
  </si>
  <si>
    <t>Total Duration</t>
  </si>
  <si>
    <t xml:space="preserve">Average Rating </t>
  </si>
  <si>
    <t>5 Stared* Ratings</t>
  </si>
  <si>
    <t>Avgrage Rating</t>
  </si>
  <si>
    <t>Calcuate from Total Call Count with rounded 5 star rating</t>
  </si>
  <si>
    <t>SLICERS</t>
  </si>
  <si>
    <r>
      <t xml:space="preserve">SLICERS is an mini window are enabled button features to view the data change
</t>
    </r>
    <r>
      <rPr>
        <b/>
        <sz val="11"/>
        <color theme="1"/>
        <rFont val="Calibri"/>
        <family val="2"/>
        <scheme val="minor"/>
      </rPr>
      <t>Note: when active cell is tapped and created sclier only to that table is linked not all other</t>
    </r>
  </si>
  <si>
    <t>Dashboard Tiles and Shapes</t>
  </si>
  <si>
    <t xml:space="preserve">Rectangle </t>
  </si>
  <si>
    <t>Insert Ribbon --&gt; choose Shape</t>
  </si>
  <si>
    <t>Add fill colours, shadows --&gt; outer --&gt;CTRL +1 shows the grapics tool to add 3D</t>
  </si>
  <si>
    <t>Do Alignment and  font size</t>
  </si>
  <si>
    <t>Rep ID</t>
  </si>
  <si>
    <t>Rep Image</t>
  </si>
  <si>
    <t>Text Box</t>
  </si>
  <si>
    <t>end</t>
  </si>
  <si>
    <t>Insert Ribbon --&gt; choose Text --&gt; Text BOX</t>
  </si>
  <si>
    <t>Lasso Object Select</t>
  </si>
  <si>
    <t>Home Ribbon --&gt; Find and Select --&gt; Select Object</t>
  </si>
  <si>
    <t xml:space="preserve">Copy and Paste the whole Layouts </t>
  </si>
  <si>
    <t xml:space="preserve">Slicer Connected to this table </t>
  </si>
  <si>
    <t xml:space="preserve"> (Ctrl + Navigations keys) Up Down Right Left key used to move whole object </t>
  </si>
  <si>
    <t>Trend Graph</t>
  </si>
  <si>
    <t>Grand Total</t>
  </si>
  <si>
    <t>Jan</t>
  </si>
  <si>
    <t>Feb</t>
  </si>
  <si>
    <t>Mar</t>
  </si>
  <si>
    <t>Apr</t>
  </si>
  <si>
    <t>May</t>
  </si>
  <si>
    <t>Jun</t>
  </si>
  <si>
    <t>Jul</t>
  </si>
  <si>
    <t>Aug</t>
  </si>
  <si>
    <t>Sep</t>
  </si>
  <si>
    <t>Oct</t>
  </si>
  <si>
    <t>Nov</t>
  </si>
  <si>
    <t>Dec</t>
  </si>
  <si>
    <t>Row Labels</t>
  </si>
  <si>
    <t>Insert Ribbon --&gt; Line Chart --&gt; Line Chart with markers</t>
  </si>
  <si>
    <t>Total Call Count2</t>
  </si>
  <si>
    <t>If need X axis to be shaded Area  --&gt; Add Total Call Count again --&gt; Right Click above chart line, click "Change Series Chart Type"</t>
  </si>
  <si>
    <t>On Total Call Count2 --&gt; Select dropdown as "Area" and check preview</t>
  </si>
  <si>
    <r>
      <rPr>
        <b/>
        <sz val="11"/>
        <color theme="1"/>
        <rFont val="Calibri"/>
        <family val="2"/>
        <scheme val="minor"/>
      </rPr>
      <t>Disable fields inside Chart</t>
    </r>
    <r>
      <rPr>
        <sz val="11"/>
        <color theme="1"/>
        <rFont val="Calibri"/>
        <family val="2"/>
        <scheme val="minor"/>
      </rPr>
      <t xml:space="preserve"> --&gt; Select Chart and PivotChart Analze Ribbon --&gt; Field Button turn off by touching upper portion of the Icon or untick what is no need</t>
    </r>
  </si>
  <si>
    <t>Additional fields can be disabled or add new fields by Tappping on + Icon next to chart box</t>
  </si>
  <si>
    <t xml:space="preserve">Formatting the Chart Grapgh--&gt; CTRL+1 to enable --&gt; Format design </t>
  </si>
  <si>
    <t>Follow the Graph Designs --&gt;Count  Line Marker Chart</t>
  </si>
  <si>
    <t>Line Marker Chart</t>
  </si>
  <si>
    <t>WeekDay Trend</t>
  </si>
  <si>
    <t>Week Day Trend</t>
  </si>
  <si>
    <t xml:space="preserve">Total Call Count </t>
  </si>
  <si>
    <t xml:space="preserve">DAX Formula </t>
  </si>
  <si>
    <t>Adding Slicer</t>
  </si>
  <si>
    <t>Friday</t>
  </si>
  <si>
    <t>Monday</t>
  </si>
  <si>
    <t>Saturday</t>
  </si>
  <si>
    <t>Sunday</t>
  </si>
  <si>
    <t>Thursday</t>
  </si>
  <si>
    <t>Tuesday</t>
  </si>
  <si>
    <t>Wednesday</t>
  </si>
  <si>
    <t>BAR CHART</t>
  </si>
  <si>
    <r>
      <t xml:space="preserve">Sorting (Monday to Sunday) --&gt; First Sort A to Z in fields --&gt; Axes Sorting --&gt; Ctrl + 1 --&gt; Axis Option --&gt; enabale the option </t>
    </r>
    <r>
      <rPr>
        <b/>
        <sz val="11"/>
        <color theme="1"/>
        <rFont val="Calibri"/>
        <family val="2"/>
        <scheme val="minor"/>
      </rPr>
      <t>"Categories in Reverse Order"</t>
    </r>
  </si>
  <si>
    <t>Bar Chart --&gt; Format ribbon --&gt; Send it to Back to set in backside</t>
  </si>
  <si>
    <t>Calls and Amount by Rep</t>
  </si>
  <si>
    <t>Pivot for Number Crunching, Ranges for Charts</t>
  </si>
  <si>
    <t>For Graph</t>
  </si>
  <si>
    <t xml:space="preserve">Same graph not used multiple time for same table --&gt; to fix --&gt; just copy paste the graph and click the value graph--&gt; then drag the column in cext cell in that same table </t>
  </si>
  <si>
    <r>
      <rPr>
        <b/>
        <sz val="11"/>
        <color theme="1"/>
        <rFont val="Calibri"/>
        <family val="2"/>
        <scheme val="minor"/>
      </rPr>
      <t>SET Axes BOUND</t>
    </r>
    <r>
      <rPr>
        <sz val="11"/>
        <color theme="1"/>
        <rFont val="Calibri"/>
        <family val="2"/>
        <scheme val="minor"/>
      </rPr>
      <t xml:space="preserve"> --&gt; Once Rerversed --&gt; change the AxesFROM  250 to 0 TO 0 to 250, Set BOUND --&gt; MINIMUM is 0 max is defaulted</t>
    </r>
  </si>
  <si>
    <t>Custom Format Code</t>
  </si>
  <si>
    <t>Right click on curreny Value--&gt; Format Cell --&gt; Custom --&gt; make it sample as 18.34K</t>
  </si>
  <si>
    <t xml:space="preserve">Rep </t>
  </si>
  <si>
    <t>Call</t>
  </si>
  <si>
    <t>Amount</t>
  </si>
  <si>
    <t>Sell Call</t>
  </si>
  <si>
    <t>Sell Amount</t>
  </si>
  <si>
    <t>Right Click on Slicer active chart --&gt; report connections --&gt; to view and link or unlink the slicer to table</t>
  </si>
  <si>
    <t>Selected Rep</t>
  </si>
  <si>
    <t xml:space="preserve">If Else </t>
  </si>
  <si>
    <t>=IF(F58=$J$55,G58,"N/A")</t>
  </si>
  <si>
    <t xml:space="preserve">Pointing cell </t>
  </si>
  <si>
    <t xml:space="preserve">Link Table to Chart </t>
  </si>
  <si>
    <t xml:space="preserve">Right Click on Bar chart --&gt; Select Data --&gt; Add Series --&gt; Link the table Column and Its Values </t>
  </si>
  <si>
    <t>Chart BAR Overlapping</t>
  </si>
  <si>
    <t>Select the Bar that Overlapped --&gt; CTRL +1 --&gt; Adjust Series Overlap</t>
  </si>
  <si>
    <t>Slicer Formatting and Styles</t>
  </si>
  <si>
    <t>Select the Theme and Duplicate</t>
  </si>
  <si>
    <t>Theme Duplicate</t>
  </si>
  <si>
    <t>Demo Graphics</t>
  </si>
  <si>
    <t>Column Labels</t>
  </si>
  <si>
    <t>Count of Customer ID</t>
  </si>
  <si>
    <t>Total</t>
  </si>
  <si>
    <t>Rep Summary</t>
  </si>
  <si>
    <t>% of Calls</t>
  </si>
  <si>
    <t>Call Rank</t>
  </si>
  <si>
    <t>Amount Rank</t>
  </si>
  <si>
    <t xml:space="preserve">Calls </t>
  </si>
  <si>
    <t xml:space="preserve">Labels: </t>
  </si>
  <si>
    <t>Image</t>
  </si>
  <si>
    <t>END</t>
  </si>
  <si>
    <t xml:space="preserve">CALL CENTER DATA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</si>
</sst>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0,\K"/>
    <numFmt numFmtId="168" formatCode="&quot;₹&quot;\ #,##0"/>
  </numFmts>
  <fonts count="9" x14ac:knownFonts="1">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sz val="10"/>
      <color theme="1"/>
      <name val="Calibri"/>
      <family val="2"/>
      <scheme val="minor"/>
    </font>
    <font>
      <b/>
      <sz val="10"/>
      <color theme="1"/>
      <name val="Calibri"/>
      <family val="2"/>
      <scheme val="minor"/>
    </font>
    <font>
      <b/>
      <i/>
      <sz val="10"/>
      <color rgb="FF0070C0"/>
      <name val="Calibri"/>
      <family val="2"/>
      <scheme val="minor"/>
    </font>
    <font>
      <b/>
      <i/>
      <sz val="28"/>
      <color theme="8"/>
      <name val="Calibri"/>
      <family val="2"/>
      <scheme val="minor"/>
    </font>
  </fonts>
  <fills count="9">
    <fill>
      <patternFill patternType="none"/>
    </fill>
    <fill>
      <patternFill patternType="gray125"/>
    </fill>
    <fill>
      <patternFill patternType="solid">
        <fgColor theme="7"/>
        <bgColor indexed="64"/>
      </patternFill>
    </fill>
    <fill>
      <patternFill patternType="solid">
        <fgColor theme="2"/>
        <bgColor indexed="64"/>
      </patternFill>
    </fill>
    <fill>
      <patternFill patternType="solid">
        <fgColor theme="1"/>
        <bgColor indexed="64"/>
      </patternFill>
    </fill>
    <fill>
      <patternFill patternType="solid">
        <fgColor rgb="FFFFFF00"/>
        <bgColor indexed="64"/>
      </patternFill>
    </fill>
    <fill>
      <patternFill patternType="solid">
        <fgColor theme="8"/>
        <bgColor indexed="64"/>
      </patternFill>
    </fill>
    <fill>
      <patternFill patternType="solid">
        <fgColor theme="0" tint="-4.9989318521683403E-2"/>
        <bgColor indexed="64"/>
      </patternFill>
    </fill>
    <fill>
      <patternFill patternType="solid">
        <fgColor theme="0" tint="-0.249977111117893"/>
        <bgColor indexed="64"/>
      </patternFill>
    </fill>
  </fills>
  <borders count="2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theme="8"/>
      </left>
      <right/>
      <top style="medium">
        <color theme="8"/>
      </top>
      <bottom/>
      <diagonal/>
    </border>
    <border>
      <left/>
      <right/>
      <top style="medium">
        <color theme="8"/>
      </top>
      <bottom/>
      <diagonal/>
    </border>
    <border>
      <left/>
      <right style="medium">
        <color theme="8"/>
      </right>
      <top style="medium">
        <color theme="8"/>
      </top>
      <bottom/>
      <diagonal/>
    </border>
    <border>
      <left style="medium">
        <color theme="8"/>
      </left>
      <right/>
      <top/>
      <bottom/>
      <diagonal/>
    </border>
    <border>
      <left/>
      <right style="medium">
        <color theme="8"/>
      </right>
      <top/>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s>
  <cellStyleXfs count="1">
    <xf numFmtId="0" fontId="0" fillId="0" borderId="0"/>
  </cellStyleXfs>
  <cellXfs count="83">
    <xf numFmtId="0" fontId="0" fillId="0" borderId="0" xfId="0"/>
    <xf numFmtId="0" fontId="0" fillId="3" borderId="0" xfId="0" applyFill="1"/>
    <xf numFmtId="0" fontId="2" fillId="0" borderId="1" xfId="0"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0" fillId="0" borderId="4" xfId="0" applyBorder="1" applyAlignment="1">
      <alignment horizontal="left" vertical="top"/>
    </xf>
    <xf numFmtId="0" fontId="2" fillId="0" borderId="1" xfId="0" applyFont="1" applyBorder="1"/>
    <xf numFmtId="0" fontId="2" fillId="0" borderId="2" xfId="0" applyFont="1" applyBorder="1"/>
    <xf numFmtId="0" fontId="2" fillId="0" borderId="3" xfId="0" applyFont="1" applyBorder="1"/>
    <xf numFmtId="0" fontId="0" fillId="0" borderId="5" xfId="0" applyBorder="1" applyAlignment="1">
      <alignment horizontal="center" vertical="center"/>
    </xf>
    <xf numFmtId="2" fontId="0" fillId="0" borderId="5" xfId="0" applyNumberFormat="1" applyBorder="1" applyAlignment="1">
      <alignment horizontal="center" vertical="center"/>
    </xf>
    <xf numFmtId="164" fontId="0" fillId="0" borderId="5" xfId="0" applyNumberFormat="1" applyBorder="1" applyAlignment="1">
      <alignment horizontal="center" vertical="center"/>
    </xf>
    <xf numFmtId="0" fontId="0" fillId="0" borderId="6" xfId="0" applyBorder="1" applyAlignment="1">
      <alignment horizontal="center" vertical="center"/>
    </xf>
    <xf numFmtId="9" fontId="0" fillId="0" borderId="5" xfId="0" applyNumberFormat="1"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wrapText="1"/>
    </xf>
    <xf numFmtId="0" fontId="0" fillId="0" borderId="8" xfId="0" applyBorder="1" applyAlignment="1">
      <alignment horizontal="center" vertical="center"/>
    </xf>
    <xf numFmtId="9" fontId="0" fillId="0" borderId="9" xfId="0" applyNumberForma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0" xfId="0" quotePrefix="1"/>
    <xf numFmtId="0" fontId="1" fillId="4" borderId="5" xfId="0" applyFont="1" applyFill="1" applyBorder="1" applyAlignment="1">
      <alignment horizontal="center" vertical="center"/>
    </xf>
    <xf numFmtId="0" fontId="0" fillId="0" borderId="5" xfId="0" applyBorder="1" applyAlignment="1">
      <alignment horizontal="left" vertical="top"/>
    </xf>
    <xf numFmtId="0" fontId="0" fillId="0" borderId="5" xfId="0" applyBorder="1" applyAlignment="1">
      <alignment horizontal="left" vertical="top" wrapText="1"/>
    </xf>
    <xf numFmtId="0" fontId="0" fillId="5" borderId="0" xfId="0" applyFill="1"/>
    <xf numFmtId="0" fontId="0" fillId="0" borderId="9" xfId="0" applyBorder="1" applyAlignment="1">
      <alignment horizontal="left" vertical="top"/>
    </xf>
    <xf numFmtId="0" fontId="0" fillId="0" borderId="9" xfId="0" applyBorder="1" applyAlignment="1">
      <alignment horizontal="left" vertical="top" wrapText="1"/>
    </xf>
    <xf numFmtId="0" fontId="0" fillId="0" borderId="2" xfId="0" applyBorder="1" applyAlignment="1">
      <alignment horizontal="left" vertical="top" wrapText="1"/>
    </xf>
    <xf numFmtId="0" fontId="0" fillId="0" borderId="5" xfId="0" quotePrefix="1" applyBorder="1" applyAlignment="1">
      <alignment horizontal="left" vertical="top"/>
    </xf>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11" xfId="0" applyBorder="1" applyAlignment="1">
      <alignment horizontal="left" vertical="top" wrapText="1"/>
    </xf>
    <xf numFmtId="0" fontId="0" fillId="0" borderId="0" xfId="0" applyAlignment="1">
      <alignment horizontal="left" vertical="top"/>
    </xf>
    <xf numFmtId="0" fontId="0" fillId="0" borderId="0" xfId="0" applyAlignment="1">
      <alignment horizontal="left"/>
    </xf>
    <xf numFmtId="0" fontId="0" fillId="5" borderId="0" xfId="0" applyFill="1" applyAlignment="1">
      <alignment horizontal="left"/>
    </xf>
    <xf numFmtId="167" fontId="0" fillId="0" borderId="0" xfId="0" applyNumberFormat="1"/>
    <xf numFmtId="0" fontId="0" fillId="6" borderId="0" xfId="0" applyFill="1" applyAlignment="1">
      <alignment horizontal="left"/>
    </xf>
    <xf numFmtId="0" fontId="0" fillId="6" borderId="0" xfId="0" applyFill="1"/>
    <xf numFmtId="0" fontId="0" fillId="0" borderId="0" xfId="0" applyAlignment="1">
      <alignment horizontal="left" indent="1"/>
    </xf>
    <xf numFmtId="10" fontId="0" fillId="0" borderId="0" xfId="0" applyNumberFormat="1"/>
    <xf numFmtId="0" fontId="0" fillId="7" borderId="0" xfId="0" applyFill="1"/>
    <xf numFmtId="0" fontId="0" fillId="8" borderId="0" xfId="0" applyFill="1"/>
    <xf numFmtId="0" fontId="5" fillId="8" borderId="0" xfId="0" applyFont="1" applyFill="1"/>
    <xf numFmtId="0" fontId="6" fillId="8" borderId="0" xfId="0" applyFont="1" applyFill="1" applyAlignment="1">
      <alignment horizontal="left" vertical="top" indent="2"/>
    </xf>
    <xf numFmtId="0" fontId="6" fillId="8" borderId="0" xfId="0" applyFont="1" applyFill="1" applyAlignment="1">
      <alignment horizontal="left" vertical="top" indent="1"/>
    </xf>
    <xf numFmtId="0" fontId="7" fillId="8" borderId="0" xfId="0" applyFont="1" applyFill="1" applyAlignment="1">
      <alignment horizontal="right"/>
    </xf>
    <xf numFmtId="0" fontId="5" fillId="8" borderId="0" xfId="0" applyFont="1" applyFill="1" applyAlignment="1">
      <alignment horizontal="right"/>
    </xf>
    <xf numFmtId="0" fontId="6" fillId="8" borderId="0" xfId="0" applyFont="1" applyFill="1" applyAlignment="1">
      <alignment horizontal="right" indent="2"/>
    </xf>
    <xf numFmtId="168" fontId="5" fillId="8" borderId="0" xfId="0" applyNumberFormat="1" applyFont="1" applyFill="1" applyAlignment="1">
      <alignment horizontal="right" indent="2"/>
    </xf>
    <xf numFmtId="168" fontId="5" fillId="8" borderId="0" xfId="0" applyNumberFormat="1" applyFont="1" applyFill="1" applyAlignment="1">
      <alignment horizontal="right"/>
    </xf>
    <xf numFmtId="0" fontId="0" fillId="8" borderId="0" xfId="0" applyFill="1" applyAlignment="1">
      <alignment horizontal="center" vertical="center"/>
    </xf>
    <xf numFmtId="0" fontId="8" fillId="3" borderId="0" xfId="0" applyFont="1" applyFill="1"/>
    <xf numFmtId="0" fontId="8" fillId="3" borderId="0" xfId="0" applyFont="1" applyFill="1" applyAlignment="1">
      <alignment horizontal="center" vertical="center"/>
    </xf>
    <xf numFmtId="0" fontId="0" fillId="5" borderId="0" xfId="0" applyFill="1" applyAlignment="1">
      <alignment horizontal="right" vertical="top"/>
    </xf>
    <xf numFmtId="0" fontId="3" fillId="2" borderId="0" xfId="0" applyFont="1" applyFill="1" applyAlignment="1">
      <alignment horizontal="center" vertical="center"/>
    </xf>
    <xf numFmtId="0" fontId="0" fillId="0" borderId="9" xfId="0" applyBorder="1" applyAlignment="1">
      <alignment horizontal="center" vertical="top" wrapText="1"/>
    </xf>
    <xf numFmtId="0" fontId="0" fillId="0" borderId="11" xfId="0" applyBorder="1" applyAlignment="1">
      <alignment horizontal="center" vertical="top" wrapText="1"/>
    </xf>
    <xf numFmtId="0" fontId="0" fillId="0" borderId="2" xfId="0" applyBorder="1" applyAlignment="1">
      <alignment horizontal="center" vertical="top" wrapText="1"/>
    </xf>
    <xf numFmtId="0" fontId="0" fillId="0" borderId="9" xfId="0" applyBorder="1" applyAlignment="1">
      <alignment horizontal="center" vertical="center" wrapText="1"/>
    </xf>
    <xf numFmtId="0" fontId="0" fillId="0" borderId="2" xfId="0" applyBorder="1" applyAlignment="1">
      <alignment horizontal="center" vertical="center" wrapText="1"/>
    </xf>
    <xf numFmtId="0" fontId="0" fillId="0" borderId="9" xfId="0" applyBorder="1" applyAlignment="1">
      <alignment horizontal="center" vertical="top"/>
    </xf>
    <xf numFmtId="0" fontId="0" fillId="0" borderId="2" xfId="0" applyBorder="1" applyAlignment="1">
      <alignment horizontal="center" vertical="top"/>
    </xf>
    <xf numFmtId="0" fontId="0" fillId="0" borderId="9" xfId="0" applyBorder="1" applyAlignment="1">
      <alignment horizontal="left" vertical="top"/>
    </xf>
    <xf numFmtId="0" fontId="0" fillId="0" borderId="2" xfId="0" applyBorder="1" applyAlignment="1">
      <alignment horizontal="left" vertical="top"/>
    </xf>
    <xf numFmtId="0" fontId="0" fillId="0" borderId="9" xfId="0" applyBorder="1" applyAlignment="1">
      <alignment horizontal="left" vertical="top" wrapText="1"/>
    </xf>
    <xf numFmtId="0" fontId="0" fillId="0" borderId="2" xfId="0" applyBorder="1" applyAlignment="1">
      <alignment horizontal="left" vertical="top" wrapText="1"/>
    </xf>
    <xf numFmtId="0" fontId="0" fillId="0" borderId="11" xfId="0" applyBorder="1" applyAlignment="1">
      <alignment horizontal="center" vertical="top"/>
    </xf>
    <xf numFmtId="0" fontId="4" fillId="8" borderId="15" xfId="0" applyFont="1" applyFill="1" applyBorder="1" applyAlignment="1">
      <alignment horizontal="center" vertical="center"/>
    </xf>
    <xf numFmtId="0" fontId="4" fillId="8" borderId="0" xfId="0" applyFont="1" applyFill="1" applyAlignment="1">
      <alignment horizontal="center" vertical="center"/>
    </xf>
    <xf numFmtId="0" fontId="4" fillId="8" borderId="16" xfId="0" applyFont="1" applyFill="1" applyBorder="1" applyAlignment="1">
      <alignment horizontal="center" vertical="center"/>
    </xf>
    <xf numFmtId="0" fontId="0" fillId="8" borderId="12" xfId="0" applyFill="1" applyBorder="1" applyAlignment="1">
      <alignment horizontal="center" vertical="center"/>
    </xf>
    <xf numFmtId="0" fontId="0" fillId="8" borderId="13" xfId="0" applyFill="1" applyBorder="1" applyAlignment="1">
      <alignment horizontal="center" vertical="center"/>
    </xf>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0" fillId="8" borderId="0" xfId="0" applyFill="1" applyAlignment="1">
      <alignment horizontal="center" vertical="center"/>
    </xf>
    <xf numFmtId="0" fontId="0" fillId="8" borderId="16" xfId="0" applyFill="1" applyBorder="1" applyAlignment="1">
      <alignment horizontal="center" vertical="center"/>
    </xf>
    <xf numFmtId="0" fontId="4" fillId="8" borderId="17" xfId="0" applyFont="1" applyFill="1" applyBorder="1" applyAlignment="1">
      <alignment horizontal="center" vertical="center"/>
    </xf>
    <xf numFmtId="0" fontId="4" fillId="8" borderId="18" xfId="0" applyFont="1" applyFill="1" applyBorder="1" applyAlignment="1">
      <alignment horizontal="center" vertical="center"/>
    </xf>
    <xf numFmtId="0" fontId="4" fillId="8" borderId="19" xfId="0" applyFont="1" applyFill="1" applyBorder="1" applyAlignment="1">
      <alignment horizontal="center" vertical="center"/>
    </xf>
    <xf numFmtId="0" fontId="0" fillId="0" borderId="0" xfId="0" applyNumberFormat="1"/>
  </cellXfs>
  <cellStyles count="1">
    <cellStyle name="Normal" xfId="0" builtinId="0"/>
  </cellStyles>
  <dxfs count="41">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59996337778862885"/>
        </patternFill>
      </fill>
      <border>
        <vertical/>
        <horizontal/>
      </border>
    </dxf>
    <dxf>
      <fill>
        <patternFill patternType="solid">
          <bgColor theme="8"/>
        </patternFill>
      </fill>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409]d\-mmm\-yy;@"/>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numFmt numFmtId="164" formatCode="[$-409]d\-mmm\-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left" vertical="top" textRotation="0" wrapText="0" indent="0" justifyLastLine="0" shrinkToFit="0" readingOrder="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Dark5 2" pivot="0" table="0" count="10" xr9:uid="{CBF7DF75-AA76-449F-9E70-F4C758884C37}">
      <tableStyleElement type="wholeTable" dxfId="40"/>
      <tableStyleElement type="headerRow" dxfId="39"/>
    </tableStyle>
  </tableStyles>
  <colors>
    <mruColors>
      <color rgb="FF83ECF1"/>
      <color rgb="FFDDDDDD"/>
      <color rgb="FFEAEAEA"/>
      <color rgb="FFC0C0C0"/>
      <color rgb="FF79ECF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34998626667073579"/>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Project.xlsx]PIVOT_Call_Calculation!Montly PIVOT</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14260717410336E-2"/>
          <c:y val="0.13323855351414407"/>
          <c:w val="0.62533464566929131"/>
          <c:h val="0.65853091280256637"/>
        </c:manualLayout>
      </c:layout>
      <c:areaChart>
        <c:grouping val="standard"/>
        <c:varyColors val="0"/>
        <c:ser>
          <c:idx val="1"/>
          <c:order val="1"/>
          <c:tx>
            <c:strRef>
              <c:f>PIVOT_Call_Calculation!$C$22</c:f>
              <c:strCache>
                <c:ptCount val="1"/>
                <c:pt idx="0">
                  <c:v>Total Call Count2</c:v>
                </c:pt>
              </c:strCache>
            </c:strRef>
          </c:tx>
          <c:spPr>
            <a:solidFill>
              <a:schemeClr val="accent2"/>
            </a:solidFill>
            <a:ln>
              <a:noFill/>
            </a:ln>
            <a:effectLst/>
          </c:spPr>
          <c:cat>
            <c:strRef>
              <c:f>PIVOT_Call_Calculation!$A$23:$A$35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PIVOT_Call_Calculation!$C$23:$C$35</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2-8BAC-4804-8A35-035BB09A8D77}"/>
            </c:ext>
          </c:extLst>
        </c:ser>
        <c:dLbls>
          <c:showLegendKey val="0"/>
          <c:showVal val="0"/>
          <c:showCatName val="0"/>
          <c:showSerName val="0"/>
          <c:showPercent val="0"/>
          <c:showBubbleSize val="0"/>
        </c:dLbls>
        <c:axId val="283877280"/>
        <c:axId val="283880640"/>
      </c:areaChart>
      <c:lineChart>
        <c:grouping val="standard"/>
        <c:varyColors val="0"/>
        <c:ser>
          <c:idx val="0"/>
          <c:order val="0"/>
          <c:tx>
            <c:strRef>
              <c:f>PIVOT_Call_Calculation!$B$22</c:f>
              <c:strCache>
                <c:ptCount val="1"/>
                <c:pt idx="0">
                  <c:v>Total 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PIVOT_Call_Calculation!$A$23:$A$35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PIVOT_Call_Calculation!$B$23:$B$35</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0-8BAC-4804-8A35-035BB09A8D77}"/>
            </c:ext>
          </c:extLst>
        </c:ser>
        <c:dLbls>
          <c:showLegendKey val="0"/>
          <c:showVal val="0"/>
          <c:showCatName val="0"/>
          <c:showSerName val="0"/>
          <c:showPercent val="0"/>
          <c:showBubbleSize val="0"/>
        </c:dLbls>
        <c:marker val="1"/>
        <c:smooth val="0"/>
        <c:axId val="283877280"/>
        <c:axId val="283880640"/>
      </c:lineChart>
      <c:catAx>
        <c:axId val="28387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880640"/>
        <c:crosses val="autoZero"/>
        <c:auto val="1"/>
        <c:lblAlgn val="ctr"/>
        <c:lblOffset val="100"/>
        <c:noMultiLvlLbl val="0"/>
      </c:catAx>
      <c:valAx>
        <c:axId val="28388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87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Project.xlsx]PIVOT_Call_Calculation!Weekly Pivot</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PIVOT_Call_Calculation!$B$39</c:f>
              <c:strCache>
                <c:ptCount val="1"/>
                <c:pt idx="0">
                  <c:v>Total</c:v>
                </c:pt>
              </c:strCache>
            </c:strRef>
          </c:tx>
          <c:spPr>
            <a:solidFill>
              <a:schemeClr val="accent1"/>
            </a:solidFill>
            <a:ln>
              <a:noFill/>
            </a:ln>
            <a:effectLst/>
          </c:spPr>
          <c:invertIfNegative val="0"/>
          <c:cat>
            <c:strRef>
              <c:f>PIVOT_Call_Calculation!$A$40:$A$47</c:f>
              <c:strCache>
                <c:ptCount val="7"/>
                <c:pt idx="0">
                  <c:v>Sunday</c:v>
                </c:pt>
                <c:pt idx="1">
                  <c:v>Monday</c:v>
                </c:pt>
                <c:pt idx="2">
                  <c:v>Tuesday</c:v>
                </c:pt>
                <c:pt idx="3">
                  <c:v>Wednesday</c:v>
                </c:pt>
                <c:pt idx="4">
                  <c:v>Thursday</c:v>
                </c:pt>
                <c:pt idx="5">
                  <c:v>Friday</c:v>
                </c:pt>
                <c:pt idx="6">
                  <c:v>Saturday</c:v>
                </c:pt>
              </c:strCache>
            </c:strRef>
          </c:cat>
          <c:val>
            <c:numRef>
              <c:f>PIVOT_Call_Calculation!$B$40:$B$47</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3BA1-404E-AA1A-D90D7BA76511}"/>
            </c:ext>
          </c:extLst>
        </c:ser>
        <c:dLbls>
          <c:showLegendKey val="0"/>
          <c:showVal val="0"/>
          <c:showCatName val="0"/>
          <c:showSerName val="0"/>
          <c:showPercent val="0"/>
          <c:showBubbleSize val="0"/>
        </c:dLbls>
        <c:gapWidth val="150"/>
        <c:overlap val="100"/>
        <c:axId val="285882400"/>
        <c:axId val="285880000"/>
      </c:barChart>
      <c:catAx>
        <c:axId val="2858824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880000"/>
        <c:crosses val="autoZero"/>
        <c:auto val="1"/>
        <c:lblAlgn val="ctr"/>
        <c:lblOffset val="100"/>
        <c:noMultiLvlLbl val="0"/>
      </c:catAx>
      <c:valAx>
        <c:axId val="285880000"/>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88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822034718545214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PIVOT_Call_Calculation!$F$58:$F$62</c:f>
              <c:strCache>
                <c:ptCount val="5"/>
                <c:pt idx="0">
                  <c:v>R01</c:v>
                </c:pt>
                <c:pt idx="1">
                  <c:v>R02</c:v>
                </c:pt>
                <c:pt idx="2">
                  <c:v>R03</c:v>
                </c:pt>
                <c:pt idx="3">
                  <c:v>R04</c:v>
                </c:pt>
                <c:pt idx="4">
                  <c:v>R05</c:v>
                </c:pt>
              </c:strCache>
            </c:strRef>
          </c:cat>
          <c:val>
            <c:numRef>
              <c:f>PIVOT_Call_Calculation!$H$58:$H$62</c:f>
              <c:numCache>
                <c:formatCode>#,###.00,\K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FC4-4B06-BEF3-680CDAFF2893}"/>
            </c:ext>
          </c:extLst>
        </c:ser>
        <c:ser>
          <c:idx val="1"/>
          <c:order val="1"/>
          <c:tx>
            <c:strRef>
              <c:f>PIVOT_Call_Calculation!$J$57</c:f>
              <c:strCache>
                <c:ptCount val="1"/>
                <c:pt idx="0">
                  <c:v>Sell Amount</c:v>
                </c:pt>
              </c:strCache>
            </c:strRef>
          </c:tx>
          <c:spPr>
            <a:gradFill>
              <a:gsLst>
                <a:gs pos="25000">
                  <a:srgbClr val="C00000"/>
                </a:gs>
                <a:gs pos="100000">
                  <a:schemeClr val="accent5">
                    <a:lumMod val="60000"/>
                    <a:lumOff val="40000"/>
                    <a:alpha val="42000"/>
                  </a:schemeClr>
                </a:gs>
              </a:gsLst>
              <a:lin ang="5400000" scaled="1"/>
            </a:gradFill>
            <a:ln>
              <a:gradFill>
                <a:gsLst>
                  <a:gs pos="0">
                    <a:srgbClr val="FFC000"/>
                  </a:gs>
                  <a:gs pos="100000">
                    <a:schemeClr val="accent5">
                      <a:lumMod val="60000"/>
                      <a:lumOff val="40000"/>
                      <a:alpha val="42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PIVOT_Call_Calculation!$J$58:$J$62</c:f>
              <c:numCache>
                <c:formatCode>General</c:formatCode>
                <c:ptCount val="5"/>
                <c:pt idx="0">
                  <c:v>0</c:v>
                </c:pt>
                <c:pt idx="1">
                  <c:v>0</c:v>
                </c:pt>
                <c:pt idx="2">
                  <c:v>0</c:v>
                </c:pt>
                <c:pt idx="3">
                  <c:v>16651</c:v>
                </c:pt>
                <c:pt idx="4">
                  <c:v>0</c:v>
                </c:pt>
              </c:numCache>
            </c:numRef>
          </c:val>
          <c:extLst>
            <c:ext xmlns:c16="http://schemas.microsoft.com/office/drawing/2014/chart" uri="{C3380CC4-5D6E-409C-BE32-E72D297353CC}">
              <c16:uniqueId val="{00000001-BFC4-4B06-BEF3-680CDAFF2893}"/>
            </c:ext>
          </c:extLst>
        </c:ser>
        <c:dLbls>
          <c:dLblPos val="outEnd"/>
          <c:showLegendKey val="0"/>
          <c:showVal val="1"/>
          <c:showCatName val="0"/>
          <c:showSerName val="0"/>
          <c:showPercent val="0"/>
          <c:showBubbleSize val="0"/>
        </c:dLbls>
        <c:gapWidth val="90"/>
        <c:overlap val="100"/>
        <c:axId val="835338063"/>
        <c:axId val="835331343"/>
      </c:barChart>
      <c:catAx>
        <c:axId val="8353380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331343"/>
        <c:crosses val="autoZero"/>
        <c:auto val="1"/>
        <c:lblAlgn val="ctr"/>
        <c:lblOffset val="100"/>
        <c:noMultiLvlLbl val="0"/>
      </c:catAx>
      <c:valAx>
        <c:axId val="835331343"/>
        <c:scaling>
          <c:orientation val="minMax"/>
        </c:scaling>
        <c:delete val="1"/>
        <c:axPos val="t"/>
        <c:numFmt formatCode="#,###.00,\K" sourceLinked="1"/>
        <c:majorTickMark val="none"/>
        <c:minorTickMark val="none"/>
        <c:tickLblPos val="nextTo"/>
        <c:crossAx val="8353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PIVOT_Call_Calculation!$F$58:$F$62</c:f>
              <c:strCache>
                <c:ptCount val="5"/>
                <c:pt idx="0">
                  <c:v>R01</c:v>
                </c:pt>
                <c:pt idx="1">
                  <c:v>R02</c:v>
                </c:pt>
                <c:pt idx="2">
                  <c:v>R03</c:v>
                </c:pt>
                <c:pt idx="3">
                  <c:v>R04</c:v>
                </c:pt>
                <c:pt idx="4">
                  <c:v>R05</c:v>
                </c:pt>
              </c:strCache>
            </c:strRef>
          </c:cat>
          <c:val>
            <c:numRef>
              <c:f>PIVOT_Call_Calculation!$G$58:$G$62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AB7-4F77-832E-AC6122501A53}"/>
            </c:ext>
          </c:extLst>
        </c:ser>
        <c:ser>
          <c:idx val="1"/>
          <c:order val="1"/>
          <c:tx>
            <c:strRef>
              <c:f>PIVOT_Call_Calculation!$I$57</c:f>
              <c:strCache>
                <c:ptCount val="1"/>
                <c:pt idx="0">
                  <c:v>Sell Call</c:v>
                </c:pt>
              </c:strCache>
            </c:strRef>
          </c:tx>
          <c:spPr>
            <a:gradFill>
              <a:gsLst>
                <a:gs pos="3000">
                  <a:schemeClr val="accent5">
                    <a:lumMod val="100000"/>
                  </a:schemeClr>
                </a:gs>
                <a:gs pos="100000">
                  <a:srgbClr val="FFC0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PIVOT_Call_Calculation!$I$58:$I$62</c:f>
              <c:numCache>
                <c:formatCode>General</c:formatCode>
                <c:ptCount val="5"/>
                <c:pt idx="0">
                  <c:v>0</c:v>
                </c:pt>
                <c:pt idx="1">
                  <c:v>0</c:v>
                </c:pt>
                <c:pt idx="2">
                  <c:v>0</c:v>
                </c:pt>
                <c:pt idx="3">
                  <c:v>186</c:v>
                </c:pt>
                <c:pt idx="4">
                  <c:v>0</c:v>
                </c:pt>
              </c:numCache>
            </c:numRef>
          </c:val>
          <c:extLst>
            <c:ext xmlns:c16="http://schemas.microsoft.com/office/drawing/2014/chart" uri="{C3380CC4-5D6E-409C-BE32-E72D297353CC}">
              <c16:uniqueId val="{00000001-3AB7-4F77-832E-AC6122501A53}"/>
            </c:ext>
          </c:extLst>
        </c:ser>
        <c:dLbls>
          <c:dLblPos val="outEnd"/>
          <c:showLegendKey val="0"/>
          <c:showVal val="1"/>
          <c:showCatName val="0"/>
          <c:showSerName val="0"/>
          <c:showPercent val="0"/>
          <c:showBubbleSize val="0"/>
        </c:dLbls>
        <c:gapWidth val="90"/>
        <c:overlap val="100"/>
        <c:axId val="835338063"/>
        <c:axId val="835331343"/>
      </c:barChart>
      <c:catAx>
        <c:axId val="8353380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331343"/>
        <c:crosses val="autoZero"/>
        <c:auto val="1"/>
        <c:lblAlgn val="ctr"/>
        <c:lblOffset val="100"/>
        <c:noMultiLvlLbl val="0"/>
      </c:catAx>
      <c:valAx>
        <c:axId val="835331343"/>
        <c:scaling>
          <c:orientation val="minMax"/>
          <c:min val="0"/>
        </c:scaling>
        <c:delete val="1"/>
        <c:axPos val="t"/>
        <c:numFmt formatCode="General" sourceLinked="1"/>
        <c:majorTickMark val="out"/>
        <c:minorTickMark val="none"/>
        <c:tickLblPos val="nextTo"/>
        <c:crossAx val="8353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Project.xlsx]PIVOT_Call_Calculation!Demo Grapics Pivot</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PIVOT_Call_Calculation!$B$72:$B$73</c:f>
              <c:strCache>
                <c:ptCount val="1"/>
                <c:pt idx="0">
                  <c:v>Female</c:v>
                </c:pt>
              </c:strCache>
            </c:strRef>
          </c:tx>
          <c:spPr>
            <a:solidFill>
              <a:schemeClr val="accent1"/>
            </a:solidFill>
            <a:ln>
              <a:noFill/>
            </a:ln>
            <a:effectLst/>
          </c:spPr>
          <c:invertIfNegative val="0"/>
          <c:cat>
            <c:strRef>
              <c:f>PIVOT_Call_Calculation!$A$74:$A$77</c:f>
              <c:strCache>
                <c:ptCount val="3"/>
                <c:pt idx="0">
                  <c:v>Columbus</c:v>
                </c:pt>
                <c:pt idx="1">
                  <c:v>Cincinnati</c:v>
                </c:pt>
                <c:pt idx="2">
                  <c:v>Cleveland</c:v>
                </c:pt>
              </c:strCache>
            </c:strRef>
          </c:cat>
          <c:val>
            <c:numRef>
              <c:f>PIVOT_Call_Calculation!$B$74:$B$77</c:f>
              <c:numCache>
                <c:formatCode>#,##0</c:formatCode>
                <c:ptCount val="3"/>
                <c:pt idx="0">
                  <c:v>24</c:v>
                </c:pt>
                <c:pt idx="1">
                  <c:v>24</c:v>
                </c:pt>
                <c:pt idx="2">
                  <c:v>68</c:v>
                </c:pt>
              </c:numCache>
            </c:numRef>
          </c:val>
          <c:extLst>
            <c:ext xmlns:c16="http://schemas.microsoft.com/office/drawing/2014/chart" uri="{C3380CC4-5D6E-409C-BE32-E72D297353CC}">
              <c16:uniqueId val="{00000000-8A00-45ED-8AB6-5A3BB7105BC4}"/>
            </c:ext>
          </c:extLst>
        </c:ser>
        <c:ser>
          <c:idx val="1"/>
          <c:order val="1"/>
          <c:tx>
            <c:strRef>
              <c:f>PIVOT_Call_Calculation!$C$72:$C$73</c:f>
              <c:strCache>
                <c:ptCount val="1"/>
                <c:pt idx="0">
                  <c:v>Male</c:v>
                </c:pt>
              </c:strCache>
            </c:strRef>
          </c:tx>
          <c:spPr>
            <a:solidFill>
              <a:schemeClr val="accent2"/>
            </a:solidFill>
            <a:ln>
              <a:noFill/>
            </a:ln>
            <a:effectLst/>
          </c:spPr>
          <c:invertIfNegative val="0"/>
          <c:cat>
            <c:strRef>
              <c:f>PIVOT_Call_Calculation!$A$74:$A$77</c:f>
              <c:strCache>
                <c:ptCount val="3"/>
                <c:pt idx="0">
                  <c:v>Columbus</c:v>
                </c:pt>
                <c:pt idx="1">
                  <c:v>Cincinnati</c:v>
                </c:pt>
                <c:pt idx="2">
                  <c:v>Cleveland</c:v>
                </c:pt>
              </c:strCache>
            </c:strRef>
          </c:cat>
          <c:val>
            <c:numRef>
              <c:f>PIVOT_Call_Calculation!$C$74:$C$77</c:f>
              <c:numCache>
                <c:formatCode>#,##0</c:formatCode>
                <c:ptCount val="3"/>
                <c:pt idx="0">
                  <c:v>37</c:v>
                </c:pt>
                <c:pt idx="1">
                  <c:v>20</c:v>
                </c:pt>
                <c:pt idx="2">
                  <c:v>13</c:v>
                </c:pt>
              </c:numCache>
            </c:numRef>
          </c:val>
          <c:extLst>
            <c:ext xmlns:c16="http://schemas.microsoft.com/office/drawing/2014/chart" uri="{C3380CC4-5D6E-409C-BE32-E72D297353CC}">
              <c16:uniqueId val="{00000001-8A00-45ED-8AB6-5A3BB7105BC4}"/>
            </c:ext>
          </c:extLst>
        </c:ser>
        <c:dLbls>
          <c:showLegendKey val="0"/>
          <c:showVal val="0"/>
          <c:showCatName val="0"/>
          <c:showSerName val="0"/>
          <c:showPercent val="0"/>
          <c:showBubbleSize val="0"/>
        </c:dLbls>
        <c:gapWidth val="150"/>
        <c:overlap val="100"/>
        <c:axId val="12928000"/>
        <c:axId val="12924160"/>
      </c:barChart>
      <c:catAx>
        <c:axId val="1292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4160"/>
        <c:crosses val="autoZero"/>
        <c:auto val="1"/>
        <c:lblAlgn val="ctr"/>
        <c:lblOffset val="100"/>
        <c:noMultiLvlLbl val="0"/>
      </c:catAx>
      <c:valAx>
        <c:axId val="12924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Project.xlsx]PIVOT_Call_Calculation!REP RATING PIVOT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PIVOT_Call_Calculation!$B$81</c:f>
              <c:strCache>
                <c:ptCount val="1"/>
                <c:pt idx="0">
                  <c:v>Total</c:v>
                </c:pt>
              </c:strCache>
            </c:strRef>
          </c:tx>
          <c:spPr>
            <a:solidFill>
              <a:schemeClr val="accent1"/>
            </a:solidFill>
            <a:ln>
              <a:noFill/>
            </a:ln>
            <a:effectLst/>
          </c:spPr>
          <c:invertIfNegative val="0"/>
          <c:cat>
            <c:strRef>
              <c:f>PIVOT_Call_Calculation!$A$82:$A$87</c:f>
              <c:strCache>
                <c:ptCount val="5"/>
                <c:pt idx="0">
                  <c:v>1</c:v>
                </c:pt>
                <c:pt idx="1">
                  <c:v>2</c:v>
                </c:pt>
                <c:pt idx="2">
                  <c:v>3</c:v>
                </c:pt>
                <c:pt idx="3">
                  <c:v>4</c:v>
                </c:pt>
                <c:pt idx="4">
                  <c:v>5</c:v>
                </c:pt>
              </c:strCache>
            </c:strRef>
          </c:cat>
          <c:val>
            <c:numRef>
              <c:f>PIVOT_Call_Calculation!$B$82:$B$87</c:f>
              <c:numCache>
                <c:formatCode>General</c:formatCode>
                <c:ptCount val="5"/>
                <c:pt idx="0">
                  <c:v>3</c:v>
                </c:pt>
                <c:pt idx="1">
                  <c:v>10</c:v>
                </c:pt>
                <c:pt idx="2">
                  <c:v>41</c:v>
                </c:pt>
                <c:pt idx="3">
                  <c:v>70</c:v>
                </c:pt>
                <c:pt idx="4">
                  <c:v>62</c:v>
                </c:pt>
              </c:numCache>
            </c:numRef>
          </c:val>
          <c:extLst>
            <c:ext xmlns:c16="http://schemas.microsoft.com/office/drawing/2014/chart" uri="{C3380CC4-5D6E-409C-BE32-E72D297353CC}">
              <c16:uniqueId val="{00000000-EE1F-4869-82CF-18CBC16F6F25}"/>
            </c:ext>
          </c:extLst>
        </c:ser>
        <c:dLbls>
          <c:showLegendKey val="0"/>
          <c:showVal val="0"/>
          <c:showCatName val="0"/>
          <c:showSerName val="0"/>
          <c:showPercent val="0"/>
          <c:showBubbleSize val="0"/>
        </c:dLbls>
        <c:gapWidth val="219"/>
        <c:overlap val="-27"/>
        <c:axId val="1625659247"/>
        <c:axId val="1625669807"/>
      </c:barChart>
      <c:catAx>
        <c:axId val="162565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669807"/>
        <c:crosses val="autoZero"/>
        <c:auto val="1"/>
        <c:lblAlgn val="ctr"/>
        <c:lblOffset val="100"/>
        <c:noMultiLvlLbl val="0"/>
      </c:catAx>
      <c:valAx>
        <c:axId val="162566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65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Project.xlsx]PIVOT_Call_Calculation!Weekly Pivot</c:name>
    <c:fmtId val="2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D85C0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pivotFmt>
      <c:pivotFmt>
        <c:idx val="4"/>
      </c:pivotFmt>
      <c:pivotFmt>
        <c:idx val="5"/>
      </c:pivotFmt>
      <c:pivotFmt>
        <c:idx val="6"/>
      </c:pivotFmt>
      <c:pivotFmt>
        <c:idx val="7"/>
      </c:pivotFmt>
      <c:pivotFmt>
        <c:idx val="8"/>
      </c:pivotFmt>
      <c:pivotFmt>
        <c:idx val="9"/>
      </c:pivotFmt>
    </c:pivotFmts>
    <c:plotArea>
      <c:layout>
        <c:manualLayout>
          <c:layoutTarget val="inner"/>
          <c:xMode val="edge"/>
          <c:yMode val="edge"/>
          <c:x val="0.39013092721386483"/>
          <c:y val="9.8734908136482946E-2"/>
          <c:w val="0.56209646945882741"/>
          <c:h val="0.80727034120734908"/>
        </c:manualLayout>
      </c:layout>
      <c:barChart>
        <c:barDir val="bar"/>
        <c:grouping val="stacked"/>
        <c:varyColors val="0"/>
        <c:ser>
          <c:idx val="0"/>
          <c:order val="0"/>
          <c:tx>
            <c:strRef>
              <c:f>PIVOT_Call_Calculation!$B$39</c:f>
              <c:strCache>
                <c:ptCount val="1"/>
                <c:pt idx="0">
                  <c:v>Total</c:v>
                </c:pt>
              </c:strCache>
            </c:strRef>
          </c:tx>
          <c:spPr>
            <a:solidFill>
              <a:srgbClr val="D85C0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PIVOT_Call_Calculation!$A$40:$A$47</c:f>
              <c:strCache>
                <c:ptCount val="7"/>
                <c:pt idx="0">
                  <c:v>Sunday</c:v>
                </c:pt>
                <c:pt idx="1">
                  <c:v>Monday</c:v>
                </c:pt>
                <c:pt idx="2">
                  <c:v>Tuesday</c:v>
                </c:pt>
                <c:pt idx="3">
                  <c:v>Wednesday</c:v>
                </c:pt>
                <c:pt idx="4">
                  <c:v>Thursday</c:v>
                </c:pt>
                <c:pt idx="5">
                  <c:v>Friday</c:v>
                </c:pt>
                <c:pt idx="6">
                  <c:v>Saturday</c:v>
                </c:pt>
              </c:strCache>
            </c:strRef>
          </c:cat>
          <c:val>
            <c:numRef>
              <c:f>PIVOT_Call_Calculation!$B$40:$B$47</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F9FE-40A9-9638-C84508FA6EA8}"/>
            </c:ext>
          </c:extLst>
        </c:ser>
        <c:dLbls>
          <c:dLblPos val="inEnd"/>
          <c:showLegendKey val="0"/>
          <c:showVal val="1"/>
          <c:showCatName val="0"/>
          <c:showSerName val="0"/>
          <c:showPercent val="0"/>
          <c:showBubbleSize val="0"/>
        </c:dLbls>
        <c:gapWidth val="100"/>
        <c:overlap val="100"/>
        <c:axId val="285882400"/>
        <c:axId val="285880000"/>
      </c:barChart>
      <c:catAx>
        <c:axId val="285882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880000"/>
        <c:crosses val="autoZero"/>
        <c:auto val="1"/>
        <c:lblAlgn val="ctr"/>
        <c:lblOffset val="100"/>
        <c:noMultiLvlLbl val="0"/>
      </c:catAx>
      <c:valAx>
        <c:axId val="285880000"/>
        <c:scaling>
          <c:orientation val="minMax"/>
        </c:scaling>
        <c:delete val="1"/>
        <c:axPos val="b"/>
        <c:numFmt formatCode="#,##0" sourceLinked="1"/>
        <c:majorTickMark val="out"/>
        <c:minorTickMark val="none"/>
        <c:tickLblPos val="nextTo"/>
        <c:crossAx val="28588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Project.xlsx]PIVOT_Call_Calculation!Montly PIVOT</c:name>
    <c:fmtId val="12"/>
  </c:pivotSource>
  <c:chart>
    <c:title>
      <c:tx>
        <c:rich>
          <a:bodyPr rot="0" spcFirstLastPara="1" vertOverflow="ellipsis" vert="horz" wrap="square" anchor="ctr" anchorCtr="1"/>
          <a:lstStyle/>
          <a:p>
            <a:pPr>
              <a:defRPr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defRPr>
            </a:pPr>
            <a:r>
              <a:rPr lang="en-IN" b="1">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rPr>
              <a:t>Call</a:t>
            </a:r>
            <a:r>
              <a:rPr lang="en-IN" b="1"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rPr>
              <a:t> Trend </a:t>
            </a:r>
            <a:endParaRPr lang="en-IN" b="1">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endParaRPr>
          </a:p>
        </c:rich>
      </c:tx>
      <c:layout>
        <c:manualLayout>
          <c:xMode val="edge"/>
          <c:yMode val="edge"/>
          <c:x val="5.5205779689909903E-2"/>
          <c:y val="4.6986859200739452E-3"/>
        </c:manualLayout>
      </c:layout>
      <c:overlay val="0"/>
      <c:spPr>
        <a:noFill/>
        <a:ln>
          <a:noFill/>
        </a:ln>
        <a:effectLst/>
      </c:spPr>
      <c:txPr>
        <a:bodyPr rot="0" spcFirstLastPara="1" vertOverflow="ellipsis" vert="horz" wrap="square" anchor="ctr" anchorCtr="1"/>
        <a:lstStyle/>
        <a:p>
          <a:pPr>
            <a:defRPr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5">
                  <a:lumMod val="100000"/>
                </a:schemeClr>
              </a:gs>
              <a:gs pos="75000">
                <a:srgbClr val="E5A988">
                  <a:alpha val="80000"/>
                </a:srgbClr>
              </a:gs>
              <a:gs pos="100000">
                <a:schemeClr val="accent1">
                  <a:alpha val="0"/>
                  <a:lumMod val="28000"/>
                  <a:lumOff val="72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75000"/>
              </a:schemeClr>
            </a:solidFill>
            <a:round/>
          </a:ln>
          <a:effectLst/>
        </c:spPr>
        <c:marker>
          <c:symbol val="circle"/>
          <c:size val="5"/>
          <c:spPr>
            <a:gradFill>
              <a:gsLst>
                <a:gs pos="0">
                  <a:schemeClr val="accent1">
                    <a:lumMod val="18000"/>
                    <a:lumOff val="82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5875">
              <a:solidFill>
                <a:schemeClr val="tx1">
                  <a:alpha val="9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circle"/>
          <c:size val="5"/>
          <c:spPr>
            <a:gradFill>
              <a:gsLst>
                <a:gs pos="0">
                  <a:schemeClr val="accent1">
                    <a:lumMod val="18000"/>
                    <a:lumOff val="82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5875">
              <a:solidFill>
                <a:schemeClr val="tx1">
                  <a:alpha val="92000"/>
                </a:schemeClr>
              </a:solidFill>
            </a:ln>
            <a:effectLst/>
          </c:spPr>
        </c:marker>
      </c:pivotFmt>
    </c:pivotFmts>
    <c:plotArea>
      <c:layout>
        <c:manualLayout>
          <c:layoutTarget val="inner"/>
          <c:xMode val="edge"/>
          <c:yMode val="edge"/>
          <c:x val="7.4914260717410336E-2"/>
          <c:y val="0.13323855351414407"/>
          <c:w val="0.83740052910052909"/>
          <c:h val="0.67297023918521814"/>
        </c:manualLayout>
      </c:layout>
      <c:areaChart>
        <c:grouping val="standard"/>
        <c:varyColors val="0"/>
        <c:ser>
          <c:idx val="1"/>
          <c:order val="1"/>
          <c:tx>
            <c:strRef>
              <c:f>PIVOT_Call_Calculation!$C$22</c:f>
              <c:strCache>
                <c:ptCount val="1"/>
                <c:pt idx="0">
                  <c:v>Total Call Count2</c:v>
                </c:pt>
              </c:strCache>
            </c:strRef>
          </c:tx>
          <c:spPr>
            <a:gradFill>
              <a:gsLst>
                <a:gs pos="0">
                  <a:schemeClr val="accent5">
                    <a:lumMod val="100000"/>
                  </a:schemeClr>
                </a:gs>
                <a:gs pos="75000">
                  <a:srgbClr val="E5A988">
                    <a:alpha val="80000"/>
                  </a:srgbClr>
                </a:gs>
                <a:gs pos="100000">
                  <a:schemeClr val="accent1">
                    <a:alpha val="0"/>
                    <a:lumMod val="28000"/>
                    <a:lumOff val="72000"/>
                  </a:schemeClr>
                </a:gs>
              </a:gsLst>
              <a:lin ang="5400000" scaled="1"/>
            </a:gradFill>
            <a:ln>
              <a:noFill/>
            </a:ln>
            <a:effectLst/>
          </c:spPr>
          <c:cat>
            <c:strRef>
              <c:f>PIVOT_Call_Calculation!$A$23:$A$35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PIVOT_Call_Calculation!$C$23:$C$35</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0CD2-4F53-B199-1EE7A999E1C4}"/>
            </c:ext>
          </c:extLst>
        </c:ser>
        <c:dLbls>
          <c:showLegendKey val="0"/>
          <c:showVal val="0"/>
          <c:showCatName val="0"/>
          <c:showSerName val="0"/>
          <c:showPercent val="0"/>
          <c:showBubbleSize val="0"/>
        </c:dLbls>
        <c:axId val="283877280"/>
        <c:axId val="283880640"/>
      </c:areaChart>
      <c:lineChart>
        <c:grouping val="standard"/>
        <c:varyColors val="0"/>
        <c:ser>
          <c:idx val="0"/>
          <c:order val="0"/>
          <c:tx>
            <c:strRef>
              <c:f>PIVOT_Call_Calculation!$B$22</c:f>
              <c:strCache>
                <c:ptCount val="1"/>
                <c:pt idx="0">
                  <c:v>Total Call Count</c:v>
                </c:pt>
              </c:strCache>
            </c:strRef>
          </c:tx>
          <c:spPr>
            <a:ln w="28575" cap="rnd">
              <a:solidFill>
                <a:schemeClr val="accent5">
                  <a:lumMod val="75000"/>
                </a:schemeClr>
              </a:solidFill>
              <a:round/>
            </a:ln>
            <a:effectLst/>
          </c:spPr>
          <c:marker>
            <c:symbol val="circle"/>
            <c:size val="5"/>
            <c:spPr>
              <a:gradFill>
                <a:gsLst>
                  <a:gs pos="0">
                    <a:schemeClr val="accent1">
                      <a:lumMod val="18000"/>
                      <a:lumOff val="82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5875">
                <a:solidFill>
                  <a:schemeClr val="tx1">
                    <a:alpha val="92000"/>
                  </a:schemeClr>
                </a:solidFill>
              </a:ln>
              <a:effectLst/>
            </c:spPr>
          </c:marker>
          <c:cat>
            <c:strRef>
              <c:f>PIVOT_Call_Calculation!$A$23:$A$35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PIVOT_Call_Calculation!$B$23:$B$35</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0CD2-4F53-B199-1EE7A999E1C4}"/>
            </c:ext>
          </c:extLst>
        </c:ser>
        <c:dLbls>
          <c:showLegendKey val="0"/>
          <c:showVal val="0"/>
          <c:showCatName val="0"/>
          <c:showSerName val="0"/>
          <c:showPercent val="0"/>
          <c:showBubbleSize val="0"/>
        </c:dLbls>
        <c:marker val="1"/>
        <c:smooth val="0"/>
        <c:axId val="283877280"/>
        <c:axId val="283880640"/>
      </c:lineChart>
      <c:catAx>
        <c:axId val="283877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880640"/>
        <c:crosses val="autoZero"/>
        <c:auto val="1"/>
        <c:lblAlgn val="ctr"/>
        <c:lblOffset val="100"/>
        <c:noMultiLvlLbl val="0"/>
      </c:catAx>
      <c:valAx>
        <c:axId val="28388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87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defRPr>
            </a:pPr>
            <a:r>
              <a:rPr lang="en-IN"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rPr>
              <a:t>Amount</a:t>
            </a:r>
          </a:p>
        </c:rich>
      </c:tx>
      <c:layout>
        <c:manualLayout>
          <c:xMode val="edge"/>
          <c:yMode val="edge"/>
          <c:x val="7.5830817200481515E-2"/>
          <c:y val="6.3424424888065475E-3"/>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defRPr>
          </a:pPr>
          <a:endParaRPr lang="en-US"/>
        </a:p>
      </c:txPr>
    </c:title>
    <c:autoTitleDeleted val="0"/>
    <c:plotArea>
      <c:layout>
        <c:manualLayout>
          <c:layoutTarget val="inner"/>
          <c:xMode val="edge"/>
          <c:yMode val="edge"/>
          <c:x val="6.1512849763037572E-2"/>
          <c:y val="0.11696194225721784"/>
          <c:w val="0.86519607843137258"/>
          <c:h val="0.82733930074778383"/>
        </c:manualLayout>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PIVOT_Call_Calculation!$F$58:$F$62</c:f>
              <c:strCache>
                <c:ptCount val="5"/>
                <c:pt idx="0">
                  <c:v>R01</c:v>
                </c:pt>
                <c:pt idx="1">
                  <c:v>R02</c:v>
                </c:pt>
                <c:pt idx="2">
                  <c:v>R03</c:v>
                </c:pt>
                <c:pt idx="3">
                  <c:v>R04</c:v>
                </c:pt>
                <c:pt idx="4">
                  <c:v>R05</c:v>
                </c:pt>
              </c:strCache>
            </c:strRef>
          </c:cat>
          <c:val>
            <c:numRef>
              <c:f>PIVOT_Call_Calculation!$H$58:$H$62</c:f>
              <c:numCache>
                <c:formatCode>#,###.00,\K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1BD-4242-A956-D578C9D89ADA}"/>
            </c:ext>
          </c:extLst>
        </c:ser>
        <c:ser>
          <c:idx val="1"/>
          <c:order val="1"/>
          <c:tx>
            <c:strRef>
              <c:f>PIVOT_Call_Calculation!$J$57</c:f>
              <c:strCache>
                <c:ptCount val="1"/>
                <c:pt idx="0">
                  <c:v>Sell Amount</c:v>
                </c:pt>
              </c:strCache>
            </c:strRef>
          </c:tx>
          <c:spPr>
            <a:gradFill>
              <a:gsLst>
                <a:gs pos="25000">
                  <a:srgbClr val="C00000"/>
                </a:gs>
                <a:gs pos="100000">
                  <a:schemeClr val="accent5">
                    <a:lumMod val="60000"/>
                    <a:lumOff val="40000"/>
                    <a:alpha val="42000"/>
                  </a:schemeClr>
                </a:gs>
              </a:gsLst>
              <a:lin ang="5400000" scaled="1"/>
            </a:gradFill>
            <a:ln>
              <a:gradFill>
                <a:gsLst>
                  <a:gs pos="0">
                    <a:srgbClr val="FFC000"/>
                  </a:gs>
                  <a:gs pos="100000">
                    <a:schemeClr val="accent5">
                      <a:lumMod val="60000"/>
                      <a:lumOff val="40000"/>
                      <a:alpha val="42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PIVOT_Call_Calculation!$J$58:$J$62</c:f>
              <c:numCache>
                <c:formatCode>General</c:formatCode>
                <c:ptCount val="5"/>
                <c:pt idx="0">
                  <c:v>0</c:v>
                </c:pt>
                <c:pt idx="1">
                  <c:v>0</c:v>
                </c:pt>
                <c:pt idx="2">
                  <c:v>0</c:v>
                </c:pt>
                <c:pt idx="3">
                  <c:v>16651</c:v>
                </c:pt>
                <c:pt idx="4">
                  <c:v>0</c:v>
                </c:pt>
              </c:numCache>
            </c:numRef>
          </c:val>
          <c:extLst>
            <c:ext xmlns:c16="http://schemas.microsoft.com/office/drawing/2014/chart" uri="{C3380CC4-5D6E-409C-BE32-E72D297353CC}">
              <c16:uniqueId val="{00000001-61BD-4242-A956-D578C9D89ADA}"/>
            </c:ext>
          </c:extLst>
        </c:ser>
        <c:dLbls>
          <c:dLblPos val="outEnd"/>
          <c:showLegendKey val="0"/>
          <c:showVal val="1"/>
          <c:showCatName val="0"/>
          <c:showSerName val="0"/>
          <c:showPercent val="0"/>
          <c:showBubbleSize val="0"/>
        </c:dLbls>
        <c:gapWidth val="90"/>
        <c:overlap val="100"/>
        <c:axId val="835338063"/>
        <c:axId val="835331343"/>
      </c:barChart>
      <c:catAx>
        <c:axId val="835338063"/>
        <c:scaling>
          <c:orientation val="maxMin"/>
        </c:scaling>
        <c:delete val="1"/>
        <c:axPos val="l"/>
        <c:numFmt formatCode="General" sourceLinked="1"/>
        <c:majorTickMark val="none"/>
        <c:minorTickMark val="none"/>
        <c:tickLblPos val="nextTo"/>
        <c:crossAx val="835331343"/>
        <c:crosses val="autoZero"/>
        <c:auto val="1"/>
        <c:lblAlgn val="ctr"/>
        <c:lblOffset val="100"/>
        <c:noMultiLvlLbl val="0"/>
      </c:catAx>
      <c:valAx>
        <c:axId val="835331343"/>
        <c:scaling>
          <c:orientation val="minMax"/>
        </c:scaling>
        <c:delete val="1"/>
        <c:axPos val="t"/>
        <c:numFmt formatCode="#,###.00,\K" sourceLinked="1"/>
        <c:majorTickMark val="none"/>
        <c:minorTickMark val="none"/>
        <c:tickLblPos val="nextTo"/>
        <c:crossAx val="8353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defRPr>
            </a:pPr>
            <a:r>
              <a:rPr lang="en-IN"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rPr>
              <a:t>Calls</a:t>
            </a:r>
          </a:p>
        </c:rich>
      </c:tx>
      <c:layout>
        <c:manualLayout>
          <c:xMode val="edge"/>
          <c:yMode val="edge"/>
          <c:x val="0.16672411916252403"/>
          <c:y val="3.2679738562091505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defRPr>
          </a:pPr>
          <a:endParaRPr lang="en-US"/>
        </a:p>
      </c:txPr>
    </c:title>
    <c:autoTitleDeleted val="0"/>
    <c:plotArea>
      <c:layout>
        <c:manualLayout>
          <c:layoutTarget val="inner"/>
          <c:xMode val="edge"/>
          <c:yMode val="edge"/>
          <c:x val="0.23101135551987453"/>
          <c:y val="0.14683293745051465"/>
          <c:w val="0.71294546917089507"/>
          <c:h val="0.80566112430720505"/>
        </c:manualLayout>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PIVOT_Call_Calculation!$F$58:$F$62</c:f>
              <c:strCache>
                <c:ptCount val="5"/>
                <c:pt idx="0">
                  <c:v>R01</c:v>
                </c:pt>
                <c:pt idx="1">
                  <c:v>R02</c:v>
                </c:pt>
                <c:pt idx="2">
                  <c:v>R03</c:v>
                </c:pt>
                <c:pt idx="3">
                  <c:v>R04</c:v>
                </c:pt>
                <c:pt idx="4">
                  <c:v>R05</c:v>
                </c:pt>
              </c:strCache>
            </c:strRef>
          </c:cat>
          <c:val>
            <c:numRef>
              <c:f>PIVOT_Call_Calculation!$G$58:$G$62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08A-4DBC-8518-DF96E4C7095F}"/>
            </c:ext>
          </c:extLst>
        </c:ser>
        <c:ser>
          <c:idx val="1"/>
          <c:order val="1"/>
          <c:tx>
            <c:strRef>
              <c:f>PIVOT_Call_Calculation!$I$57</c:f>
              <c:strCache>
                <c:ptCount val="1"/>
                <c:pt idx="0">
                  <c:v>Sell Call</c:v>
                </c:pt>
              </c:strCache>
            </c:strRef>
          </c:tx>
          <c:spPr>
            <a:gradFill>
              <a:gsLst>
                <a:gs pos="3000">
                  <a:schemeClr val="accent5">
                    <a:lumMod val="100000"/>
                  </a:schemeClr>
                </a:gs>
                <a:gs pos="100000">
                  <a:srgbClr val="FFC00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delete val="1"/>
          </c:dLbls>
          <c:val>
            <c:numRef>
              <c:f>PIVOT_Call_Calculation!$I$58:$I$62</c:f>
              <c:numCache>
                <c:formatCode>General</c:formatCode>
                <c:ptCount val="5"/>
                <c:pt idx="0">
                  <c:v>0</c:v>
                </c:pt>
                <c:pt idx="1">
                  <c:v>0</c:v>
                </c:pt>
                <c:pt idx="2">
                  <c:v>0</c:v>
                </c:pt>
                <c:pt idx="3">
                  <c:v>186</c:v>
                </c:pt>
                <c:pt idx="4">
                  <c:v>0</c:v>
                </c:pt>
              </c:numCache>
            </c:numRef>
          </c:val>
          <c:extLst>
            <c:ext xmlns:c16="http://schemas.microsoft.com/office/drawing/2014/chart" uri="{C3380CC4-5D6E-409C-BE32-E72D297353CC}">
              <c16:uniqueId val="{00000001-808A-4DBC-8518-DF96E4C7095F}"/>
            </c:ext>
          </c:extLst>
        </c:ser>
        <c:dLbls>
          <c:dLblPos val="outEnd"/>
          <c:showLegendKey val="0"/>
          <c:showVal val="1"/>
          <c:showCatName val="0"/>
          <c:showSerName val="0"/>
          <c:showPercent val="0"/>
          <c:showBubbleSize val="0"/>
        </c:dLbls>
        <c:gapWidth val="90"/>
        <c:overlap val="100"/>
        <c:axId val="835338063"/>
        <c:axId val="835331343"/>
      </c:barChart>
      <c:catAx>
        <c:axId val="8353380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331343"/>
        <c:crosses val="autoZero"/>
        <c:auto val="1"/>
        <c:lblAlgn val="ctr"/>
        <c:lblOffset val="100"/>
        <c:noMultiLvlLbl val="0"/>
      </c:catAx>
      <c:valAx>
        <c:axId val="835331343"/>
        <c:scaling>
          <c:orientation val="minMax"/>
          <c:min val="0"/>
        </c:scaling>
        <c:delete val="1"/>
        <c:axPos val="t"/>
        <c:numFmt formatCode="General" sourceLinked="1"/>
        <c:majorTickMark val="out"/>
        <c:minorTickMark val="none"/>
        <c:tickLblPos val="nextTo"/>
        <c:crossAx val="8353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Project.xlsx]PIVOT_Call_Calculation!Demo Grapics Pivot</c:name>
    <c:fmtId val="17"/>
  </c:pivotSource>
  <c:chart>
    <c:title>
      <c:tx>
        <c:rich>
          <a:bodyPr rot="0" spcFirstLastPara="1" vertOverflow="ellipsis" vert="horz" wrap="square" anchor="ctr" anchorCtr="1"/>
          <a:lstStyle/>
          <a:p>
            <a:pPr>
              <a:defRPr lang="en-US"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defRPr>
            </a:pPr>
            <a:r>
              <a:rPr lang="en-US"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rPr>
              <a:t> </a:t>
            </a:r>
            <a:r>
              <a:rPr lang="en-US"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solidFill>
                <a:latin typeface="+mn-lt"/>
                <a:ea typeface="+mn-ea"/>
                <a:cs typeface="+mn-cs"/>
              </a:rPr>
              <a:t>Female</a:t>
            </a:r>
            <a:r>
              <a:rPr lang="en-US"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rPr>
              <a:t> </a:t>
            </a:r>
            <a:r>
              <a:rPr lang="en-US"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50000"/>
                    <a:lumOff val="50000"/>
                  </a:schemeClr>
                </a:solidFill>
                <a:latin typeface="+mn-lt"/>
                <a:ea typeface="+mn-ea"/>
                <a:cs typeface="+mn-cs"/>
              </a:rPr>
              <a:t>vs.</a:t>
            </a:r>
            <a:r>
              <a:rPr lang="en-US"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rPr>
              <a:t> </a:t>
            </a:r>
            <a:r>
              <a:rPr lang="en-US"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79ECFB"/>
                </a:solidFill>
                <a:latin typeface="+mn-lt"/>
                <a:ea typeface="+mn-ea"/>
                <a:cs typeface="+mn-cs"/>
              </a:rPr>
              <a:t>Male</a:t>
            </a:r>
            <a:r>
              <a:rPr lang="en-US"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rPr>
              <a:t> </a:t>
            </a:r>
            <a:r>
              <a:rPr lang="en-US"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50000"/>
                    <a:lumOff val="50000"/>
                  </a:schemeClr>
                </a:solidFill>
                <a:latin typeface="+mn-lt"/>
                <a:ea typeface="+mn-ea"/>
                <a:cs typeface="+mn-cs"/>
              </a:rPr>
              <a:t>Callers</a:t>
            </a:r>
          </a:p>
        </c:rich>
      </c:tx>
      <c:layout>
        <c:manualLayout>
          <c:xMode val="edge"/>
          <c:yMode val="edge"/>
          <c:x val="0.17818049554390661"/>
          <c:y val="3.4454033477603375E-2"/>
        </c:manualLayout>
      </c:layout>
      <c:overlay val="0"/>
      <c:spPr>
        <a:noFill/>
        <a:ln>
          <a:noFill/>
        </a:ln>
        <a:effectLst/>
      </c:spPr>
      <c:txPr>
        <a:bodyPr rot="0" spcFirstLastPara="1" vertOverflow="ellipsis" vert="horz" wrap="square" anchor="ctr" anchorCtr="1"/>
        <a:lstStyle/>
        <a:p>
          <a:pPr>
            <a:defRPr lang="en-US" sz="1400" b="1" i="0" u="none" strike="noStrike" kern="1200" spc="0" baseline="0">
              <a:ln>
                <a:gradFill>
                  <a:gsLst>
                    <a:gs pos="0">
                      <a:schemeClr val="accent1">
                        <a:alpha val="0"/>
                        <a:lumMod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3ECF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PIVOT_Call_Calculation!$B$72:$B$73</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PIVOT_Call_Calculation!$A$74:$A$77</c:f>
              <c:strCache>
                <c:ptCount val="3"/>
                <c:pt idx="0">
                  <c:v>Columbus</c:v>
                </c:pt>
                <c:pt idx="1">
                  <c:v>Cincinnati</c:v>
                </c:pt>
                <c:pt idx="2">
                  <c:v>Cleveland</c:v>
                </c:pt>
              </c:strCache>
            </c:strRef>
          </c:cat>
          <c:val>
            <c:numRef>
              <c:f>PIVOT_Call_Calculation!$B$74:$B$77</c:f>
              <c:numCache>
                <c:formatCode>#,##0</c:formatCode>
                <c:ptCount val="3"/>
                <c:pt idx="0">
                  <c:v>24</c:v>
                </c:pt>
                <c:pt idx="1">
                  <c:v>24</c:v>
                </c:pt>
                <c:pt idx="2">
                  <c:v>68</c:v>
                </c:pt>
              </c:numCache>
            </c:numRef>
          </c:val>
          <c:extLst>
            <c:ext xmlns:c16="http://schemas.microsoft.com/office/drawing/2014/chart" uri="{C3380CC4-5D6E-409C-BE32-E72D297353CC}">
              <c16:uniqueId val="{00000000-3529-4994-814D-A8FFE94650EC}"/>
            </c:ext>
          </c:extLst>
        </c:ser>
        <c:ser>
          <c:idx val="1"/>
          <c:order val="1"/>
          <c:tx>
            <c:strRef>
              <c:f>PIVOT_Call_Calculation!$C$72:$C$73</c:f>
              <c:strCache>
                <c:ptCount val="1"/>
                <c:pt idx="0">
                  <c:v>Male</c:v>
                </c:pt>
              </c:strCache>
            </c:strRef>
          </c:tx>
          <c:spPr>
            <a:solidFill>
              <a:srgbClr val="83ECF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PIVOT_Call_Calculation!$A$74:$A$77</c:f>
              <c:strCache>
                <c:ptCount val="3"/>
                <c:pt idx="0">
                  <c:v>Columbus</c:v>
                </c:pt>
                <c:pt idx="1">
                  <c:v>Cincinnati</c:v>
                </c:pt>
                <c:pt idx="2">
                  <c:v>Cleveland</c:v>
                </c:pt>
              </c:strCache>
            </c:strRef>
          </c:cat>
          <c:val>
            <c:numRef>
              <c:f>PIVOT_Call_Calculation!$C$74:$C$77</c:f>
              <c:numCache>
                <c:formatCode>#,##0</c:formatCode>
                <c:ptCount val="3"/>
                <c:pt idx="0">
                  <c:v>37</c:v>
                </c:pt>
                <c:pt idx="1">
                  <c:v>20</c:v>
                </c:pt>
                <c:pt idx="2">
                  <c:v>13</c:v>
                </c:pt>
              </c:numCache>
            </c:numRef>
          </c:val>
          <c:extLst>
            <c:ext xmlns:c16="http://schemas.microsoft.com/office/drawing/2014/chart" uri="{C3380CC4-5D6E-409C-BE32-E72D297353CC}">
              <c16:uniqueId val="{00000001-3529-4994-814D-A8FFE94650EC}"/>
            </c:ext>
          </c:extLst>
        </c:ser>
        <c:dLbls>
          <c:dLblPos val="ctr"/>
          <c:showLegendKey val="0"/>
          <c:showVal val="1"/>
          <c:showCatName val="0"/>
          <c:showSerName val="0"/>
          <c:showPercent val="0"/>
          <c:showBubbleSize val="0"/>
        </c:dLbls>
        <c:gapWidth val="150"/>
        <c:overlap val="100"/>
        <c:axId val="12928000"/>
        <c:axId val="12924160"/>
      </c:barChart>
      <c:catAx>
        <c:axId val="12928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4160"/>
        <c:crosses val="autoZero"/>
        <c:auto val="1"/>
        <c:lblAlgn val="ctr"/>
        <c:lblOffset val="100"/>
        <c:noMultiLvlLbl val="0"/>
      </c:catAx>
      <c:valAx>
        <c:axId val="12924160"/>
        <c:scaling>
          <c:orientation val="minMax"/>
        </c:scaling>
        <c:delete val="1"/>
        <c:axPos val="l"/>
        <c:numFmt formatCode="0%" sourceLinked="1"/>
        <c:majorTickMark val="out"/>
        <c:minorTickMark val="none"/>
        <c:tickLblPos val="nextTo"/>
        <c:crossAx val="1292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Project.xlsx]PIVOT_Call_Calculation!REP RATING PIVOT</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1232086404535"/>
          <c:y val="0.20743847874720359"/>
          <c:w val="0.81081398371529423"/>
          <c:h val="0.67959581814018211"/>
        </c:manualLayout>
      </c:layout>
      <c:barChart>
        <c:barDir val="col"/>
        <c:grouping val="clustered"/>
        <c:varyColors val="0"/>
        <c:ser>
          <c:idx val="0"/>
          <c:order val="0"/>
          <c:tx>
            <c:strRef>
              <c:f>PIVOT_Call_Calculation!$B$81</c:f>
              <c:strCache>
                <c:ptCount val="1"/>
                <c:pt idx="0">
                  <c:v>Total</c:v>
                </c:pt>
              </c:strCache>
            </c:strRef>
          </c:tx>
          <c:spPr>
            <a:solidFill>
              <a:schemeClr val="accent1"/>
            </a:solidFill>
            <a:ln>
              <a:noFill/>
            </a:ln>
            <a:effectLst/>
          </c:spPr>
          <c:invertIfNegative val="0"/>
          <c:cat>
            <c:strRef>
              <c:f>PIVOT_Call_Calculation!$A$82:$A$87</c:f>
              <c:strCache>
                <c:ptCount val="5"/>
                <c:pt idx="0">
                  <c:v>1</c:v>
                </c:pt>
                <c:pt idx="1">
                  <c:v>2</c:v>
                </c:pt>
                <c:pt idx="2">
                  <c:v>3</c:v>
                </c:pt>
                <c:pt idx="3">
                  <c:v>4</c:v>
                </c:pt>
                <c:pt idx="4">
                  <c:v>5</c:v>
                </c:pt>
              </c:strCache>
            </c:strRef>
          </c:cat>
          <c:val>
            <c:numRef>
              <c:f>PIVOT_Call_Calculation!$B$82:$B$87</c:f>
              <c:numCache>
                <c:formatCode>General</c:formatCode>
                <c:ptCount val="5"/>
                <c:pt idx="0">
                  <c:v>3</c:v>
                </c:pt>
                <c:pt idx="1">
                  <c:v>10</c:v>
                </c:pt>
                <c:pt idx="2">
                  <c:v>41</c:v>
                </c:pt>
                <c:pt idx="3">
                  <c:v>70</c:v>
                </c:pt>
                <c:pt idx="4">
                  <c:v>62</c:v>
                </c:pt>
              </c:numCache>
            </c:numRef>
          </c:val>
          <c:extLst>
            <c:ext xmlns:c16="http://schemas.microsoft.com/office/drawing/2014/chart" uri="{C3380CC4-5D6E-409C-BE32-E72D297353CC}">
              <c16:uniqueId val="{00000000-1E09-43F4-B5F6-E1333A2706EE}"/>
            </c:ext>
          </c:extLst>
        </c:ser>
        <c:dLbls>
          <c:showLegendKey val="0"/>
          <c:showVal val="0"/>
          <c:showCatName val="0"/>
          <c:showSerName val="0"/>
          <c:showPercent val="0"/>
          <c:showBubbleSize val="0"/>
        </c:dLbls>
        <c:gapWidth val="98"/>
        <c:overlap val="-17"/>
        <c:axId val="1625659247"/>
        <c:axId val="1625669807"/>
      </c:barChart>
      <c:catAx>
        <c:axId val="1625659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669807"/>
        <c:crosses val="autoZero"/>
        <c:auto val="1"/>
        <c:lblAlgn val="ctr"/>
        <c:lblOffset val="100"/>
        <c:noMultiLvlLbl val="0"/>
      </c:catAx>
      <c:valAx>
        <c:axId val="162566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65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4.svg"/><Relationship Id="rId13" Type="http://schemas.openxmlformats.org/officeDocument/2006/relationships/chart" Target="../charts/chart8.xml"/><Relationship Id="rId3" Type="http://schemas.openxmlformats.org/officeDocument/2006/relationships/image" Target="../media/image19.svg"/><Relationship Id="rId7" Type="http://schemas.openxmlformats.org/officeDocument/2006/relationships/image" Target="../media/image23.png"/><Relationship Id="rId12" Type="http://schemas.openxmlformats.org/officeDocument/2006/relationships/image" Target="../media/image28.svg"/><Relationship Id="rId17" Type="http://schemas.openxmlformats.org/officeDocument/2006/relationships/chart" Target="../charts/chart12.xml"/><Relationship Id="rId2" Type="http://schemas.openxmlformats.org/officeDocument/2006/relationships/image" Target="../media/image18.png"/><Relationship Id="rId16" Type="http://schemas.openxmlformats.org/officeDocument/2006/relationships/chart" Target="../charts/chart11.xml"/><Relationship Id="rId1" Type="http://schemas.openxmlformats.org/officeDocument/2006/relationships/chart" Target="../charts/chart7.xml"/><Relationship Id="rId6" Type="http://schemas.openxmlformats.org/officeDocument/2006/relationships/image" Target="../media/image22.svg"/><Relationship Id="rId11" Type="http://schemas.openxmlformats.org/officeDocument/2006/relationships/image" Target="../media/image27.png"/><Relationship Id="rId5" Type="http://schemas.openxmlformats.org/officeDocument/2006/relationships/image" Target="../media/image21.png"/><Relationship Id="rId15" Type="http://schemas.openxmlformats.org/officeDocument/2006/relationships/chart" Target="../charts/chart10.xml"/><Relationship Id="rId10" Type="http://schemas.openxmlformats.org/officeDocument/2006/relationships/image" Target="../media/image26.svg"/><Relationship Id="rId4" Type="http://schemas.openxmlformats.org/officeDocument/2006/relationships/image" Target="../media/image20.jpeg"/><Relationship Id="rId9" Type="http://schemas.openxmlformats.org/officeDocument/2006/relationships/image" Target="../media/image25.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22</xdr:row>
      <xdr:rowOff>120187</xdr:rowOff>
    </xdr:from>
    <xdr:to>
      <xdr:col>13</xdr:col>
      <xdr:colOff>409650</xdr:colOff>
      <xdr:row>24</xdr:row>
      <xdr:rowOff>148838</xdr:rowOff>
    </xdr:to>
    <xdr:pic>
      <xdr:nvPicPr>
        <xdr:cNvPr id="3" name="Graphic 2" descr="Star-struck face outline with solid fill">
          <a:extLst>
            <a:ext uri="{FF2B5EF4-FFF2-40B4-BE49-F238E27FC236}">
              <a16:creationId xmlns:a16="http://schemas.microsoft.com/office/drawing/2014/main" id="{F182E78D-D017-4477-BFF0-3D71A41A6B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560" y="2086147"/>
          <a:ext cx="409650" cy="394410"/>
        </a:xfrm>
        <a:prstGeom prst="rect">
          <a:avLst/>
        </a:prstGeom>
      </xdr:spPr>
    </xdr:pic>
    <xdr:clientData/>
  </xdr:twoCellAnchor>
  <xdr:twoCellAnchor editAs="oneCell">
    <xdr:from>
      <xdr:col>13</xdr:col>
      <xdr:colOff>0</xdr:colOff>
      <xdr:row>16</xdr:row>
      <xdr:rowOff>78525</xdr:rowOff>
    </xdr:from>
    <xdr:to>
      <xdr:col>13</xdr:col>
      <xdr:colOff>409650</xdr:colOff>
      <xdr:row>18</xdr:row>
      <xdr:rowOff>114795</xdr:rowOff>
    </xdr:to>
    <xdr:pic>
      <xdr:nvPicPr>
        <xdr:cNvPr id="4" name="Graphic 3" descr="Hourglass Finished with solid fill">
          <a:extLst>
            <a:ext uri="{FF2B5EF4-FFF2-40B4-BE49-F238E27FC236}">
              <a16:creationId xmlns:a16="http://schemas.microsoft.com/office/drawing/2014/main" id="{D3A2558F-778C-4E71-8CBC-2036ABC6F5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0560" y="261405"/>
          <a:ext cx="409650" cy="402030"/>
        </a:xfrm>
        <a:prstGeom prst="rect">
          <a:avLst/>
        </a:prstGeom>
      </xdr:spPr>
    </xdr:pic>
    <xdr:clientData/>
  </xdr:twoCellAnchor>
  <xdr:twoCellAnchor editAs="oneCell">
    <xdr:from>
      <xdr:col>13</xdr:col>
      <xdr:colOff>0</xdr:colOff>
      <xdr:row>28</xdr:row>
      <xdr:rowOff>161850</xdr:rowOff>
    </xdr:from>
    <xdr:to>
      <xdr:col>13</xdr:col>
      <xdr:colOff>409650</xdr:colOff>
      <xdr:row>30</xdr:row>
      <xdr:rowOff>0</xdr:rowOff>
    </xdr:to>
    <xdr:pic>
      <xdr:nvPicPr>
        <xdr:cNvPr id="5" name="Graphic 4" descr="Shopping cart with solid fill">
          <a:extLst>
            <a:ext uri="{FF2B5EF4-FFF2-40B4-BE49-F238E27FC236}">
              <a16:creationId xmlns:a16="http://schemas.microsoft.com/office/drawing/2014/main" id="{056B49C0-B037-4DEE-A153-E7CFEF334EF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 y="3225090"/>
          <a:ext cx="409650" cy="386790"/>
        </a:xfrm>
        <a:prstGeom prst="rect">
          <a:avLst/>
        </a:prstGeom>
      </xdr:spPr>
    </xdr:pic>
    <xdr:clientData/>
  </xdr:twoCellAnchor>
  <xdr:twoCellAnchor editAs="oneCell">
    <xdr:from>
      <xdr:col>13</xdr:col>
      <xdr:colOff>0</xdr:colOff>
      <xdr:row>19</xdr:row>
      <xdr:rowOff>99356</xdr:rowOff>
    </xdr:from>
    <xdr:to>
      <xdr:col>13</xdr:col>
      <xdr:colOff>409650</xdr:colOff>
      <xdr:row>21</xdr:row>
      <xdr:rowOff>138315</xdr:rowOff>
    </xdr:to>
    <xdr:pic>
      <xdr:nvPicPr>
        <xdr:cNvPr id="6" name="Graphic 5" descr="Call center with solid fill">
          <a:extLst>
            <a:ext uri="{FF2B5EF4-FFF2-40B4-BE49-F238E27FC236}">
              <a16:creationId xmlns:a16="http://schemas.microsoft.com/office/drawing/2014/main" id="{75008421-42FD-4182-976F-DCFB8F89D3E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0560" y="1105196"/>
          <a:ext cx="409650" cy="404719"/>
        </a:xfrm>
        <a:prstGeom prst="rect">
          <a:avLst/>
        </a:prstGeom>
      </xdr:spPr>
    </xdr:pic>
    <xdr:clientData/>
  </xdr:twoCellAnchor>
  <xdr:twoCellAnchor editAs="oneCell">
    <xdr:from>
      <xdr:col>13</xdr:col>
      <xdr:colOff>0</xdr:colOff>
      <xdr:row>25</xdr:row>
      <xdr:rowOff>141018</xdr:rowOff>
    </xdr:from>
    <xdr:to>
      <xdr:col>13</xdr:col>
      <xdr:colOff>409650</xdr:colOff>
      <xdr:row>26</xdr:row>
      <xdr:rowOff>352841</xdr:rowOff>
    </xdr:to>
    <xdr:pic>
      <xdr:nvPicPr>
        <xdr:cNvPr id="7" name="Graphic 6" descr="Receiver with solid fill">
          <a:extLst>
            <a:ext uri="{FF2B5EF4-FFF2-40B4-BE49-F238E27FC236}">
              <a16:creationId xmlns:a16="http://schemas.microsoft.com/office/drawing/2014/main" id="{1DA7FA0E-BE24-43DF-BF00-90515BE866A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70560" y="2655618"/>
          <a:ext cx="409650" cy="394410"/>
        </a:xfrm>
        <a:prstGeom prst="rect">
          <a:avLst/>
        </a:prstGeom>
      </xdr:spPr>
    </xdr:pic>
    <xdr:clientData/>
  </xdr:twoCellAnchor>
  <xdr:twoCellAnchor editAs="oneCell">
    <xdr:from>
      <xdr:col>13</xdr:col>
      <xdr:colOff>19049</xdr:colOff>
      <xdr:row>31</xdr:row>
      <xdr:rowOff>126149</xdr:rowOff>
    </xdr:from>
    <xdr:to>
      <xdr:col>13</xdr:col>
      <xdr:colOff>430529</xdr:colOff>
      <xdr:row>32</xdr:row>
      <xdr:rowOff>339802</xdr:rowOff>
    </xdr:to>
    <xdr:pic>
      <xdr:nvPicPr>
        <xdr:cNvPr id="8" name="Graphic 7" descr="Rating Star with solid fill">
          <a:extLst>
            <a:ext uri="{FF2B5EF4-FFF2-40B4-BE49-F238E27FC236}">
              <a16:creationId xmlns:a16="http://schemas.microsoft.com/office/drawing/2014/main" id="{4A54739D-43A8-4B71-B188-B9AD5A3521E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89609" y="3738029"/>
          <a:ext cx="411480" cy="396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426720</xdr:colOff>
      <xdr:row>9</xdr:row>
      <xdr:rowOff>160020</xdr:rowOff>
    </xdr:from>
    <xdr:to>
      <xdr:col>13</xdr:col>
      <xdr:colOff>419100</xdr:colOff>
      <xdr:row>23</xdr:row>
      <xdr:rowOff>66675</xdr:rowOff>
    </xdr:to>
    <mc:AlternateContent xmlns:mc="http://schemas.openxmlformats.org/markup-compatibility/2006" xmlns:a14="http://schemas.microsoft.com/office/drawing/2010/main">
      <mc:Choice Requires="a14">
        <xdr:graphicFrame macro="">
          <xdr:nvGraphicFramePr>
            <xdr:cNvPr id="4" name="Representative">
              <a:extLst>
                <a:ext uri="{FF2B5EF4-FFF2-40B4-BE49-F238E27FC236}">
                  <a16:creationId xmlns:a16="http://schemas.microsoft.com/office/drawing/2014/main" id="{EED7C875-17E0-CEDF-632D-E28DA9928C0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237220" y="1805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624840</xdr:colOff>
      <xdr:row>19</xdr:row>
      <xdr:rowOff>163830</xdr:rowOff>
    </xdr:from>
    <xdr:to>
      <xdr:col>8</xdr:col>
      <xdr:colOff>7620</xdr:colOff>
      <xdr:row>33</xdr:row>
      <xdr:rowOff>99060</xdr:rowOff>
    </xdr:to>
    <xdr:graphicFrame macro="">
      <xdr:nvGraphicFramePr>
        <xdr:cNvPr id="5" name="Chart 4">
          <a:extLst>
            <a:ext uri="{FF2B5EF4-FFF2-40B4-BE49-F238E27FC236}">
              <a16:creationId xmlns:a16="http://schemas.microsoft.com/office/drawing/2014/main" id="{ED95A405-4B3F-B4CA-80C1-DAC30A6A6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647700</xdr:colOff>
      <xdr:row>37</xdr:row>
      <xdr:rowOff>118110</xdr:rowOff>
    </xdr:from>
    <xdr:to>
      <xdr:col>8</xdr:col>
      <xdr:colOff>0</xdr:colOff>
      <xdr:row>52</xdr:row>
      <xdr:rowOff>118110</xdr:rowOff>
    </xdr:to>
    <xdr:graphicFrame macro="">
      <xdr:nvGraphicFramePr>
        <xdr:cNvPr id="6" name="Chart 5">
          <a:extLst>
            <a:ext uri="{FF2B5EF4-FFF2-40B4-BE49-F238E27FC236}">
              <a16:creationId xmlns:a16="http://schemas.microsoft.com/office/drawing/2014/main" id="{C35E7A5E-3ABA-1561-4747-046429AA3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xdr:colOff>
      <xdr:row>53</xdr:row>
      <xdr:rowOff>137160</xdr:rowOff>
    </xdr:from>
    <xdr:to>
      <xdr:col>20</xdr:col>
      <xdr:colOff>76200</xdr:colOff>
      <xdr:row>65</xdr:row>
      <xdr:rowOff>144780</xdr:rowOff>
    </xdr:to>
    <xdr:graphicFrame macro="">
      <xdr:nvGraphicFramePr>
        <xdr:cNvPr id="7" name="Chart 6">
          <a:extLst>
            <a:ext uri="{FF2B5EF4-FFF2-40B4-BE49-F238E27FC236}">
              <a16:creationId xmlns:a16="http://schemas.microsoft.com/office/drawing/2014/main" id="{BF5BD2B0-640C-22DF-59DE-AB7A84BF1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45720</xdr:colOff>
      <xdr:row>53</xdr:row>
      <xdr:rowOff>137160</xdr:rowOff>
    </xdr:from>
    <xdr:to>
      <xdr:col>14</xdr:col>
      <xdr:colOff>701040</xdr:colOff>
      <xdr:row>66</xdr:row>
      <xdr:rowOff>0</xdr:rowOff>
    </xdr:to>
    <xdr:graphicFrame macro="">
      <xdr:nvGraphicFramePr>
        <xdr:cNvPr id="8" name="Chart 7">
          <a:extLst>
            <a:ext uri="{FF2B5EF4-FFF2-40B4-BE49-F238E27FC236}">
              <a16:creationId xmlns:a16="http://schemas.microsoft.com/office/drawing/2014/main" id="{A21412F2-6FA3-41CD-A008-14F8AF199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304800</xdr:colOff>
      <xdr:row>70</xdr:row>
      <xdr:rowOff>118110</xdr:rowOff>
    </xdr:from>
    <xdr:to>
      <xdr:col>9</xdr:col>
      <xdr:colOff>0</xdr:colOff>
      <xdr:row>78</xdr:row>
      <xdr:rowOff>0</xdr:rowOff>
    </xdr:to>
    <xdr:graphicFrame macro="">
      <xdr:nvGraphicFramePr>
        <xdr:cNvPr id="2" name="Chart 1">
          <a:extLst>
            <a:ext uri="{FF2B5EF4-FFF2-40B4-BE49-F238E27FC236}">
              <a16:creationId xmlns:a16="http://schemas.microsoft.com/office/drawing/2014/main" id="{09BBA36A-4828-DDD8-1FE8-AF020932D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426720</xdr:colOff>
      <xdr:row>70</xdr:row>
      <xdr:rowOff>133350</xdr:rowOff>
    </xdr:from>
    <xdr:to>
      <xdr:col>17</xdr:col>
      <xdr:colOff>129540</xdr:colOff>
      <xdr:row>85</xdr:row>
      <xdr:rowOff>133350</xdr:rowOff>
    </xdr:to>
    <xdr:graphicFrame macro="">
      <xdr:nvGraphicFramePr>
        <xdr:cNvPr id="3" name="Chart 2">
          <a:extLst>
            <a:ext uri="{FF2B5EF4-FFF2-40B4-BE49-F238E27FC236}">
              <a16:creationId xmlns:a16="http://schemas.microsoft.com/office/drawing/2014/main" id="{D82A9D59-25FE-02F6-315D-935D39D08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396240</xdr:colOff>
      <xdr:row>15</xdr:row>
      <xdr:rowOff>53340</xdr:rowOff>
    </xdr:from>
    <xdr:to>
      <xdr:col>6</xdr:col>
      <xdr:colOff>579120</xdr:colOff>
      <xdr:row>34</xdr:row>
      <xdr:rowOff>15240</xdr:rowOff>
    </xdr:to>
    <xdr:sp macro="" textlink="">
      <xdr:nvSpPr>
        <xdr:cNvPr id="66" name="Rectangle 65">
          <a:extLst>
            <a:ext uri="{FF2B5EF4-FFF2-40B4-BE49-F238E27FC236}">
              <a16:creationId xmlns:a16="http://schemas.microsoft.com/office/drawing/2014/main" id="{B4F02BD6-C336-1878-631E-D38C82E044AF}"/>
            </a:ext>
          </a:extLst>
        </xdr:cNvPr>
        <xdr:cNvSpPr/>
      </xdr:nvSpPr>
      <xdr:spPr>
        <a:xfrm>
          <a:off x="1889760" y="3162300"/>
          <a:ext cx="3703320" cy="3436620"/>
        </a:xfrm>
        <a:prstGeom prst="rect">
          <a:avLst/>
        </a:prstGeom>
        <a:solidFill>
          <a:schemeClr val="bg1"/>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99060</xdr:colOff>
      <xdr:row>1</xdr:row>
      <xdr:rowOff>83820</xdr:rowOff>
    </xdr:from>
    <xdr:to>
      <xdr:col>10</xdr:col>
      <xdr:colOff>68580</xdr:colOff>
      <xdr:row>13</xdr:row>
      <xdr:rowOff>175260</xdr:rowOff>
    </xdr:to>
    <xdr:graphicFrame macro="">
      <xdr:nvGraphicFramePr>
        <xdr:cNvPr id="61" name="Chart 60">
          <a:extLst>
            <a:ext uri="{FF2B5EF4-FFF2-40B4-BE49-F238E27FC236}">
              <a16:creationId xmlns:a16="http://schemas.microsoft.com/office/drawing/2014/main" id="{0242E38C-740F-4985-AC10-3130879A5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198120</xdr:colOff>
      <xdr:row>2</xdr:row>
      <xdr:rowOff>91440</xdr:rowOff>
    </xdr:from>
    <xdr:to>
      <xdr:col>3</xdr:col>
      <xdr:colOff>190500</xdr:colOff>
      <xdr:row>6</xdr:row>
      <xdr:rowOff>175260</xdr:rowOff>
    </xdr:to>
    <xdr:sp macro="" textlink="PIVOT_Call_Calculation!A4">
      <xdr:nvSpPr>
        <xdr:cNvPr id="2" name="Rectangle 1">
          <a:extLst>
            <a:ext uri="{FF2B5EF4-FFF2-40B4-BE49-F238E27FC236}">
              <a16:creationId xmlns:a16="http://schemas.microsoft.com/office/drawing/2014/main" id="{B96DE99B-E07B-1E55-6347-7494ED187E18}"/>
            </a:ext>
          </a:extLst>
        </xdr:cNvPr>
        <xdr:cNvSpPr/>
      </xdr:nvSpPr>
      <xdr:spPr>
        <a:xfrm>
          <a:off x="472440" y="822960"/>
          <a:ext cx="1211580" cy="815340"/>
        </a:xfrm>
        <a:prstGeom prst="rect">
          <a:avLst/>
        </a:prstGeom>
        <a:solidFill>
          <a:schemeClr val="accent5"/>
        </a:solidFill>
        <a:ln>
          <a:noFill/>
        </a:ln>
        <a:effectLst>
          <a:outerShdw blurRad="381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514D79-3843-4ABC-B543-6AE49D3A8E74}" type="TxLink">
            <a:rPr lang="en-US" sz="1400" b="1" i="0" u="none" strike="noStrike">
              <a:gradFill>
                <a:gsLst>
                  <a:gs pos="72000">
                    <a:schemeClr val="accent1">
                      <a:lumMod val="5000"/>
                      <a:lumOff val="95000"/>
                    </a:schemeClr>
                  </a:gs>
                  <a:gs pos="74000">
                    <a:schemeClr val="accent1">
                      <a:lumMod val="45000"/>
                      <a:lumOff val="55000"/>
                    </a:schemeClr>
                  </a:gs>
                  <a:gs pos="34000">
                    <a:schemeClr val="accent1">
                      <a:lumMod val="45000"/>
                      <a:lumOff val="55000"/>
                    </a:schemeClr>
                  </a:gs>
                  <a:gs pos="100000">
                    <a:schemeClr val="accent1">
                      <a:lumMod val="30000"/>
                      <a:lumOff val="70000"/>
                    </a:schemeClr>
                  </a:gs>
                </a:gsLst>
                <a:lin ang="5400000" scaled="1"/>
              </a:gradFill>
              <a:latin typeface="Segoe UI Symbol" panose="020B0502040204020203" pitchFamily="34" charset="0"/>
              <a:ea typeface="Segoe UI Symbol" panose="020B0502040204020203" pitchFamily="34" charset="0"/>
              <a:cs typeface="Calibri"/>
            </a:rPr>
            <a:pPr algn="ctr"/>
            <a:t>1,000</a:t>
          </a:fld>
          <a:endParaRPr lang="en-IN" sz="1400" b="1">
            <a:gradFill>
              <a:gsLst>
                <a:gs pos="72000">
                  <a:schemeClr val="accent1">
                    <a:lumMod val="5000"/>
                    <a:lumOff val="95000"/>
                  </a:schemeClr>
                </a:gs>
                <a:gs pos="74000">
                  <a:schemeClr val="accent1">
                    <a:lumMod val="45000"/>
                    <a:lumOff val="55000"/>
                  </a:schemeClr>
                </a:gs>
                <a:gs pos="34000">
                  <a:schemeClr val="accent1">
                    <a:lumMod val="45000"/>
                    <a:lumOff val="55000"/>
                  </a:schemeClr>
                </a:gs>
                <a:gs pos="100000">
                  <a:schemeClr val="accent1">
                    <a:lumMod val="30000"/>
                    <a:lumOff val="70000"/>
                  </a:schemeClr>
                </a:gs>
              </a:gsLst>
              <a:lin ang="5400000" scaled="1"/>
            </a:gradFill>
            <a:latin typeface="Segoe UI Symbol" panose="020B0502040204020203" pitchFamily="34" charset="0"/>
            <a:ea typeface="Segoe UI Symbol" panose="020B0502040204020203" pitchFamily="34" charset="0"/>
          </a:endParaRPr>
        </a:p>
      </xdr:txBody>
    </xdr:sp>
    <xdr:clientData/>
  </xdr:twoCellAnchor>
  <xdr:oneCellAnchor>
    <xdr:from>
      <xdr:col>1</xdr:col>
      <xdr:colOff>274320</xdr:colOff>
      <xdr:row>2</xdr:row>
      <xdr:rowOff>121920</xdr:rowOff>
    </xdr:from>
    <xdr:ext cx="1082040" cy="236220"/>
    <xdr:sp macro="" textlink="">
      <xdr:nvSpPr>
        <xdr:cNvPr id="8" name="TextBox 7">
          <a:extLst>
            <a:ext uri="{FF2B5EF4-FFF2-40B4-BE49-F238E27FC236}">
              <a16:creationId xmlns:a16="http://schemas.microsoft.com/office/drawing/2014/main" id="{E72421FF-0FD0-D498-A90D-E936335A88C6}"/>
            </a:ext>
          </a:extLst>
        </xdr:cNvPr>
        <xdr:cNvSpPr txBox="1"/>
      </xdr:nvSpPr>
      <xdr:spPr>
        <a:xfrm>
          <a:off x="548640" y="853440"/>
          <a:ext cx="108204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bg1"/>
              </a:solidFill>
            </a:rPr>
            <a:t>CALLS</a:t>
          </a:r>
        </a:p>
      </xdr:txBody>
    </xdr:sp>
    <xdr:clientData/>
  </xdr:oneCellAnchor>
  <xdr:twoCellAnchor editAs="oneCell">
    <xdr:from>
      <xdr:col>1</xdr:col>
      <xdr:colOff>330310</xdr:colOff>
      <xdr:row>2</xdr:row>
      <xdr:rowOff>159961</xdr:rowOff>
    </xdr:from>
    <xdr:to>
      <xdr:col>1</xdr:col>
      <xdr:colOff>520988</xdr:colOff>
      <xdr:row>3</xdr:row>
      <xdr:rowOff>163133</xdr:rowOff>
    </xdr:to>
    <xdr:pic>
      <xdr:nvPicPr>
        <xdr:cNvPr id="10" name="Graphic 9" descr="Receiver with solid fill">
          <a:extLst>
            <a:ext uri="{FF2B5EF4-FFF2-40B4-BE49-F238E27FC236}">
              <a16:creationId xmlns:a16="http://schemas.microsoft.com/office/drawing/2014/main" id="{AAF4DD0C-1A2A-4F9A-A7FE-ECFD913ABD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69921">
          <a:off x="604630" y="891481"/>
          <a:ext cx="190678" cy="186052"/>
        </a:xfrm>
        <a:prstGeom prst="rect">
          <a:avLst/>
        </a:prstGeom>
        <a:effectLst>
          <a:outerShdw blurRad="50800" dist="38100" dir="2700000" algn="tl" rotWithShape="0">
            <a:prstClr val="black">
              <a:alpha val="40000"/>
            </a:prstClr>
          </a:outerShdw>
        </a:effectLst>
      </xdr:spPr>
    </xdr:pic>
    <xdr:clientData/>
  </xdr:twoCellAnchor>
  <xdr:oneCellAnchor>
    <xdr:from>
      <xdr:col>1</xdr:col>
      <xdr:colOff>441960</xdr:colOff>
      <xdr:row>5</xdr:row>
      <xdr:rowOff>114300</xdr:rowOff>
    </xdr:from>
    <xdr:ext cx="800100" cy="198120"/>
    <xdr:sp macro="" textlink="PIVOT_Call_Calculation!A13">
      <xdr:nvSpPr>
        <xdr:cNvPr id="12" name="TextBox 11">
          <a:extLst>
            <a:ext uri="{FF2B5EF4-FFF2-40B4-BE49-F238E27FC236}">
              <a16:creationId xmlns:a16="http://schemas.microsoft.com/office/drawing/2014/main" id="{7CE973E0-AF20-A325-E411-D2EAA037FC33}"/>
            </a:ext>
          </a:extLst>
        </xdr:cNvPr>
        <xdr:cNvSpPr txBox="1"/>
      </xdr:nvSpPr>
      <xdr:spPr>
        <a:xfrm>
          <a:off x="716280" y="1394460"/>
          <a:ext cx="800100"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FFA2E7D-4F6C-4FAD-8431-83E3822097AA}" type="TxLink">
            <a:rPr lang="en-US" sz="1200" b="1" i="0" u="none" strike="noStrike">
              <a:solidFill>
                <a:schemeClr val="bg1">
                  <a:lumMod val="95000"/>
                </a:schemeClr>
              </a:solidFill>
              <a:latin typeface="Calibri"/>
              <a:ea typeface="Calibri"/>
              <a:cs typeface="Calibri"/>
            </a:rPr>
            <a:pPr algn="ctr"/>
            <a:t>186</a:t>
          </a:fld>
          <a:endParaRPr lang="en-IN" sz="1200" b="1">
            <a:solidFill>
              <a:schemeClr val="bg1">
                <a:lumMod val="95000"/>
              </a:schemeClr>
            </a:solidFill>
          </a:endParaRPr>
        </a:p>
      </xdr:txBody>
    </xdr:sp>
    <xdr:clientData/>
  </xdr:oneCellAnchor>
  <xdr:twoCellAnchor>
    <xdr:from>
      <xdr:col>1</xdr:col>
      <xdr:colOff>198120</xdr:colOff>
      <xdr:row>9</xdr:row>
      <xdr:rowOff>0</xdr:rowOff>
    </xdr:from>
    <xdr:to>
      <xdr:col>3</xdr:col>
      <xdr:colOff>190500</xdr:colOff>
      <xdr:row>13</xdr:row>
      <xdr:rowOff>83820</xdr:rowOff>
    </xdr:to>
    <xdr:sp macro="" textlink="PIVOT_Call_Calculation!B4">
      <xdr:nvSpPr>
        <xdr:cNvPr id="39" name="Rectangle 38">
          <a:extLst>
            <a:ext uri="{FF2B5EF4-FFF2-40B4-BE49-F238E27FC236}">
              <a16:creationId xmlns:a16="http://schemas.microsoft.com/office/drawing/2014/main" id="{5934B24E-721F-4C24-B49E-A03725F4F9E4}"/>
            </a:ext>
          </a:extLst>
        </xdr:cNvPr>
        <xdr:cNvSpPr/>
      </xdr:nvSpPr>
      <xdr:spPr>
        <a:xfrm>
          <a:off x="472440" y="2011680"/>
          <a:ext cx="1211580" cy="815340"/>
        </a:xfrm>
        <a:prstGeom prst="rect">
          <a:avLst/>
        </a:prstGeom>
        <a:solidFill>
          <a:schemeClr val="accent5"/>
        </a:solidFill>
        <a:ln>
          <a:noFill/>
        </a:ln>
        <a:effectLst>
          <a:outerShdw blurRad="381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F7D379-6628-4018-B47A-9E5DB4ED72E1}" type="TxLink">
            <a:rPr lang="en-US" sz="1400" b="1" i="0" u="none" strike="noStrike">
              <a:blipFill>
                <a:blip xmlns:r="http://schemas.openxmlformats.org/officeDocument/2006/relationships" r:embed="rId4"/>
                <a:tile tx="0" ty="0" sx="100000" sy="100000" flip="none" algn="tl"/>
              </a:blipFill>
              <a:latin typeface="Calibri"/>
              <a:ea typeface="Calibri"/>
              <a:cs typeface="Calibri"/>
            </a:rPr>
            <a:pPr algn="ctr"/>
            <a:t>$96,623</a:t>
          </a:fld>
          <a:endParaRPr lang="en-US" sz="1400" b="1" i="0" u="none" strike="noStrike">
            <a:blipFill>
              <a:blip xmlns:r="http://schemas.openxmlformats.org/officeDocument/2006/relationships" r:embed="rId4"/>
              <a:tile tx="0" ty="0" sx="100000" sy="100000" flip="none" algn="tl"/>
            </a:blipFill>
            <a:latin typeface="Segoe UI Symbol" panose="020B0502040204020203" pitchFamily="34" charset="0"/>
            <a:ea typeface="Segoe UI Symbol" panose="020B0502040204020203" pitchFamily="34" charset="0"/>
            <a:cs typeface="Calibri"/>
          </a:endParaRPr>
        </a:p>
      </xdr:txBody>
    </xdr:sp>
    <xdr:clientData/>
  </xdr:twoCellAnchor>
  <xdr:oneCellAnchor>
    <xdr:from>
      <xdr:col>1</xdr:col>
      <xdr:colOff>274320</xdr:colOff>
      <xdr:row>9</xdr:row>
      <xdr:rowOff>30480</xdr:rowOff>
    </xdr:from>
    <xdr:ext cx="1082040" cy="236220"/>
    <xdr:sp macro="" textlink="">
      <xdr:nvSpPr>
        <xdr:cNvPr id="40" name="TextBox 39">
          <a:extLst>
            <a:ext uri="{FF2B5EF4-FFF2-40B4-BE49-F238E27FC236}">
              <a16:creationId xmlns:a16="http://schemas.microsoft.com/office/drawing/2014/main" id="{138154E9-E490-48CE-9A0D-C947FE595E7D}"/>
            </a:ext>
          </a:extLst>
        </xdr:cNvPr>
        <xdr:cNvSpPr txBox="1"/>
      </xdr:nvSpPr>
      <xdr:spPr>
        <a:xfrm>
          <a:off x="548640" y="2042160"/>
          <a:ext cx="108204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bg1"/>
              </a:solidFill>
              <a:latin typeface="+mn-lt"/>
              <a:ea typeface="+mn-ea"/>
              <a:cs typeface="+mn-cs"/>
            </a:rPr>
            <a:t>Amount</a:t>
          </a:r>
        </a:p>
      </xdr:txBody>
    </xdr:sp>
    <xdr:clientData/>
  </xdr:oneCellAnchor>
  <xdr:oneCellAnchor>
    <xdr:from>
      <xdr:col>1</xdr:col>
      <xdr:colOff>419100</xdr:colOff>
      <xdr:row>12</xdr:row>
      <xdr:rowOff>22860</xdr:rowOff>
    </xdr:from>
    <xdr:ext cx="800100" cy="198120"/>
    <xdr:sp macro="" textlink="PIVOT_Call_Calculation!B13">
      <xdr:nvSpPr>
        <xdr:cNvPr id="42" name="TextBox 41">
          <a:extLst>
            <a:ext uri="{FF2B5EF4-FFF2-40B4-BE49-F238E27FC236}">
              <a16:creationId xmlns:a16="http://schemas.microsoft.com/office/drawing/2014/main" id="{0E04BC39-294F-47B0-AD7E-2865A94E52CF}"/>
            </a:ext>
          </a:extLst>
        </xdr:cNvPr>
        <xdr:cNvSpPr txBox="1"/>
      </xdr:nvSpPr>
      <xdr:spPr>
        <a:xfrm>
          <a:off x="693420" y="2583180"/>
          <a:ext cx="800100"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B496B99-B4B2-4031-987A-479E7B15BBFB}" type="TxLink">
            <a:rPr lang="en-US" sz="1200" b="1" i="0" u="none" strike="noStrike">
              <a:solidFill>
                <a:schemeClr val="bg1">
                  <a:lumMod val="95000"/>
                </a:schemeClr>
              </a:solidFill>
              <a:latin typeface="Calibri"/>
              <a:ea typeface="Calibri"/>
              <a:cs typeface="Calibri"/>
            </a:rPr>
            <a:pPr marL="0" indent="0" algn="ctr"/>
            <a:t>$16,651</a:t>
          </a:fld>
          <a:endParaRPr lang="en-IN" sz="1200" b="1" i="0" u="none" strike="noStrike">
            <a:solidFill>
              <a:schemeClr val="bg1">
                <a:lumMod val="95000"/>
              </a:schemeClr>
            </a:solidFill>
            <a:latin typeface="Calibri"/>
            <a:ea typeface="Calibri"/>
            <a:cs typeface="Calibri"/>
          </a:endParaRPr>
        </a:p>
      </xdr:txBody>
    </xdr:sp>
    <xdr:clientData/>
  </xdr:oneCellAnchor>
  <xdr:twoCellAnchor>
    <xdr:from>
      <xdr:col>1</xdr:col>
      <xdr:colOff>205740</xdr:colOff>
      <xdr:row>15</xdr:row>
      <xdr:rowOff>38100</xdr:rowOff>
    </xdr:from>
    <xdr:to>
      <xdr:col>3</xdr:col>
      <xdr:colOff>198120</xdr:colOff>
      <xdr:row>19</xdr:row>
      <xdr:rowOff>121920</xdr:rowOff>
    </xdr:to>
    <xdr:sp macro="" textlink="PIVOT_Call_Calculation!C4">
      <xdr:nvSpPr>
        <xdr:cNvPr id="43" name="Rectangle 42">
          <a:extLst>
            <a:ext uri="{FF2B5EF4-FFF2-40B4-BE49-F238E27FC236}">
              <a16:creationId xmlns:a16="http://schemas.microsoft.com/office/drawing/2014/main" id="{1453275B-35A0-48F2-8DC1-135107A23BB7}"/>
            </a:ext>
          </a:extLst>
        </xdr:cNvPr>
        <xdr:cNvSpPr/>
      </xdr:nvSpPr>
      <xdr:spPr>
        <a:xfrm>
          <a:off x="480060" y="3147060"/>
          <a:ext cx="1211580" cy="815340"/>
        </a:xfrm>
        <a:prstGeom prst="rect">
          <a:avLst/>
        </a:prstGeom>
        <a:solidFill>
          <a:schemeClr val="accent5"/>
        </a:solidFill>
        <a:ln>
          <a:noFill/>
        </a:ln>
        <a:effectLst>
          <a:outerShdw blurRad="381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8F7E46-B187-4A29-9B91-06F664D076B9}" type="TxLink">
            <a:rPr lang="en-US" sz="1400" b="1" i="0" u="none" strike="noStrike">
              <a:gradFill>
                <a:gsLst>
                  <a:gs pos="72000">
                    <a:schemeClr val="accent1">
                      <a:lumMod val="5000"/>
                      <a:lumOff val="95000"/>
                    </a:schemeClr>
                  </a:gs>
                  <a:gs pos="74000">
                    <a:schemeClr val="accent1">
                      <a:lumMod val="45000"/>
                      <a:lumOff val="55000"/>
                    </a:schemeClr>
                  </a:gs>
                  <a:gs pos="34000">
                    <a:schemeClr val="accent1">
                      <a:lumMod val="45000"/>
                      <a:lumOff val="55000"/>
                    </a:schemeClr>
                  </a:gs>
                  <a:gs pos="100000">
                    <a:schemeClr val="accent1">
                      <a:lumMod val="30000"/>
                      <a:lumOff val="70000"/>
                    </a:schemeClr>
                  </a:gs>
                </a:gsLst>
                <a:lin ang="5400000" scaled="1"/>
              </a:gradFill>
              <a:latin typeface="Calibri"/>
              <a:ea typeface="Calibri"/>
              <a:cs typeface="Calibri"/>
            </a:rPr>
            <a:pPr algn="ctr"/>
            <a:t>89,850</a:t>
          </a:fld>
          <a:endParaRPr lang="en-IN" sz="1400" b="1">
            <a:gradFill>
              <a:gsLst>
                <a:gs pos="72000">
                  <a:schemeClr val="accent1">
                    <a:lumMod val="5000"/>
                    <a:lumOff val="95000"/>
                  </a:schemeClr>
                </a:gs>
                <a:gs pos="74000">
                  <a:schemeClr val="accent1">
                    <a:lumMod val="45000"/>
                    <a:lumOff val="55000"/>
                  </a:schemeClr>
                </a:gs>
                <a:gs pos="34000">
                  <a:schemeClr val="accent1">
                    <a:lumMod val="45000"/>
                    <a:lumOff val="55000"/>
                  </a:schemeClr>
                </a:gs>
                <a:gs pos="100000">
                  <a:schemeClr val="accent1">
                    <a:lumMod val="30000"/>
                    <a:lumOff val="70000"/>
                  </a:schemeClr>
                </a:gs>
              </a:gsLst>
              <a:lin ang="5400000" scaled="1"/>
            </a:gradFill>
            <a:latin typeface="Segoe UI Symbol" panose="020B0502040204020203" pitchFamily="34" charset="0"/>
            <a:ea typeface="Segoe UI Symbol" panose="020B0502040204020203" pitchFamily="34" charset="0"/>
          </a:endParaRPr>
        </a:p>
      </xdr:txBody>
    </xdr:sp>
    <xdr:clientData/>
  </xdr:twoCellAnchor>
  <xdr:oneCellAnchor>
    <xdr:from>
      <xdr:col>1</xdr:col>
      <xdr:colOff>281940</xdr:colOff>
      <xdr:row>15</xdr:row>
      <xdr:rowOff>68580</xdr:rowOff>
    </xdr:from>
    <xdr:ext cx="1082040" cy="236220"/>
    <xdr:sp macro="" textlink="">
      <xdr:nvSpPr>
        <xdr:cNvPr id="44" name="TextBox 43">
          <a:extLst>
            <a:ext uri="{FF2B5EF4-FFF2-40B4-BE49-F238E27FC236}">
              <a16:creationId xmlns:a16="http://schemas.microsoft.com/office/drawing/2014/main" id="{989BE643-23D4-4999-8502-1025A330EA5C}"/>
            </a:ext>
          </a:extLst>
        </xdr:cNvPr>
        <xdr:cNvSpPr txBox="1"/>
      </xdr:nvSpPr>
      <xdr:spPr>
        <a:xfrm>
          <a:off x="556260" y="3177540"/>
          <a:ext cx="108204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bg1"/>
              </a:solidFill>
              <a:latin typeface="+mn-lt"/>
              <a:ea typeface="+mn-ea"/>
              <a:cs typeface="+mn-cs"/>
            </a:rPr>
            <a:t>Durations</a:t>
          </a:r>
        </a:p>
      </xdr:txBody>
    </xdr:sp>
    <xdr:clientData/>
  </xdr:oneCellAnchor>
  <xdr:oneCellAnchor>
    <xdr:from>
      <xdr:col>1</xdr:col>
      <xdr:colOff>403860</xdr:colOff>
      <xdr:row>18</xdr:row>
      <xdr:rowOff>60960</xdr:rowOff>
    </xdr:from>
    <xdr:ext cx="800100" cy="198120"/>
    <xdr:sp macro="" textlink="PIVOT_Call_Calculation!C13">
      <xdr:nvSpPr>
        <xdr:cNvPr id="46" name="TextBox 45">
          <a:extLst>
            <a:ext uri="{FF2B5EF4-FFF2-40B4-BE49-F238E27FC236}">
              <a16:creationId xmlns:a16="http://schemas.microsoft.com/office/drawing/2014/main" id="{830C9C92-2D74-4730-8992-BCAEAD64983E}"/>
            </a:ext>
          </a:extLst>
        </xdr:cNvPr>
        <xdr:cNvSpPr txBox="1"/>
      </xdr:nvSpPr>
      <xdr:spPr>
        <a:xfrm>
          <a:off x="678180" y="3718560"/>
          <a:ext cx="800100"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A6627D8-099B-48D4-B7D0-EE096DD4E346}" type="TxLink">
            <a:rPr lang="en-US" sz="1200" b="1" i="0" u="none" strike="noStrike">
              <a:solidFill>
                <a:schemeClr val="bg1">
                  <a:lumMod val="95000"/>
                </a:schemeClr>
              </a:solidFill>
              <a:latin typeface="Calibri"/>
              <a:ea typeface="Calibri"/>
              <a:cs typeface="Calibri"/>
            </a:rPr>
            <a:pPr marL="0" indent="0" algn="ctr"/>
            <a:t>17,807</a:t>
          </a:fld>
          <a:endParaRPr lang="en-IN" sz="1200" b="1" i="0" u="none" strike="noStrike">
            <a:solidFill>
              <a:schemeClr val="bg1">
                <a:lumMod val="95000"/>
              </a:schemeClr>
            </a:solidFill>
            <a:latin typeface="Calibri"/>
            <a:ea typeface="Calibri"/>
            <a:cs typeface="Calibri"/>
          </a:endParaRPr>
        </a:p>
      </xdr:txBody>
    </xdr:sp>
    <xdr:clientData/>
  </xdr:oneCellAnchor>
  <xdr:twoCellAnchor>
    <xdr:from>
      <xdr:col>1</xdr:col>
      <xdr:colOff>175260</xdr:colOff>
      <xdr:row>21</xdr:row>
      <xdr:rowOff>175260</xdr:rowOff>
    </xdr:from>
    <xdr:to>
      <xdr:col>3</xdr:col>
      <xdr:colOff>167640</xdr:colOff>
      <xdr:row>26</xdr:row>
      <xdr:rowOff>76200</xdr:rowOff>
    </xdr:to>
    <xdr:sp macro="" textlink="PIVOT_Call_Calculation!D4">
      <xdr:nvSpPr>
        <xdr:cNvPr id="47" name="Rectangle 46">
          <a:extLst>
            <a:ext uri="{FF2B5EF4-FFF2-40B4-BE49-F238E27FC236}">
              <a16:creationId xmlns:a16="http://schemas.microsoft.com/office/drawing/2014/main" id="{198345A5-964F-4F6F-9869-23F2CDAB2B5C}"/>
            </a:ext>
          </a:extLst>
        </xdr:cNvPr>
        <xdr:cNvSpPr/>
      </xdr:nvSpPr>
      <xdr:spPr>
        <a:xfrm>
          <a:off x="449580" y="4381500"/>
          <a:ext cx="1211580" cy="815340"/>
        </a:xfrm>
        <a:prstGeom prst="rect">
          <a:avLst/>
        </a:prstGeom>
        <a:solidFill>
          <a:schemeClr val="accent5"/>
        </a:solidFill>
        <a:ln>
          <a:noFill/>
        </a:ln>
        <a:effectLst>
          <a:outerShdw blurRad="381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0C33B3-FEB3-49AF-B197-8EFF55D3E58E}" type="TxLink">
            <a:rPr lang="en-US" sz="1400" b="0" i="0" u="none" strike="noStrike">
              <a:gradFill>
                <a:gsLst>
                  <a:gs pos="72000">
                    <a:schemeClr val="accent1">
                      <a:lumMod val="5000"/>
                      <a:lumOff val="95000"/>
                    </a:schemeClr>
                  </a:gs>
                  <a:gs pos="74000">
                    <a:schemeClr val="accent1">
                      <a:lumMod val="45000"/>
                      <a:lumOff val="55000"/>
                    </a:schemeClr>
                  </a:gs>
                  <a:gs pos="34000">
                    <a:schemeClr val="accent1">
                      <a:lumMod val="45000"/>
                      <a:lumOff val="55000"/>
                    </a:schemeClr>
                  </a:gs>
                  <a:gs pos="100000">
                    <a:schemeClr val="accent1">
                      <a:lumMod val="30000"/>
                      <a:lumOff val="70000"/>
                    </a:schemeClr>
                  </a:gs>
                </a:gsLst>
                <a:lin ang="5400000" scaled="1"/>
              </a:gradFill>
              <a:latin typeface="Calibri"/>
              <a:ea typeface="Calibri"/>
              <a:cs typeface="Calibri"/>
            </a:rPr>
            <a:pPr algn="ctr"/>
            <a:t>3.9</a:t>
          </a:fld>
          <a:endParaRPr lang="en-IN" sz="1400" b="1">
            <a:gradFill>
              <a:gsLst>
                <a:gs pos="72000">
                  <a:schemeClr val="accent1">
                    <a:lumMod val="5000"/>
                    <a:lumOff val="95000"/>
                  </a:schemeClr>
                </a:gs>
                <a:gs pos="74000">
                  <a:schemeClr val="accent1">
                    <a:lumMod val="45000"/>
                    <a:lumOff val="55000"/>
                  </a:schemeClr>
                </a:gs>
                <a:gs pos="34000">
                  <a:schemeClr val="accent1">
                    <a:lumMod val="45000"/>
                    <a:lumOff val="55000"/>
                  </a:schemeClr>
                </a:gs>
                <a:gs pos="100000">
                  <a:schemeClr val="accent1">
                    <a:lumMod val="30000"/>
                    <a:lumOff val="70000"/>
                  </a:schemeClr>
                </a:gs>
              </a:gsLst>
              <a:lin ang="5400000" scaled="1"/>
            </a:gradFill>
            <a:latin typeface="Segoe UI Symbol" panose="020B0502040204020203" pitchFamily="34" charset="0"/>
            <a:ea typeface="Segoe UI Symbol" panose="020B0502040204020203" pitchFamily="34" charset="0"/>
          </a:endParaRPr>
        </a:p>
      </xdr:txBody>
    </xdr:sp>
    <xdr:clientData/>
  </xdr:twoCellAnchor>
  <xdr:oneCellAnchor>
    <xdr:from>
      <xdr:col>1</xdr:col>
      <xdr:colOff>251460</xdr:colOff>
      <xdr:row>22</xdr:row>
      <xdr:rowOff>22860</xdr:rowOff>
    </xdr:from>
    <xdr:ext cx="1082040" cy="236220"/>
    <xdr:sp macro="" textlink="">
      <xdr:nvSpPr>
        <xdr:cNvPr id="48" name="TextBox 47">
          <a:extLst>
            <a:ext uri="{FF2B5EF4-FFF2-40B4-BE49-F238E27FC236}">
              <a16:creationId xmlns:a16="http://schemas.microsoft.com/office/drawing/2014/main" id="{22716813-86B7-4D48-AEFD-61D97F8F7E8C}"/>
            </a:ext>
          </a:extLst>
        </xdr:cNvPr>
        <xdr:cNvSpPr txBox="1"/>
      </xdr:nvSpPr>
      <xdr:spPr>
        <a:xfrm>
          <a:off x="525780" y="4411980"/>
          <a:ext cx="108204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bg1"/>
              </a:solidFill>
            </a:rPr>
            <a:t>     AVG.</a:t>
          </a:r>
          <a:r>
            <a:rPr lang="en-IN" sz="1100" b="1" baseline="0">
              <a:solidFill>
                <a:schemeClr val="bg1"/>
              </a:solidFill>
            </a:rPr>
            <a:t> Rating</a:t>
          </a:r>
          <a:endParaRPr lang="en-IN" sz="1100" b="1">
            <a:solidFill>
              <a:schemeClr val="bg1"/>
            </a:solidFill>
          </a:endParaRPr>
        </a:p>
      </xdr:txBody>
    </xdr:sp>
    <xdr:clientData/>
  </xdr:oneCellAnchor>
  <xdr:oneCellAnchor>
    <xdr:from>
      <xdr:col>1</xdr:col>
      <xdr:colOff>388620</xdr:colOff>
      <xdr:row>25</xdr:row>
      <xdr:rowOff>15240</xdr:rowOff>
    </xdr:from>
    <xdr:ext cx="800100" cy="198120"/>
    <xdr:sp macro="" textlink="PIVOT_Call_Calculation!D13">
      <xdr:nvSpPr>
        <xdr:cNvPr id="50" name="TextBox 49">
          <a:extLst>
            <a:ext uri="{FF2B5EF4-FFF2-40B4-BE49-F238E27FC236}">
              <a16:creationId xmlns:a16="http://schemas.microsoft.com/office/drawing/2014/main" id="{B17652EB-D3D9-41CC-A8E1-1B17971F5F37}"/>
            </a:ext>
          </a:extLst>
        </xdr:cNvPr>
        <xdr:cNvSpPr txBox="1"/>
      </xdr:nvSpPr>
      <xdr:spPr>
        <a:xfrm>
          <a:off x="662940" y="4953000"/>
          <a:ext cx="800100"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CADABE9D-31F4-49AA-A3DC-F0F6B67E7C0D}" type="TxLink">
            <a:rPr lang="en-US" sz="1200" b="1" i="0" u="none" strike="noStrike">
              <a:solidFill>
                <a:schemeClr val="bg1">
                  <a:lumMod val="95000"/>
                </a:schemeClr>
              </a:solidFill>
              <a:latin typeface="Calibri"/>
              <a:ea typeface="Calibri"/>
              <a:cs typeface="Calibri"/>
            </a:rPr>
            <a:pPr marL="0" indent="0" algn="ctr"/>
            <a:t>3.9</a:t>
          </a:fld>
          <a:endParaRPr lang="en-IN" sz="1200" b="1" i="0" u="none" strike="noStrike">
            <a:solidFill>
              <a:schemeClr val="bg1">
                <a:lumMod val="95000"/>
              </a:schemeClr>
            </a:solidFill>
            <a:latin typeface="Calibri"/>
            <a:ea typeface="Calibri"/>
            <a:cs typeface="Calibri"/>
          </a:endParaRPr>
        </a:p>
      </xdr:txBody>
    </xdr:sp>
    <xdr:clientData/>
  </xdr:oneCellAnchor>
  <xdr:twoCellAnchor>
    <xdr:from>
      <xdr:col>1</xdr:col>
      <xdr:colOff>198120</xdr:colOff>
      <xdr:row>28</xdr:row>
      <xdr:rowOff>137160</xdr:rowOff>
    </xdr:from>
    <xdr:to>
      <xdr:col>3</xdr:col>
      <xdr:colOff>190500</xdr:colOff>
      <xdr:row>33</xdr:row>
      <xdr:rowOff>38100</xdr:rowOff>
    </xdr:to>
    <xdr:sp macro="" textlink="PIVOT_Call_Calculation!E4">
      <xdr:nvSpPr>
        <xdr:cNvPr id="51" name="Rectangle 50">
          <a:extLst>
            <a:ext uri="{FF2B5EF4-FFF2-40B4-BE49-F238E27FC236}">
              <a16:creationId xmlns:a16="http://schemas.microsoft.com/office/drawing/2014/main" id="{50E5E660-89C2-4CC7-A89E-A6306E8D81D3}"/>
            </a:ext>
          </a:extLst>
        </xdr:cNvPr>
        <xdr:cNvSpPr/>
      </xdr:nvSpPr>
      <xdr:spPr>
        <a:xfrm>
          <a:off x="472440" y="5623560"/>
          <a:ext cx="1211580" cy="815340"/>
        </a:xfrm>
        <a:prstGeom prst="rect">
          <a:avLst/>
        </a:prstGeom>
        <a:solidFill>
          <a:schemeClr val="accent5"/>
        </a:solidFill>
        <a:ln>
          <a:noFill/>
        </a:ln>
        <a:effectLst>
          <a:outerShdw blurRad="381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D3ABDD-1755-4602-A92F-B38CC4E6A80C}" type="TxLink">
            <a:rPr lang="en-US" sz="1400" b="0" i="0" u="none" strike="noStrike">
              <a:gradFill>
                <a:gsLst>
                  <a:gs pos="72000">
                    <a:schemeClr val="accent1">
                      <a:lumMod val="5000"/>
                      <a:lumOff val="95000"/>
                    </a:schemeClr>
                  </a:gs>
                  <a:gs pos="74000">
                    <a:schemeClr val="accent1">
                      <a:lumMod val="45000"/>
                      <a:lumOff val="55000"/>
                    </a:schemeClr>
                  </a:gs>
                  <a:gs pos="34000">
                    <a:schemeClr val="accent1">
                      <a:lumMod val="45000"/>
                      <a:lumOff val="55000"/>
                    </a:schemeClr>
                  </a:gs>
                  <a:gs pos="100000">
                    <a:schemeClr val="accent1">
                      <a:lumMod val="30000"/>
                      <a:lumOff val="70000"/>
                    </a:schemeClr>
                  </a:gs>
                </a:gsLst>
                <a:lin ang="5400000" scaled="1"/>
              </a:gradFill>
              <a:latin typeface="Calibri"/>
              <a:ea typeface="Calibri"/>
              <a:cs typeface="Calibri"/>
            </a:rPr>
            <a:pPr algn="ctr"/>
            <a:t>307</a:t>
          </a:fld>
          <a:endParaRPr lang="en-IN" sz="1400" b="1">
            <a:gradFill>
              <a:gsLst>
                <a:gs pos="72000">
                  <a:schemeClr val="accent1">
                    <a:lumMod val="5000"/>
                    <a:lumOff val="95000"/>
                  </a:schemeClr>
                </a:gs>
                <a:gs pos="74000">
                  <a:schemeClr val="accent1">
                    <a:lumMod val="45000"/>
                    <a:lumOff val="55000"/>
                  </a:schemeClr>
                </a:gs>
                <a:gs pos="34000">
                  <a:schemeClr val="accent1">
                    <a:lumMod val="45000"/>
                    <a:lumOff val="55000"/>
                  </a:schemeClr>
                </a:gs>
                <a:gs pos="100000">
                  <a:schemeClr val="accent1">
                    <a:lumMod val="30000"/>
                    <a:lumOff val="70000"/>
                  </a:schemeClr>
                </a:gs>
              </a:gsLst>
              <a:lin ang="5400000" scaled="1"/>
            </a:gradFill>
            <a:latin typeface="Segoe UI Symbol" panose="020B0502040204020203" pitchFamily="34" charset="0"/>
            <a:ea typeface="Segoe UI Symbol" panose="020B0502040204020203" pitchFamily="34" charset="0"/>
          </a:endParaRPr>
        </a:p>
      </xdr:txBody>
    </xdr:sp>
    <xdr:clientData/>
  </xdr:twoCellAnchor>
  <xdr:oneCellAnchor>
    <xdr:from>
      <xdr:col>1</xdr:col>
      <xdr:colOff>274320</xdr:colOff>
      <xdr:row>28</xdr:row>
      <xdr:rowOff>167640</xdr:rowOff>
    </xdr:from>
    <xdr:ext cx="1082040" cy="236220"/>
    <xdr:sp macro="" textlink="">
      <xdr:nvSpPr>
        <xdr:cNvPr id="52" name="TextBox 51">
          <a:extLst>
            <a:ext uri="{FF2B5EF4-FFF2-40B4-BE49-F238E27FC236}">
              <a16:creationId xmlns:a16="http://schemas.microsoft.com/office/drawing/2014/main" id="{BFD3704A-5B2D-4D89-BBDF-D262976A9080}"/>
            </a:ext>
          </a:extLst>
        </xdr:cNvPr>
        <xdr:cNvSpPr txBox="1"/>
      </xdr:nvSpPr>
      <xdr:spPr>
        <a:xfrm>
          <a:off x="548640" y="5654040"/>
          <a:ext cx="108204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bg1"/>
              </a:solidFill>
            </a:rPr>
            <a:t>   Happy</a:t>
          </a:r>
          <a:r>
            <a:rPr lang="en-IN" sz="1100" b="1" baseline="0">
              <a:solidFill>
                <a:schemeClr val="bg1"/>
              </a:solidFill>
            </a:rPr>
            <a:t> Callers</a:t>
          </a:r>
          <a:endParaRPr lang="en-IN" sz="1100" b="1">
            <a:solidFill>
              <a:schemeClr val="bg1"/>
            </a:solidFill>
          </a:endParaRPr>
        </a:p>
      </xdr:txBody>
    </xdr:sp>
    <xdr:clientData/>
  </xdr:oneCellAnchor>
  <xdr:oneCellAnchor>
    <xdr:from>
      <xdr:col>1</xdr:col>
      <xdr:colOff>403860</xdr:colOff>
      <xdr:row>31</xdr:row>
      <xdr:rowOff>160020</xdr:rowOff>
    </xdr:from>
    <xdr:ext cx="800100" cy="198120"/>
    <xdr:sp macro="" textlink="PIVOT_Call_Calculation!E13">
      <xdr:nvSpPr>
        <xdr:cNvPr id="54" name="TextBox 53">
          <a:extLst>
            <a:ext uri="{FF2B5EF4-FFF2-40B4-BE49-F238E27FC236}">
              <a16:creationId xmlns:a16="http://schemas.microsoft.com/office/drawing/2014/main" id="{15DA0323-8608-4F43-9F95-C87C1EAD3489}"/>
            </a:ext>
          </a:extLst>
        </xdr:cNvPr>
        <xdr:cNvSpPr txBox="1"/>
      </xdr:nvSpPr>
      <xdr:spPr>
        <a:xfrm>
          <a:off x="678180" y="6195060"/>
          <a:ext cx="800100"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78EEFC0-E624-4CFE-A267-11923298AEC2}" type="TxLink">
            <a:rPr lang="en-US" sz="1200" b="1" i="0" u="none" strike="noStrike">
              <a:solidFill>
                <a:schemeClr val="bg1">
                  <a:lumMod val="95000"/>
                </a:schemeClr>
              </a:solidFill>
              <a:latin typeface="Calibri"/>
              <a:ea typeface="Calibri"/>
              <a:cs typeface="Calibri"/>
            </a:rPr>
            <a:pPr marL="0" indent="0" algn="ctr"/>
            <a:t>62</a:t>
          </a:fld>
          <a:endParaRPr lang="en-IN" sz="1200" b="1" i="0" u="none" strike="noStrike">
            <a:solidFill>
              <a:schemeClr val="bg1">
                <a:lumMod val="95000"/>
              </a:schemeClr>
            </a:solidFill>
            <a:latin typeface="Calibri"/>
            <a:ea typeface="Calibri"/>
            <a:cs typeface="Calibri"/>
          </a:endParaRPr>
        </a:p>
      </xdr:txBody>
    </xdr:sp>
    <xdr:clientData/>
  </xdr:oneCellAnchor>
  <xdr:twoCellAnchor editAs="oneCell">
    <xdr:from>
      <xdr:col>1</xdr:col>
      <xdr:colOff>312420</xdr:colOff>
      <xdr:row>9</xdr:row>
      <xdr:rowOff>68581</xdr:rowOff>
    </xdr:from>
    <xdr:to>
      <xdr:col>1</xdr:col>
      <xdr:colOff>480060</xdr:colOff>
      <xdr:row>10</xdr:row>
      <xdr:rowOff>44346</xdr:rowOff>
    </xdr:to>
    <xdr:pic>
      <xdr:nvPicPr>
        <xdr:cNvPr id="55" name="Graphic 54" descr="Shopping cart with solid fill">
          <a:extLst>
            <a:ext uri="{FF2B5EF4-FFF2-40B4-BE49-F238E27FC236}">
              <a16:creationId xmlns:a16="http://schemas.microsoft.com/office/drawing/2014/main" id="{32B0DDF5-8964-4606-8978-8128E175E9A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6740" y="2080261"/>
          <a:ext cx="167640" cy="158645"/>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274320</xdr:colOff>
      <xdr:row>15</xdr:row>
      <xdr:rowOff>91440</xdr:rowOff>
    </xdr:from>
    <xdr:to>
      <xdr:col>1</xdr:col>
      <xdr:colOff>487680</xdr:colOff>
      <xdr:row>16</xdr:row>
      <xdr:rowOff>118257</xdr:rowOff>
    </xdr:to>
    <xdr:pic>
      <xdr:nvPicPr>
        <xdr:cNvPr id="56" name="Graphic 55" descr="Hourglass Finished with solid fill">
          <a:extLst>
            <a:ext uri="{FF2B5EF4-FFF2-40B4-BE49-F238E27FC236}">
              <a16:creationId xmlns:a16="http://schemas.microsoft.com/office/drawing/2014/main" id="{09651E44-F2BF-4A66-A3D3-931690C371B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8640" y="3200400"/>
          <a:ext cx="213360" cy="209697"/>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236220</xdr:colOff>
      <xdr:row>22</xdr:row>
      <xdr:rowOff>30480</xdr:rowOff>
    </xdr:from>
    <xdr:to>
      <xdr:col>1</xdr:col>
      <xdr:colOff>449558</xdr:colOff>
      <xdr:row>23</xdr:row>
      <xdr:rowOff>53340</xdr:rowOff>
    </xdr:to>
    <xdr:pic>
      <xdr:nvPicPr>
        <xdr:cNvPr id="57" name="Graphic 56" descr="Rating Star with solid fill">
          <a:extLst>
            <a:ext uri="{FF2B5EF4-FFF2-40B4-BE49-F238E27FC236}">
              <a16:creationId xmlns:a16="http://schemas.microsoft.com/office/drawing/2014/main" id="{CE1B7779-7D2F-4AB9-AE4D-C6FCF4FA599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510540" y="4419600"/>
          <a:ext cx="213338" cy="205740"/>
        </a:xfrm>
        <a:prstGeom prst="rect">
          <a:avLst/>
        </a:prstGeom>
        <a:effectLst>
          <a:outerShdw blurRad="50800" dist="38100" dir="2700000" algn="tl" rotWithShape="0">
            <a:prstClr val="black">
              <a:alpha val="40000"/>
            </a:prstClr>
          </a:outerShdw>
        </a:effectLst>
      </xdr:spPr>
    </xdr:pic>
    <xdr:clientData/>
  </xdr:twoCellAnchor>
  <xdr:twoCellAnchor editAs="oneCell">
    <xdr:from>
      <xdr:col>1</xdr:col>
      <xdr:colOff>220979</xdr:colOff>
      <xdr:row>29</xdr:row>
      <xdr:rowOff>2715</xdr:rowOff>
    </xdr:from>
    <xdr:to>
      <xdr:col>1</xdr:col>
      <xdr:colOff>426720</xdr:colOff>
      <xdr:row>30</xdr:row>
      <xdr:rowOff>18217</xdr:rowOff>
    </xdr:to>
    <xdr:pic>
      <xdr:nvPicPr>
        <xdr:cNvPr id="58" name="Graphic 57" descr="Star-struck face outline with solid fill">
          <a:extLst>
            <a:ext uri="{FF2B5EF4-FFF2-40B4-BE49-F238E27FC236}">
              <a16:creationId xmlns:a16="http://schemas.microsoft.com/office/drawing/2014/main" id="{18881323-7D97-404B-B7D9-F94DD5805B8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10800000" flipH="1" flipV="1">
          <a:off x="495299" y="5671995"/>
          <a:ext cx="205741" cy="198382"/>
        </a:xfrm>
        <a:prstGeom prst="rect">
          <a:avLst/>
        </a:prstGeom>
        <a:effectLst>
          <a:outerShdw blurRad="50800" dist="38100" dir="2700000" algn="tl" rotWithShape="0">
            <a:prstClr val="black">
              <a:alpha val="40000"/>
            </a:prstClr>
          </a:outerShdw>
        </a:effectLst>
      </xdr:spPr>
    </xdr:pic>
    <xdr:clientData/>
  </xdr:twoCellAnchor>
  <xdr:twoCellAnchor editAs="oneCell">
    <xdr:from>
      <xdr:col>7</xdr:col>
      <xdr:colOff>114300</xdr:colOff>
      <xdr:row>15</xdr:row>
      <xdr:rowOff>83821</xdr:rowOff>
    </xdr:from>
    <xdr:to>
      <xdr:col>9</xdr:col>
      <xdr:colOff>594360</xdr:colOff>
      <xdr:row>24</xdr:row>
      <xdr:rowOff>152401</xdr:rowOff>
    </xdr:to>
    <mc:AlternateContent xmlns:mc="http://schemas.openxmlformats.org/markup-compatibility/2006" xmlns:a14="http://schemas.microsoft.com/office/drawing/2010/main">
      <mc:Choice Requires="a14">
        <xdr:graphicFrame macro="">
          <xdr:nvGraphicFramePr>
            <xdr:cNvPr id="59" name="Representative 1">
              <a:extLst>
                <a:ext uri="{FF2B5EF4-FFF2-40B4-BE49-F238E27FC236}">
                  <a16:creationId xmlns:a16="http://schemas.microsoft.com/office/drawing/2014/main" id="{A1C40913-3EFF-43B4-BF9C-D693A37B8F10}"/>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5737860" y="2994661"/>
              <a:ext cx="169926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403860</xdr:colOff>
      <xdr:row>1</xdr:row>
      <xdr:rowOff>76200</xdr:rowOff>
    </xdr:from>
    <xdr:to>
      <xdr:col>6</xdr:col>
      <xdr:colOff>579120</xdr:colOff>
      <xdr:row>13</xdr:row>
      <xdr:rowOff>175260</xdr:rowOff>
    </xdr:to>
    <xdr:graphicFrame macro="">
      <xdr:nvGraphicFramePr>
        <xdr:cNvPr id="60" name="Count Line Chart">
          <a:extLst>
            <a:ext uri="{FF2B5EF4-FFF2-40B4-BE49-F238E27FC236}">
              <a16:creationId xmlns:a16="http://schemas.microsoft.com/office/drawing/2014/main" id="{856C6C43-7B39-4620-B325-2D78EED17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2034540</xdr:colOff>
      <xdr:row>15</xdr:row>
      <xdr:rowOff>137160</xdr:rowOff>
    </xdr:from>
    <xdr:to>
      <xdr:col>6</xdr:col>
      <xdr:colOff>541020</xdr:colOff>
      <xdr:row>33</xdr:row>
      <xdr:rowOff>76200</xdr:rowOff>
    </xdr:to>
    <xdr:graphicFrame macro="">
      <xdr:nvGraphicFramePr>
        <xdr:cNvPr id="64" name="Chart 63">
          <a:extLst>
            <a:ext uri="{FF2B5EF4-FFF2-40B4-BE49-F238E27FC236}">
              <a16:creationId xmlns:a16="http://schemas.microsoft.com/office/drawing/2014/main" id="{625284A1-3CC6-46B2-9893-7C2250773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419100</xdr:colOff>
      <xdr:row>15</xdr:row>
      <xdr:rowOff>68580</xdr:rowOff>
    </xdr:from>
    <xdr:to>
      <xdr:col>3</xdr:col>
      <xdr:colOff>2005377</xdr:colOff>
      <xdr:row>32</xdr:row>
      <xdr:rowOff>167640</xdr:rowOff>
    </xdr:to>
    <xdr:graphicFrame macro="">
      <xdr:nvGraphicFramePr>
        <xdr:cNvPr id="65" name="Chart 64">
          <a:extLst>
            <a:ext uri="{FF2B5EF4-FFF2-40B4-BE49-F238E27FC236}">
              <a16:creationId xmlns:a16="http://schemas.microsoft.com/office/drawing/2014/main" id="{F0D7DAAC-0177-46D1-B9E5-8912D007B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152400</xdr:colOff>
      <xdr:row>1</xdr:row>
      <xdr:rowOff>106680</xdr:rowOff>
    </xdr:from>
    <xdr:to>
      <xdr:col>13</xdr:col>
      <xdr:colOff>228600</xdr:colOff>
      <xdr:row>13</xdr:row>
      <xdr:rowOff>175260</xdr:rowOff>
    </xdr:to>
    <xdr:graphicFrame macro="">
      <xdr:nvGraphicFramePr>
        <xdr:cNvPr id="3" name="Chart 2">
          <a:extLst>
            <a:ext uri="{FF2B5EF4-FFF2-40B4-BE49-F238E27FC236}">
              <a16:creationId xmlns:a16="http://schemas.microsoft.com/office/drawing/2014/main" id="{A891BC8C-CBBF-42C5-A729-B0A98BF74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350520</xdr:colOff>
      <xdr:row>1</xdr:row>
      <xdr:rowOff>83820</xdr:rowOff>
    </xdr:from>
    <xdr:to>
      <xdr:col>17</xdr:col>
      <xdr:colOff>0</xdr:colOff>
      <xdr:row>13</xdr:row>
      <xdr:rowOff>167640</xdr:rowOff>
    </xdr:to>
    <xdr:graphicFrame macro="">
      <xdr:nvGraphicFramePr>
        <xdr:cNvPr id="4" name="Chart 3">
          <a:extLst>
            <a:ext uri="{FF2B5EF4-FFF2-40B4-BE49-F238E27FC236}">
              <a16:creationId xmlns:a16="http://schemas.microsoft.com/office/drawing/2014/main" id="{35E2CD60-726A-421C-9F97-387B9D8C4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a Ranganathan Harikrishnan" refreshedDate="45822.934393402778" backgroundQuery="1" createdVersion="8" refreshedVersion="8" minRefreshableVersion="3" recordCount="0" supportSubquery="1" supportAdvancedDrill="1" xr:uid="{4211BD4F-5CBB-4AC9-BC4A-FCB9AEE4AA19}">
  <cacheSource type="external" connectionId="1"/>
  <cacheFields count="3">
    <cacheField name="[Call_Table_Data].[Representative].[Representative]" caption="Representative" numFmtId="0" hierarchy="7" level="1">
      <sharedItems count="5">
        <s v="R01"/>
        <s v="R02"/>
        <s v="R03"/>
        <s v="R04"/>
        <s v="R05"/>
      </sharedItems>
    </cacheField>
    <cacheField name="[Measures].[Total Call Count]" caption="Total Call Count" numFmtId="0" hierarchy="17" level="32767"/>
    <cacheField name="[Measures].[Total Amount]" caption="Total Amount" numFmtId="0" hierarchy="18" level="32767"/>
  </cacheFields>
  <cacheHierarchies count="31">
    <cacheHierarchy uniqueName="[Call_Custs_Data2].[Customer ID]" caption="Customer ID" attribute="1" defaultMemberUniqueName="[Call_Custs_Data2].[Customer ID].[All]" allUniqueName="[Call_Custs_Data2].[Customer ID].[All]" dimensionUniqueName="[Call_Custs_Data2]" displayFolder="" count="0" memberValueDatatype="130" unbalanced="0"/>
    <cacheHierarchy uniqueName="[Call_Custs_Data2].[Gedner]" caption="Gedner" attribute="1" defaultMemberUniqueName="[Call_Custs_Data2].[Gedner].[All]" allUniqueName="[Call_Custs_Data2].[Gedner].[All]" dimensionUniqueName="[Call_Custs_Data2]" displayFolder="" count="0" memberValueDatatype="130" unbalanced="0"/>
    <cacheHierarchy uniqueName="[Call_Custs_Data2].[Age]" caption="Age" attribute="1" defaultMemberUniqueName="[Call_Custs_Data2].[Age].[All]" allUniqueName="[Call_Custs_Data2].[Age].[All]" dimensionUniqueName="[Call_Custs_Data2]" displayFolder="" count="0" memberValueDatatype="20" unbalanced="0"/>
    <cacheHierarchy uniqueName="[Call_Custs_Data2].[City]" caption="City" attribute="1" defaultMemberUniqueName="[Call_Custs_Data2].[City].[All]" allUniqueName="[Call_Custs_Data2].[City].[All]" dimensionUniqueName="[Call_Custs_Data2]" displayFolder="" count="0" memberValueDatatype="130" unbalanced="0"/>
    <cacheHierarchy uniqueName="[Call_Table_Data].[Call number]" caption="Call number" attribute="1" defaultMemberUniqueName="[Call_Table_Data].[Call number].[All]" allUniqueName="[Call_Table_Data].[Call number].[All]" dimensionUniqueName="[Call_Table_Data]" displayFolder="" count="0" memberValueDatatype="130" unbalanced="0"/>
    <cacheHierarchy uniqueName="[Call_Table_Data].[Customer ID]" caption="Customer ID" attribute="1" defaultMemberUniqueName="[Call_Table_Data].[Customer ID].[All]" allUniqueName="[Call_Table_Data].[Customer ID].[All]" dimensionUniqueName="[Call_Table_Data]" displayFolder="" count="0" memberValueDatatype="130" unbalanced="0"/>
    <cacheHierarchy uniqueName="[Call_Table_Data].[Duration]" caption="Duration" attribute="1" defaultMemberUniqueName="[Call_Table_Data].[Duration].[All]" allUniqueName="[Call_Table_Data].[Duration].[All]" dimensionUniqueName="[Call_Table_Data]" displayFolder="" count="0" memberValueDatatype="20" unbalanced="0"/>
    <cacheHierarchy uniqueName="[Call_Table_Data].[Representative]" caption="Representative" attribute="1" defaultMemberUniqueName="[Call_Table_Data].[Representative].[All]" allUniqueName="[Call_Table_Data].[Representative].[All]" dimensionUniqueName="[Call_Table_Data]" displayFolder="" count="2" memberValueDatatype="130" unbalanced="0">
      <fieldsUsage count="2">
        <fieldUsage x="-1"/>
        <fieldUsage x="0"/>
      </fieldsUsage>
    </cacheHierarchy>
    <cacheHierarchy uniqueName="[Call_Table_Data].[Date of Call]" caption="Date of Call" attribute="1" time="1" defaultMemberUniqueName="[Call_Table_Data].[Date of Call].[All]" allUniqueName="[Call_Table_Data].[Date of Call].[All]" dimensionUniqueName="[Call_Table_Data]" displayFolder="" count="0" memberValueDatatype="7" unbalanced="0"/>
    <cacheHierarchy uniqueName="[Call_Table_Data].[Purchase Amount]" caption="Purchase Amount" attribute="1" defaultMemberUniqueName="[Call_Table_Data].[Purchase Amount].[All]" allUniqueName="[Call_Table_Data].[Purchase Amount].[All]" dimensionUniqueName="[Call_Table_Data]" displayFolder="" count="0" memberValueDatatype="20" unbalanced="0"/>
    <cacheHierarchy uniqueName="[Call_Table_Data].[Satisfaction Rating]" caption="Satisfaction Rating" attribute="1" defaultMemberUniqueName="[Call_Table_Data].[Satisfaction Rating].[All]" allUniqueName="[Call_Table_Data].[Satisfaction Rating].[All]" dimensionUniqueName="[Call_Table_Data]" displayFolder="" count="0" memberValueDatatype="5" unbalanced="0"/>
    <cacheHierarchy uniqueName="[Call_Table_Data].[Finacial Year]" caption="Finacial Year" attribute="1" defaultMemberUniqueName="[Call_Table_Data].[Finacial Year].[All]" allUniqueName="[Call_Table_Data].[Finacial Year].[All]" dimensionUniqueName="[Call_Table_Data]" displayFolder="" count="0" memberValueDatatype="20" unbalanced="0"/>
    <cacheHierarchy uniqueName="[Call_Table_Data].[Day of Week]" caption="Day of Week" attribute="1" defaultMemberUniqueName="[Call_Table_Data].[Day of Week].[All]" allUniqueName="[Call_Table_Data].[Day of Week].[All]" dimensionUniqueName="[Call_Table_Data]" displayFolder="" count="0" memberValueDatatype="130" unbalanced="0"/>
    <cacheHierarchy uniqueName="[Call_Table_Data].[Duration Bucket in Hours]" caption="Duration Bucket in Hours" attribute="1" defaultMemberUniqueName="[Call_Table_Data].[Duration Bucket in Hours].[All]" allUniqueName="[Call_Table_Data].[Duration Bucket in Hours].[All]" dimensionUniqueName="[Call_Table_Data]" displayFolder="" count="0" memberValueDatatype="130" unbalanced="0"/>
    <cacheHierarchy uniqueName="[Call_Table_Data].[Rating Rounded]" caption="Rating Rounded" attribute="1" defaultMemberUniqueName="[Call_Table_Data].[Rating Rounded].[All]" allUniqueName="[Call_Table_Data].[Rating Rounded].[All]" dimensionUniqueName="[Call_Table_Data]" displayFolder="" count="0" memberValueDatatype="20" unbalanced="0"/>
    <cacheHierarchy uniqueName="[Call_Table_Data].[Date of Call (Month)]" caption="Date of Call (Month)" attribute="1" defaultMemberUniqueName="[Call_Table_Data].[Date of Call (Month)].[All]" allUniqueName="[Call_Table_Data].[Date of Call (Month)].[All]" dimensionUniqueName="[Call_Table_Data]" displayFolder="" count="0" memberValueDatatype="130" unbalanced="0"/>
    <cacheHierarchy uniqueName="[Call_Table_Data].[Date of Call (Month Index)]" caption="Date of Call (Month Index)" attribute="1" defaultMemberUniqueName="[Call_Table_Data].[Date of Call (Month Index)].[All]" allUniqueName="[Call_Table_Data].[Date of Call (Month Index)].[All]" dimensionUniqueName="[Call_Table_Data]" displayFolder="" count="0" memberValueDatatype="20" unbalanced="0" hidden="1"/>
    <cacheHierarchy uniqueName="[Measures].[Total Call Count]" caption="Total Call Count" measure="1" displayFolder="" measureGroup="Call_Table_Data" count="0" oneField="1">
      <fieldsUsage count="1">
        <fieldUsage x="1"/>
      </fieldsUsage>
    </cacheHierarchy>
    <cacheHierarchy uniqueName="[Measures].[Total Amount]" caption="Total Amount" measure="1" displayFolder="" measureGroup="Call_Table_Data" count="0" oneField="1">
      <fieldsUsage count="1">
        <fieldUsage x="2"/>
      </fieldsUsage>
    </cacheHierarchy>
    <cacheHierarchy uniqueName="[Measures].[Total Duration]" caption="Total Duration" measure="1" displayFolder="" measureGroup="Call_Table_Data" count="0"/>
    <cacheHierarchy uniqueName="[Measures].[Average Rating ]" caption="Average Rating " measure="1" displayFolder="" measureGroup="Call_Table_Data" count="0"/>
    <cacheHierarchy uniqueName="[Measures].[5 Stared* Ratings]" caption="5 Stared* Ratings" measure="1" displayFolder="" measureGroup="Call_Table_Data" count="0"/>
    <cacheHierarchy uniqueName="[Measures].[Toital Caller count]" caption="Toital Caller count" measure="1" displayFolder="" measureGroup="Call_Table_Data" count="0"/>
    <cacheHierarchy uniqueName="[Measures].[__XL_Count Call_Table_Data]" caption="__XL_Count Call_Table_Data" measure="1" displayFolder="" measureGroup="Call_Table_Data" count="0" hidden="1"/>
    <cacheHierarchy uniqueName="[Measures].[__XL_Count Call_Custs_Data2]" caption="__XL_Count Call_Custs_Data2" measure="1" displayFolder="" measureGroup="Call_Custs_Data2" count="0" hidden="1"/>
    <cacheHierarchy uniqueName="[Measures].[__No measures defined]" caption="__No measures defined" measure="1" displayFolder="" count="0" hidden="1"/>
    <cacheHierarchy uniqueName="[Measures].[Sum of Purchase Amount]" caption="Sum of Purchase Amount" measure="1" displayFolder="" measureGroup="Call_Table_Data" count="0" hidden="1">
      <extLst>
        <ext xmlns:x15="http://schemas.microsoft.com/office/spreadsheetml/2010/11/main" uri="{B97F6D7D-B522-45F9-BDA1-12C45D357490}">
          <x15:cacheHierarchy aggregatedColumn="9"/>
        </ext>
      </extLst>
    </cacheHierarchy>
    <cacheHierarchy uniqueName="[Measures].[Count of Gedner]" caption="Count of Gedner" measure="1" displayFolder="" measureGroup="Call_Custs_Data2"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_Table_Data"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Call_Table_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all_Custs_Data2" count="0" hidden="1">
      <extLst>
        <ext xmlns:x15="http://schemas.microsoft.com/office/spreadsheetml/2010/11/main" uri="{B97F6D7D-B522-45F9-BDA1-12C45D357490}">
          <x15:cacheHierarchy aggregatedColumn="3"/>
        </ext>
      </extLst>
    </cacheHierarchy>
  </cacheHierarchies>
  <kpis count="0"/>
  <dimensions count="3">
    <dimension name="Call_Custs_Data2" uniqueName="[Call_Custs_Data2]" caption="Call_Custs_Data2"/>
    <dimension name="Call_Table_Data" uniqueName="[Call_Table_Data]" caption="Call_Table_Data"/>
    <dimension measure="1" name="Measures" uniqueName="[Measures]" caption="Measures"/>
  </dimensions>
  <measureGroups count="2">
    <measureGroup name="Call_Custs_Data2" caption="Call_Custs_Data2"/>
    <measureGroup name="Call_Table_Data" caption="Call_Table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a Ranganathan Harikrishnan" refreshedDate="45824.546782986108" backgroundQuery="1" createdVersion="8" refreshedVersion="8" minRefreshableVersion="3" recordCount="0" supportSubquery="1" supportAdvancedDrill="1" xr:uid="{08879E97-F4C6-44E4-AA9C-F525E3BCB6D2}">
  <cacheSource type="external" connectionId="1"/>
  <cacheFields count="4">
    <cacheField name="[Call_Custs_Data2].[Customer ID].[Customer ID]" caption="Customer ID" numFmtId="0" level="1">
      <sharedItems count="15">
        <s v="C0003"/>
        <s v="C0004"/>
        <s v="C0011"/>
        <s v="C0012"/>
        <s v="C0002"/>
        <s v="C0007"/>
        <s v="C0008"/>
        <s v="C0010"/>
        <s v="C0013"/>
        <s v="C0015"/>
        <s v="C0001"/>
        <s v="C0005"/>
        <s v="C0006"/>
        <s v="C0009"/>
        <s v="C0014"/>
      </sharedItems>
    </cacheField>
    <cacheField name="[Call_Custs_Data2].[City].[City]" caption="City" numFmtId="0" hierarchy="3" level="1">
      <sharedItems count="3">
        <s v="Cincinnati"/>
        <s v="Cleveland"/>
        <s v="Columbus"/>
      </sharedItems>
    </cacheField>
    <cacheField name="[Measures].[Total Amount]" caption="Total Amount" numFmtId="0" hierarchy="18" level="32767"/>
    <cacheField name="[Call_Table_Data].[Representative].[Representative]" caption="Representative" numFmtId="0" hierarchy="7" level="1">
      <sharedItems count="5">
        <s v="R01"/>
        <s v="R02"/>
        <s v="R03"/>
        <s v="R04"/>
        <s v="R05"/>
      </sharedItems>
    </cacheField>
  </cacheFields>
  <cacheHierarchies count="31">
    <cacheHierarchy uniqueName="[Call_Custs_Data2].[Customer ID]" caption="Customer ID" attribute="1" defaultMemberUniqueName="[Call_Custs_Data2].[Customer ID].[All]" allUniqueName="[Call_Custs_Data2].[Customer ID].[All]" dimensionUniqueName="[Call_Custs_Data2]" displayFolder="" count="2" memberValueDatatype="130" unbalanced="0">
      <fieldsUsage count="2">
        <fieldUsage x="-1"/>
        <fieldUsage x="0"/>
      </fieldsUsage>
    </cacheHierarchy>
    <cacheHierarchy uniqueName="[Call_Custs_Data2].[Gedner]" caption="Gedner" attribute="1" defaultMemberUniqueName="[Call_Custs_Data2].[Gedner].[All]" allUniqueName="[Call_Custs_Data2].[Gedner].[All]" dimensionUniqueName="[Call_Custs_Data2]" displayFolder="" count="0" memberValueDatatype="130" unbalanced="0"/>
    <cacheHierarchy uniqueName="[Call_Custs_Data2].[Age]" caption="Age" attribute="1" defaultMemberUniqueName="[Call_Custs_Data2].[Age].[All]" allUniqueName="[Call_Custs_Data2].[Age].[All]" dimensionUniqueName="[Call_Custs_Data2]" displayFolder="" count="0" memberValueDatatype="20" unbalanced="0"/>
    <cacheHierarchy uniqueName="[Call_Custs_Data2].[City]" caption="City" attribute="1" defaultMemberUniqueName="[Call_Custs_Data2].[City].[All]" allUniqueName="[Call_Custs_Data2].[City].[All]" dimensionUniqueName="[Call_Custs_Data2]" displayFolder="" count="2" memberValueDatatype="130" unbalanced="0">
      <fieldsUsage count="2">
        <fieldUsage x="-1"/>
        <fieldUsage x="1"/>
      </fieldsUsage>
    </cacheHierarchy>
    <cacheHierarchy uniqueName="[Call_Table_Data].[Call number]" caption="Call number" attribute="1" defaultMemberUniqueName="[Call_Table_Data].[Call number].[All]" allUniqueName="[Call_Table_Data].[Call number].[All]" dimensionUniqueName="[Call_Table_Data]" displayFolder="" count="0" memberValueDatatype="130" unbalanced="0"/>
    <cacheHierarchy uniqueName="[Call_Table_Data].[Customer ID]" caption="Customer ID" attribute="1" defaultMemberUniqueName="[Call_Table_Data].[Customer ID].[All]" allUniqueName="[Call_Table_Data].[Customer ID].[All]" dimensionUniqueName="[Call_Table_Data]" displayFolder="" count="2" memberValueDatatype="130" unbalanced="0"/>
    <cacheHierarchy uniqueName="[Call_Table_Data].[Duration]" caption="Duration" attribute="1" defaultMemberUniqueName="[Call_Table_Data].[Duration].[All]" allUniqueName="[Call_Table_Data].[Duration].[All]" dimensionUniqueName="[Call_Table_Data]" displayFolder="" count="0" memberValueDatatype="20" unbalanced="0"/>
    <cacheHierarchy uniqueName="[Call_Table_Data].[Representative]" caption="Representative" attribute="1" defaultMemberUniqueName="[Call_Table_Data].[Representative].[All]" allUniqueName="[Call_Table_Data].[Representative].[All]" dimensionUniqueName="[Call_Table_Data]" displayFolder="" count="2" memberValueDatatype="130" unbalanced="0">
      <fieldsUsage count="2">
        <fieldUsage x="-1"/>
        <fieldUsage x="3"/>
      </fieldsUsage>
    </cacheHierarchy>
    <cacheHierarchy uniqueName="[Call_Table_Data].[Date of Call]" caption="Date of Call" attribute="1" time="1" defaultMemberUniqueName="[Call_Table_Data].[Date of Call].[All]" allUniqueName="[Call_Table_Data].[Date of Call].[All]" dimensionUniqueName="[Call_Table_Data]" displayFolder="" count="0" memberValueDatatype="7" unbalanced="0"/>
    <cacheHierarchy uniqueName="[Call_Table_Data].[Purchase Amount]" caption="Purchase Amount" attribute="1" defaultMemberUniqueName="[Call_Table_Data].[Purchase Amount].[All]" allUniqueName="[Call_Table_Data].[Purchase Amount].[All]" dimensionUniqueName="[Call_Table_Data]" displayFolder="" count="0" memberValueDatatype="20" unbalanced="0"/>
    <cacheHierarchy uniqueName="[Call_Table_Data].[Satisfaction Rating]" caption="Satisfaction Rating" attribute="1" defaultMemberUniqueName="[Call_Table_Data].[Satisfaction Rating].[All]" allUniqueName="[Call_Table_Data].[Satisfaction Rating].[All]" dimensionUniqueName="[Call_Table_Data]" displayFolder="" count="0" memberValueDatatype="5" unbalanced="0"/>
    <cacheHierarchy uniqueName="[Call_Table_Data].[Finacial Year]" caption="Finacial Year" attribute="1" defaultMemberUniqueName="[Call_Table_Data].[Finacial Year].[All]" allUniqueName="[Call_Table_Data].[Finacial Year].[All]" dimensionUniqueName="[Call_Table_Data]" displayFolder="" count="0" memberValueDatatype="20" unbalanced="0"/>
    <cacheHierarchy uniqueName="[Call_Table_Data].[Day of Week]" caption="Day of Week" attribute="1" defaultMemberUniqueName="[Call_Table_Data].[Day of Week].[All]" allUniqueName="[Call_Table_Data].[Day of Week].[All]" dimensionUniqueName="[Call_Table_Data]" displayFolder="" count="0" memberValueDatatype="130" unbalanced="0"/>
    <cacheHierarchy uniqueName="[Call_Table_Data].[Duration Bucket in Hours]" caption="Duration Bucket in Hours" attribute="1" defaultMemberUniqueName="[Call_Table_Data].[Duration Bucket in Hours].[All]" allUniqueName="[Call_Table_Data].[Duration Bucket in Hours].[All]" dimensionUniqueName="[Call_Table_Data]" displayFolder="" count="0" memberValueDatatype="130" unbalanced="0"/>
    <cacheHierarchy uniqueName="[Call_Table_Data].[Rating Rounded]" caption="Rating Rounded" attribute="1" defaultMemberUniqueName="[Call_Table_Data].[Rating Rounded].[All]" allUniqueName="[Call_Table_Data].[Rating Rounded].[All]" dimensionUniqueName="[Call_Table_Data]" displayFolder="" count="0" memberValueDatatype="20" unbalanced="0"/>
    <cacheHierarchy uniqueName="[Call_Table_Data].[Date of Call (Month)]" caption="Date of Call (Month)" attribute="1" defaultMemberUniqueName="[Call_Table_Data].[Date of Call (Month)].[All]" allUniqueName="[Call_Table_Data].[Date of Call (Month)].[All]" dimensionUniqueName="[Call_Table_Data]" displayFolder="" count="0" memberValueDatatype="130" unbalanced="0"/>
    <cacheHierarchy uniqueName="[Call_Table_Data].[Date of Call (Month Index)]" caption="Date of Call (Month Index)" attribute="1" defaultMemberUniqueName="[Call_Table_Data].[Date of Call (Month Index)].[All]" allUniqueName="[Call_Table_Data].[Date of Call (Month Index)].[All]" dimensionUniqueName="[Call_Table_Data]" displayFolder="" count="0" memberValueDatatype="20" unbalanced="0" hidden="1"/>
    <cacheHierarchy uniqueName="[Measures].[Total Call Count]" caption="Total Call Count" measure="1" displayFolder="" measureGroup="Call_Table_Data" count="0"/>
    <cacheHierarchy uniqueName="[Measures].[Total Amount]" caption="Total Amount" measure="1" displayFolder="" measureGroup="Call_Table_Data" count="0" oneField="1">
      <fieldsUsage count="1">
        <fieldUsage x="2"/>
      </fieldsUsage>
    </cacheHierarchy>
    <cacheHierarchy uniqueName="[Measures].[Total Duration]" caption="Total Duration" measure="1" displayFolder="" measureGroup="Call_Table_Data" count="0"/>
    <cacheHierarchy uniqueName="[Measures].[Average Rating ]" caption="Average Rating " measure="1" displayFolder="" measureGroup="Call_Table_Data" count="0"/>
    <cacheHierarchy uniqueName="[Measures].[5 Stared* Ratings]" caption="5 Stared* Ratings" measure="1" displayFolder="" measureGroup="Call_Table_Data" count="0"/>
    <cacheHierarchy uniqueName="[Measures].[Toital Caller count]" caption="Toital Caller count" measure="1" displayFolder="" measureGroup="Call_Table_Data" count="0"/>
    <cacheHierarchy uniqueName="[Measures].[__XL_Count Call_Table_Data]" caption="__XL_Count Call_Table_Data" measure="1" displayFolder="" measureGroup="Call_Table_Data" count="0" hidden="1"/>
    <cacheHierarchy uniqueName="[Measures].[__XL_Count Call_Custs_Data2]" caption="__XL_Count Call_Custs_Data2" measure="1" displayFolder="" measureGroup="Call_Custs_Data2" count="0" hidden="1"/>
    <cacheHierarchy uniqueName="[Measures].[__No measures defined]" caption="__No measures defined" measure="1" displayFolder="" count="0" hidden="1"/>
    <cacheHierarchy uniqueName="[Measures].[Sum of Purchase Amount]" caption="Sum of Purchase Amount" measure="1" displayFolder="" measureGroup="Call_Table_Data" count="0" hidden="1">
      <extLst>
        <ext xmlns:x15="http://schemas.microsoft.com/office/spreadsheetml/2010/11/main" uri="{B97F6D7D-B522-45F9-BDA1-12C45D357490}">
          <x15:cacheHierarchy aggregatedColumn="9"/>
        </ext>
      </extLst>
    </cacheHierarchy>
    <cacheHierarchy uniqueName="[Measures].[Count of Gedner]" caption="Count of Gedner" measure="1" displayFolder="" measureGroup="Call_Custs_Data2"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_Table_Data"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Call_Table_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all_Custs_Data2" count="0" hidden="1">
      <extLst>
        <ext xmlns:x15="http://schemas.microsoft.com/office/spreadsheetml/2010/11/main" uri="{B97F6D7D-B522-45F9-BDA1-12C45D357490}">
          <x15:cacheHierarchy aggregatedColumn="3"/>
        </ext>
      </extLst>
    </cacheHierarchy>
  </cacheHierarchies>
  <kpis count="0"/>
  <dimensions count="3">
    <dimension name="Call_Custs_Data2" uniqueName="[Call_Custs_Data2]" caption="Call_Custs_Data2"/>
    <dimension name="Call_Table_Data" uniqueName="[Call_Table_Data]" caption="Call_Table_Data"/>
    <dimension measure="1" name="Measures" uniqueName="[Measures]" caption="Measures"/>
  </dimensions>
  <measureGroups count="2">
    <measureGroup name="Call_Custs_Data2" caption="Call_Custs_Data2"/>
    <measureGroup name="Call_Table_Data" caption="Call_Table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a Ranganathan Harikrishnan" refreshedDate="45858.67520972222" backgroundQuery="1" createdVersion="8" refreshedVersion="8" minRefreshableVersion="3" recordCount="0" supportSubquery="1" supportAdvancedDrill="1" xr:uid="{5D2B4CDB-2A8D-479E-A1BA-C454F0903F2E}">
  <cacheSource type="external" connectionId="1"/>
  <cacheFields count="6">
    <cacheField name="[Measures].[Total Call Count]" caption="Total Call Count" numFmtId="0" hierarchy="17" level="32767"/>
    <cacheField name="[Measures].[Total Amount]" caption="Total Amount" numFmtId="0" hierarchy="18" level="32767"/>
    <cacheField name="[Measures].[Total Duration]" caption="Total Duration" numFmtId="0" hierarchy="19" level="32767"/>
    <cacheField name="[Measures].[Average Rating ]" caption="Average Rating " numFmtId="0" hierarchy="20" level="32767"/>
    <cacheField name="[Measures].[5 Stared* Ratings]" caption="5 Stared* Ratings" numFmtId="0" hierarchy="21" level="32767"/>
    <cacheField name="[Call_Table_Data].[Representative].[Representative]" caption="Representative" numFmtId="0" hierarchy="7" level="1">
      <sharedItems containsSemiMixedTypes="0" containsNonDate="0" containsString="0"/>
    </cacheField>
  </cacheFields>
  <cacheHierarchies count="31">
    <cacheHierarchy uniqueName="[Call_Custs_Data2].[Customer ID]" caption="Customer ID" attribute="1" defaultMemberUniqueName="[Call_Custs_Data2].[Customer ID].[All]" allUniqueName="[Call_Custs_Data2].[Customer ID].[All]" dimensionUniqueName="[Call_Custs_Data2]" displayFolder="" count="0" memberValueDatatype="130" unbalanced="0"/>
    <cacheHierarchy uniqueName="[Call_Custs_Data2].[Gedner]" caption="Gedner" attribute="1" defaultMemberUniqueName="[Call_Custs_Data2].[Gedner].[All]" allUniqueName="[Call_Custs_Data2].[Gedner].[All]" dimensionUniqueName="[Call_Custs_Data2]" displayFolder="" count="0" memberValueDatatype="130" unbalanced="0"/>
    <cacheHierarchy uniqueName="[Call_Custs_Data2].[Age]" caption="Age" attribute="1" defaultMemberUniqueName="[Call_Custs_Data2].[Age].[All]" allUniqueName="[Call_Custs_Data2].[Age].[All]" dimensionUniqueName="[Call_Custs_Data2]" displayFolder="" count="0" memberValueDatatype="20" unbalanced="0"/>
    <cacheHierarchy uniqueName="[Call_Custs_Data2].[City]" caption="City" attribute="1" defaultMemberUniqueName="[Call_Custs_Data2].[City].[All]" allUniqueName="[Call_Custs_Data2].[City].[All]" dimensionUniqueName="[Call_Custs_Data2]" displayFolder="" count="0" memberValueDatatype="130" unbalanced="0"/>
    <cacheHierarchy uniqueName="[Call_Table_Data].[Call number]" caption="Call number" attribute="1" defaultMemberUniqueName="[Call_Table_Data].[Call number].[All]" allUniqueName="[Call_Table_Data].[Call number].[All]" dimensionUniqueName="[Call_Table_Data]" displayFolder="" count="2" memberValueDatatype="130" unbalanced="0"/>
    <cacheHierarchy uniqueName="[Call_Table_Data].[Customer ID]" caption="Customer ID" attribute="1" defaultMemberUniqueName="[Call_Table_Data].[Customer ID].[All]" allUniqueName="[Call_Table_Data].[Customer ID].[All]" dimensionUniqueName="[Call_Table_Data]" displayFolder="" count="0" memberValueDatatype="130" unbalanced="0"/>
    <cacheHierarchy uniqueName="[Call_Table_Data].[Duration]" caption="Duration" attribute="1" defaultMemberUniqueName="[Call_Table_Data].[Duration].[All]" allUniqueName="[Call_Table_Data].[Duration].[All]" dimensionUniqueName="[Call_Table_Data]" displayFolder="" count="0" memberValueDatatype="20" unbalanced="0"/>
    <cacheHierarchy uniqueName="[Call_Table_Data].[Representative]" caption="Representative" attribute="1" defaultMemberUniqueName="[Call_Table_Data].[Representative].[All]" allUniqueName="[Call_Table_Data].[Representative].[All]" dimensionUniqueName="[Call_Table_Data]" displayFolder="" count="2" memberValueDatatype="130" unbalanced="0">
      <fieldsUsage count="2">
        <fieldUsage x="-1"/>
        <fieldUsage x="5"/>
      </fieldsUsage>
    </cacheHierarchy>
    <cacheHierarchy uniqueName="[Call_Table_Data].[Date of Call]" caption="Date of Call" attribute="1" time="1" defaultMemberUniqueName="[Call_Table_Data].[Date of Call].[All]" allUniqueName="[Call_Table_Data].[Date of Call].[All]" dimensionUniqueName="[Call_Table_Data]" displayFolder="" count="0" memberValueDatatype="7" unbalanced="0"/>
    <cacheHierarchy uniqueName="[Call_Table_Data].[Purchase Amount]" caption="Purchase Amount" attribute="1" defaultMemberUniqueName="[Call_Table_Data].[Purchase Amount].[All]" allUniqueName="[Call_Table_Data].[Purchase Amount].[All]" dimensionUniqueName="[Call_Table_Data]" displayFolder="" count="0" memberValueDatatype="20" unbalanced="0"/>
    <cacheHierarchy uniqueName="[Call_Table_Data].[Satisfaction Rating]" caption="Satisfaction Rating" attribute="1" defaultMemberUniqueName="[Call_Table_Data].[Satisfaction Rating].[All]" allUniqueName="[Call_Table_Data].[Satisfaction Rating].[All]" dimensionUniqueName="[Call_Table_Data]" displayFolder="" count="0" memberValueDatatype="5" unbalanced="0"/>
    <cacheHierarchy uniqueName="[Call_Table_Data].[Finacial Year]" caption="Finacial Year" attribute="1" defaultMemberUniqueName="[Call_Table_Data].[Finacial Year].[All]" allUniqueName="[Call_Table_Data].[Finacial Year].[All]" dimensionUniqueName="[Call_Table_Data]" displayFolder="" count="0" memberValueDatatype="20" unbalanced="0"/>
    <cacheHierarchy uniqueName="[Call_Table_Data].[Day of Week]" caption="Day of Week" attribute="1" defaultMemberUniqueName="[Call_Table_Data].[Day of Week].[All]" allUniqueName="[Call_Table_Data].[Day of Week].[All]" dimensionUniqueName="[Call_Table_Data]" displayFolder="" count="0" memberValueDatatype="130" unbalanced="0"/>
    <cacheHierarchy uniqueName="[Call_Table_Data].[Duration Bucket in Hours]" caption="Duration Bucket in Hours" attribute="1" defaultMemberUniqueName="[Call_Table_Data].[Duration Bucket in Hours].[All]" allUniqueName="[Call_Table_Data].[Duration Bucket in Hours].[All]" dimensionUniqueName="[Call_Table_Data]" displayFolder="" count="0" memberValueDatatype="130" unbalanced="0"/>
    <cacheHierarchy uniqueName="[Call_Table_Data].[Rating Rounded]" caption="Rating Rounded" attribute="1" defaultMemberUniqueName="[Call_Table_Data].[Rating Rounded].[All]" allUniqueName="[Call_Table_Data].[Rating Rounded].[All]" dimensionUniqueName="[Call_Table_Data]" displayFolder="" count="0" memberValueDatatype="20" unbalanced="0"/>
    <cacheHierarchy uniqueName="[Call_Table_Data].[Date of Call (Month)]" caption="Date of Call (Month)" attribute="1" defaultMemberUniqueName="[Call_Table_Data].[Date of Call (Month)].[All]" allUniqueName="[Call_Table_Data].[Date of Call (Month)].[All]" dimensionUniqueName="[Call_Table_Data]" displayFolder="" count="0" memberValueDatatype="130" unbalanced="0"/>
    <cacheHierarchy uniqueName="[Call_Table_Data].[Date of Call (Month Index)]" caption="Date of Call (Month Index)" attribute="1" defaultMemberUniqueName="[Call_Table_Data].[Date of Call (Month Index)].[All]" allUniqueName="[Call_Table_Data].[Date of Call (Month Index)].[All]" dimensionUniqueName="[Call_Table_Data]" displayFolder="" count="0" memberValueDatatype="20" unbalanced="0" hidden="1"/>
    <cacheHierarchy uniqueName="[Measures].[Total Call Count]" caption="Total Call Count" measure="1" displayFolder="" measureGroup="Call_Table_Data" count="0" oneField="1">
      <fieldsUsage count="1">
        <fieldUsage x="0"/>
      </fieldsUsage>
    </cacheHierarchy>
    <cacheHierarchy uniqueName="[Measures].[Total Amount]" caption="Total Amount" measure="1" displayFolder="" measureGroup="Call_Table_Data" count="0" oneField="1">
      <fieldsUsage count="1">
        <fieldUsage x="1"/>
      </fieldsUsage>
    </cacheHierarchy>
    <cacheHierarchy uniqueName="[Measures].[Total Duration]" caption="Total Duration" measure="1" displayFolder="" measureGroup="Call_Table_Data" count="0" oneField="1">
      <fieldsUsage count="1">
        <fieldUsage x="2"/>
      </fieldsUsage>
    </cacheHierarchy>
    <cacheHierarchy uniqueName="[Measures].[Average Rating ]" caption="Average Rating " measure="1" displayFolder="" measureGroup="Call_Table_Data" count="0" oneField="1">
      <fieldsUsage count="1">
        <fieldUsage x="3"/>
      </fieldsUsage>
    </cacheHierarchy>
    <cacheHierarchy uniqueName="[Measures].[5 Stared* Ratings]" caption="5 Stared* Ratings" measure="1" displayFolder="" measureGroup="Call_Table_Data" count="0" oneField="1">
      <fieldsUsage count="1">
        <fieldUsage x="4"/>
      </fieldsUsage>
    </cacheHierarchy>
    <cacheHierarchy uniqueName="[Measures].[Toital Caller count]" caption="Toital Caller count" measure="1" displayFolder="" measureGroup="Call_Table_Data" count="0"/>
    <cacheHierarchy uniqueName="[Measures].[__XL_Count Call_Table_Data]" caption="__XL_Count Call_Table_Data" measure="1" displayFolder="" measureGroup="Call_Table_Data" count="0" hidden="1"/>
    <cacheHierarchy uniqueName="[Measures].[__XL_Count Call_Custs_Data2]" caption="__XL_Count Call_Custs_Data2" measure="1" displayFolder="" measureGroup="Call_Custs_Data2" count="0" hidden="1"/>
    <cacheHierarchy uniqueName="[Measures].[__No measures defined]" caption="__No measures defined" measure="1" displayFolder="" count="0" hidden="1"/>
    <cacheHierarchy uniqueName="[Measures].[Sum of Purchase Amount]" caption="Sum of Purchase Amount" measure="1" displayFolder="" measureGroup="Call_Table_Data" count="0" hidden="1">
      <extLst>
        <ext xmlns:x15="http://schemas.microsoft.com/office/spreadsheetml/2010/11/main" uri="{B97F6D7D-B522-45F9-BDA1-12C45D357490}">
          <x15:cacheHierarchy aggregatedColumn="9"/>
        </ext>
      </extLst>
    </cacheHierarchy>
    <cacheHierarchy uniqueName="[Measures].[Count of Gedner]" caption="Count of Gedner" measure="1" displayFolder="" measureGroup="Call_Custs_Data2"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_Table_Data"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Call_Table_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all_Custs_Data2" count="0" hidden="1">
      <extLst>
        <ext xmlns:x15="http://schemas.microsoft.com/office/spreadsheetml/2010/11/main" uri="{B97F6D7D-B522-45F9-BDA1-12C45D357490}">
          <x15:cacheHierarchy aggregatedColumn="3"/>
        </ext>
      </extLst>
    </cacheHierarchy>
  </cacheHierarchies>
  <kpis count="0"/>
  <dimensions count="3">
    <dimension name="Call_Custs_Data2" uniqueName="[Call_Custs_Data2]" caption="Call_Custs_Data2"/>
    <dimension name="Call_Table_Data" uniqueName="[Call_Table_Data]" caption="Call_Table_Data"/>
    <dimension measure="1" name="Measures" uniqueName="[Measures]" caption="Measures"/>
  </dimensions>
  <measureGroups count="2">
    <measureGroup name="Call_Custs_Data2" caption="Call_Custs_Data2"/>
    <measureGroup name="Call_Table_Data" caption="Call_Table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a Ranganathan Harikrishnan" refreshedDate="46043.963846296298" backgroundQuery="1" createdVersion="8" refreshedVersion="8" minRefreshableVersion="3" recordCount="0" supportSubquery="1" supportAdvancedDrill="1" xr:uid="{22B23335-B1CD-4D19-9E29-631DD243B217}">
  <cacheSource type="external" connectionId="1"/>
  <cacheFields count="6">
    <cacheField name="[Measures].[Total Call Count]" caption="Total Call Count" numFmtId="0" hierarchy="17" level="32767"/>
    <cacheField name="[Measures].[Total Amount]" caption="Total Amount" numFmtId="0" hierarchy="18" level="32767"/>
    <cacheField name="[Measures].[Total Duration]" caption="Total Duration" numFmtId="0" hierarchy="19" level="32767"/>
    <cacheField name="[Measures].[Average Rating ]" caption="Average Rating " numFmtId="0" hierarchy="20" level="32767"/>
    <cacheField name="[Measures].[5 Stared* Ratings]" caption="5 Stared* Ratings" numFmtId="0" hierarchy="21" level="32767"/>
    <cacheField name="[Call_Table_Data].[Representative].[Representative]" caption="Representative" numFmtId="0" hierarchy="7" level="1">
      <sharedItems containsSemiMixedTypes="0" containsNonDate="0" containsString="0"/>
    </cacheField>
  </cacheFields>
  <cacheHierarchies count="31">
    <cacheHierarchy uniqueName="[Call_Custs_Data2].[Customer ID]" caption="Customer ID" attribute="1" defaultMemberUniqueName="[Call_Custs_Data2].[Customer ID].[All]" allUniqueName="[Call_Custs_Data2].[Customer ID].[All]" dimensionUniqueName="[Call_Custs_Data2]" displayFolder="" count="0" memberValueDatatype="130" unbalanced="0"/>
    <cacheHierarchy uniqueName="[Call_Custs_Data2].[Gedner]" caption="Gedner" attribute="1" defaultMemberUniqueName="[Call_Custs_Data2].[Gedner].[All]" allUniqueName="[Call_Custs_Data2].[Gedner].[All]" dimensionUniqueName="[Call_Custs_Data2]" displayFolder="" count="0" memberValueDatatype="130" unbalanced="0"/>
    <cacheHierarchy uniqueName="[Call_Custs_Data2].[Age]" caption="Age" attribute="1" defaultMemberUniqueName="[Call_Custs_Data2].[Age].[All]" allUniqueName="[Call_Custs_Data2].[Age].[All]" dimensionUniqueName="[Call_Custs_Data2]" displayFolder="" count="0" memberValueDatatype="20" unbalanced="0"/>
    <cacheHierarchy uniqueName="[Call_Custs_Data2].[City]" caption="City" attribute="1" defaultMemberUniqueName="[Call_Custs_Data2].[City].[All]" allUniqueName="[Call_Custs_Data2].[City].[All]" dimensionUniqueName="[Call_Custs_Data2]" displayFolder="" count="0" memberValueDatatype="130" unbalanced="0"/>
    <cacheHierarchy uniqueName="[Call_Table_Data].[Call number]" caption="Call number" attribute="1" defaultMemberUniqueName="[Call_Table_Data].[Call number].[All]" allUniqueName="[Call_Table_Data].[Call number].[All]" dimensionUniqueName="[Call_Table_Data]" displayFolder="" count="0" memberValueDatatype="130" unbalanced="0"/>
    <cacheHierarchy uniqueName="[Call_Table_Data].[Customer ID]" caption="Customer ID" attribute="1" defaultMemberUniqueName="[Call_Table_Data].[Customer ID].[All]" allUniqueName="[Call_Table_Data].[Customer ID].[All]" dimensionUniqueName="[Call_Table_Data]" displayFolder="" count="0" memberValueDatatype="130" unbalanced="0"/>
    <cacheHierarchy uniqueName="[Call_Table_Data].[Duration]" caption="Duration" attribute="1" defaultMemberUniqueName="[Call_Table_Data].[Duration].[All]" allUniqueName="[Call_Table_Data].[Duration].[All]" dimensionUniqueName="[Call_Table_Data]" displayFolder="" count="0" memberValueDatatype="20" unbalanced="0"/>
    <cacheHierarchy uniqueName="[Call_Table_Data].[Representative]" caption="Representative" attribute="1" defaultMemberUniqueName="[Call_Table_Data].[Representative].[All]" allUniqueName="[Call_Table_Data].[Representative].[All]" dimensionUniqueName="[Call_Table_Data]" displayFolder="" count="2" memberValueDatatype="130" unbalanced="0">
      <fieldsUsage count="2">
        <fieldUsage x="-1"/>
        <fieldUsage x="5"/>
      </fieldsUsage>
    </cacheHierarchy>
    <cacheHierarchy uniqueName="[Call_Table_Data].[Date of Call]" caption="Date of Call" attribute="1" time="1" defaultMemberUniqueName="[Call_Table_Data].[Date of Call].[All]" allUniqueName="[Call_Table_Data].[Date of Call].[All]" dimensionUniqueName="[Call_Table_Data]" displayFolder="" count="0" memberValueDatatype="7" unbalanced="0"/>
    <cacheHierarchy uniqueName="[Call_Table_Data].[Purchase Amount]" caption="Purchase Amount" attribute="1" defaultMemberUniqueName="[Call_Table_Data].[Purchase Amount].[All]" allUniqueName="[Call_Table_Data].[Purchase Amount].[All]" dimensionUniqueName="[Call_Table_Data]" displayFolder="" count="0" memberValueDatatype="20" unbalanced="0"/>
    <cacheHierarchy uniqueName="[Call_Table_Data].[Satisfaction Rating]" caption="Satisfaction Rating" attribute="1" defaultMemberUniqueName="[Call_Table_Data].[Satisfaction Rating].[All]" allUniqueName="[Call_Table_Data].[Satisfaction Rating].[All]" dimensionUniqueName="[Call_Table_Data]" displayFolder="" count="0" memberValueDatatype="5" unbalanced="0"/>
    <cacheHierarchy uniqueName="[Call_Table_Data].[Finacial Year]" caption="Finacial Year" attribute="1" defaultMemberUniqueName="[Call_Table_Data].[Finacial Year].[All]" allUniqueName="[Call_Table_Data].[Finacial Year].[All]" dimensionUniqueName="[Call_Table_Data]" displayFolder="" count="0" memberValueDatatype="20" unbalanced="0"/>
    <cacheHierarchy uniqueName="[Call_Table_Data].[Day of Week]" caption="Day of Week" attribute="1" defaultMemberUniqueName="[Call_Table_Data].[Day of Week].[All]" allUniqueName="[Call_Table_Data].[Day of Week].[All]" dimensionUniqueName="[Call_Table_Data]" displayFolder="" count="0" memberValueDatatype="130" unbalanced="0"/>
    <cacheHierarchy uniqueName="[Call_Table_Data].[Duration Bucket in Hours]" caption="Duration Bucket in Hours" attribute="1" defaultMemberUniqueName="[Call_Table_Data].[Duration Bucket in Hours].[All]" allUniqueName="[Call_Table_Data].[Duration Bucket in Hours].[All]" dimensionUniqueName="[Call_Table_Data]" displayFolder="" count="0" memberValueDatatype="130" unbalanced="0"/>
    <cacheHierarchy uniqueName="[Call_Table_Data].[Rating Rounded]" caption="Rating Rounded" attribute="1" defaultMemberUniqueName="[Call_Table_Data].[Rating Rounded].[All]" allUniqueName="[Call_Table_Data].[Rating Rounded].[All]" dimensionUniqueName="[Call_Table_Data]" displayFolder="" count="0" memberValueDatatype="20" unbalanced="0"/>
    <cacheHierarchy uniqueName="[Call_Table_Data].[Date of Call (Month)]" caption="Date of Call (Month)" attribute="1" defaultMemberUniqueName="[Call_Table_Data].[Date of Call (Month)].[All]" allUniqueName="[Call_Table_Data].[Date of Call (Month)].[All]" dimensionUniqueName="[Call_Table_Data]" displayFolder="" count="0" memberValueDatatype="130" unbalanced="0"/>
    <cacheHierarchy uniqueName="[Call_Table_Data].[Date of Call (Month Index)]" caption="Date of Call (Month Index)" attribute="1" defaultMemberUniqueName="[Call_Table_Data].[Date of Call (Month Index)].[All]" allUniqueName="[Call_Table_Data].[Date of Call (Month Index)].[All]" dimensionUniqueName="[Call_Table_Data]" displayFolder="" count="0" memberValueDatatype="20" unbalanced="0" hidden="1"/>
    <cacheHierarchy uniqueName="[Measures].[Total Call Count]" caption="Total Call Count" measure="1" displayFolder="" measureGroup="Call_Table_Data" count="0" oneField="1">
      <fieldsUsage count="1">
        <fieldUsage x="0"/>
      </fieldsUsage>
    </cacheHierarchy>
    <cacheHierarchy uniqueName="[Measures].[Total Amount]" caption="Total Amount" measure="1" displayFolder="" measureGroup="Call_Table_Data" count="0" oneField="1">
      <fieldsUsage count="1">
        <fieldUsage x="1"/>
      </fieldsUsage>
    </cacheHierarchy>
    <cacheHierarchy uniqueName="[Measures].[Total Duration]" caption="Total Duration" measure="1" displayFolder="" measureGroup="Call_Table_Data" count="0" oneField="1">
      <fieldsUsage count="1">
        <fieldUsage x="2"/>
      </fieldsUsage>
    </cacheHierarchy>
    <cacheHierarchy uniqueName="[Measures].[Average Rating ]" caption="Average Rating " measure="1" displayFolder="" measureGroup="Call_Table_Data" count="0" oneField="1">
      <fieldsUsage count="1">
        <fieldUsage x="3"/>
      </fieldsUsage>
    </cacheHierarchy>
    <cacheHierarchy uniqueName="[Measures].[5 Stared* Ratings]" caption="5 Stared* Ratings" measure="1" displayFolder="" measureGroup="Call_Table_Data" count="0" oneField="1">
      <fieldsUsage count="1">
        <fieldUsage x="4"/>
      </fieldsUsage>
    </cacheHierarchy>
    <cacheHierarchy uniqueName="[Measures].[Toital Caller count]" caption="Toital Caller count" measure="1" displayFolder="" measureGroup="Call_Table_Data" count="0"/>
    <cacheHierarchy uniqueName="[Measures].[__XL_Count Call_Table_Data]" caption="__XL_Count Call_Table_Data" measure="1" displayFolder="" measureGroup="Call_Table_Data" count="0" hidden="1"/>
    <cacheHierarchy uniqueName="[Measures].[__XL_Count Call_Custs_Data2]" caption="__XL_Count Call_Custs_Data2" measure="1" displayFolder="" measureGroup="Call_Custs_Data2" count="0" hidden="1"/>
    <cacheHierarchy uniqueName="[Measures].[__No measures defined]" caption="__No measures defined" measure="1" displayFolder="" count="0" hidden="1"/>
    <cacheHierarchy uniqueName="[Measures].[Sum of Purchase Amount]" caption="Sum of Purchase Amount" measure="1" displayFolder="" measureGroup="Call_Table_Data" count="0" hidden="1">
      <extLst>
        <ext xmlns:x15="http://schemas.microsoft.com/office/spreadsheetml/2010/11/main" uri="{B97F6D7D-B522-45F9-BDA1-12C45D357490}">
          <x15:cacheHierarchy aggregatedColumn="9"/>
        </ext>
      </extLst>
    </cacheHierarchy>
    <cacheHierarchy uniqueName="[Measures].[Count of Gedner]" caption="Count of Gedner" measure="1" displayFolder="" measureGroup="Call_Custs_Data2"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_Table_Data"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Call_Table_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all_Custs_Data2" count="0" hidden="1">
      <extLst>
        <ext xmlns:x15="http://schemas.microsoft.com/office/spreadsheetml/2010/11/main" uri="{B97F6D7D-B522-45F9-BDA1-12C45D357490}">
          <x15:cacheHierarchy aggregatedColumn="3"/>
        </ext>
      </extLst>
    </cacheHierarchy>
  </cacheHierarchies>
  <kpis count="0"/>
  <dimensions count="3">
    <dimension name="Call_Custs_Data2" uniqueName="[Call_Custs_Data2]" caption="Call_Custs_Data2"/>
    <dimension name="Call_Table_Data" uniqueName="[Call_Table_Data]" caption="Call_Table_Data"/>
    <dimension measure="1" name="Measures" uniqueName="[Measures]" caption="Measures"/>
  </dimensions>
  <measureGroups count="2">
    <measureGroup name="Call_Custs_Data2" caption="Call_Custs_Data2"/>
    <measureGroup name="Call_Table_Data" caption="Call_Table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a Ranganathan Harikrishnan" refreshedDate="46043.963846643521" backgroundQuery="1" createdVersion="8" refreshedVersion="8" minRefreshableVersion="3" recordCount="0" supportSubquery="1" supportAdvancedDrill="1" xr:uid="{DA280F35-5DB5-4AB8-B2C5-78FC285E1DFB}">
  <cacheSource type="external" connectionId="1"/>
  <cacheFields count="5">
    <cacheField name="[Call_Table_Data].[Representative].[Representative]" caption="Representative" numFmtId="0" hierarchy="7" level="1">
      <sharedItems containsSemiMixedTypes="0" containsNonDate="0" containsString="0"/>
    </cacheField>
    <cacheField name="[Call_Table_Data].[Date of Call].[Date of Call]" caption="Date of Call" numFmtId="0" hierarchy="8"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_Table_Data].[Date of Call (Month)].[Date of Call (Month)]" caption="Date of Call (Month)" numFmtId="0" hierarchy="15" level="1">
      <sharedItems count="12">
        <s v="Jan"/>
        <s v="Feb"/>
        <s v="Mar"/>
        <s v="Apr"/>
        <s v="May"/>
        <s v="Jun"/>
        <s v="Jul"/>
        <s v="Aug"/>
        <s v="Sep"/>
        <s v="Oct"/>
        <s v="Nov"/>
        <s v="Dec"/>
      </sharedItems>
    </cacheField>
    <cacheField name="[Measures].[Total Call Count]" caption="Total Call Count" numFmtId="0" hierarchy="17" level="32767"/>
    <cacheField name="Unsupported0" numFmtId="0" hierarchy="31" level="32767">
      <extLst>
        <ext xmlns:x14="http://schemas.microsoft.com/office/spreadsheetml/2009/9/main" uri="{63CAB8AC-B538-458d-9737-405883B0398D}">
          <x14:cacheField ignore="1"/>
        </ext>
      </extLst>
    </cacheField>
  </cacheFields>
  <cacheHierarchies count="32">
    <cacheHierarchy uniqueName="[Call_Custs_Data2].[Customer ID]" caption="Customer ID" attribute="1" defaultMemberUniqueName="[Call_Custs_Data2].[Customer ID].[All]" allUniqueName="[Call_Custs_Data2].[Customer ID].[All]" dimensionUniqueName="[Call_Custs_Data2]" displayFolder="" count="0" memberValueDatatype="130" unbalanced="0"/>
    <cacheHierarchy uniqueName="[Call_Custs_Data2].[Gedner]" caption="Gedner" attribute="1" defaultMemberUniqueName="[Call_Custs_Data2].[Gedner].[All]" allUniqueName="[Call_Custs_Data2].[Gedner].[All]" dimensionUniqueName="[Call_Custs_Data2]" displayFolder="" count="0" memberValueDatatype="130" unbalanced="0"/>
    <cacheHierarchy uniqueName="[Call_Custs_Data2].[Age]" caption="Age" attribute="1" defaultMemberUniqueName="[Call_Custs_Data2].[Age].[All]" allUniqueName="[Call_Custs_Data2].[Age].[All]" dimensionUniqueName="[Call_Custs_Data2]" displayFolder="" count="0" memberValueDatatype="20" unbalanced="0"/>
    <cacheHierarchy uniqueName="[Call_Custs_Data2].[City]" caption="City" attribute="1" defaultMemberUniqueName="[Call_Custs_Data2].[City].[All]" allUniqueName="[Call_Custs_Data2].[City].[All]" dimensionUniqueName="[Call_Custs_Data2]" displayFolder="" count="0" memberValueDatatype="130" unbalanced="0"/>
    <cacheHierarchy uniqueName="[Call_Table_Data].[Call number]" caption="Call number" attribute="1" defaultMemberUniqueName="[Call_Table_Data].[Call number].[All]" allUniqueName="[Call_Table_Data].[Call number].[All]" dimensionUniqueName="[Call_Table_Data]" displayFolder="" count="0" memberValueDatatype="130" unbalanced="0"/>
    <cacheHierarchy uniqueName="[Call_Table_Data].[Customer ID]" caption="Customer ID" attribute="1" defaultMemberUniqueName="[Call_Table_Data].[Customer ID].[All]" allUniqueName="[Call_Table_Data].[Customer ID].[All]" dimensionUniqueName="[Call_Table_Data]" displayFolder="" count="0" memberValueDatatype="130" unbalanced="0"/>
    <cacheHierarchy uniqueName="[Call_Table_Data].[Duration]" caption="Duration" attribute="1" defaultMemberUniqueName="[Call_Table_Data].[Duration].[All]" allUniqueName="[Call_Table_Data].[Duration].[All]" dimensionUniqueName="[Call_Table_Data]" displayFolder="" count="0" memberValueDatatype="20" unbalanced="0"/>
    <cacheHierarchy uniqueName="[Call_Table_Data].[Representative]" caption="Representative" attribute="1" defaultMemberUniqueName="[Call_Table_Data].[Representative].[All]" allUniqueName="[Call_Table_Data].[Representative].[All]" dimensionUniqueName="[Call_Table_Data]" displayFolder="" count="2" memberValueDatatype="130" unbalanced="0">
      <fieldsUsage count="2">
        <fieldUsage x="-1"/>
        <fieldUsage x="0"/>
      </fieldsUsage>
    </cacheHierarchy>
    <cacheHierarchy uniqueName="[Call_Table_Data].[Date of Call]" caption="Date of Call" attribute="1" time="1" defaultMemberUniqueName="[Call_Table_Data].[Date of Call].[All]" allUniqueName="[Call_Table_Data].[Date of Call].[All]" dimensionUniqueName="[Call_Table_Data]" displayFolder="" count="2" memberValueDatatype="7" unbalanced="0">
      <fieldsUsage count="2">
        <fieldUsage x="-1"/>
        <fieldUsage x="1"/>
      </fieldsUsage>
    </cacheHierarchy>
    <cacheHierarchy uniqueName="[Call_Table_Data].[Purchase Amount]" caption="Purchase Amount" attribute="1" defaultMemberUniqueName="[Call_Table_Data].[Purchase Amount].[All]" allUniqueName="[Call_Table_Data].[Purchase Amount].[All]" dimensionUniqueName="[Call_Table_Data]" displayFolder="" count="0" memberValueDatatype="20" unbalanced="0"/>
    <cacheHierarchy uniqueName="[Call_Table_Data].[Satisfaction Rating]" caption="Satisfaction Rating" attribute="1" defaultMemberUniqueName="[Call_Table_Data].[Satisfaction Rating].[All]" allUniqueName="[Call_Table_Data].[Satisfaction Rating].[All]" dimensionUniqueName="[Call_Table_Data]" displayFolder="" count="0" memberValueDatatype="5" unbalanced="0"/>
    <cacheHierarchy uniqueName="[Call_Table_Data].[Finacial Year]" caption="Finacial Year" attribute="1" defaultMemberUniqueName="[Call_Table_Data].[Finacial Year].[All]" allUniqueName="[Call_Table_Data].[Finacial Year].[All]" dimensionUniqueName="[Call_Table_Data]" displayFolder="" count="0" memberValueDatatype="20" unbalanced="0"/>
    <cacheHierarchy uniqueName="[Call_Table_Data].[Day of Week]" caption="Day of Week" attribute="1" defaultMemberUniqueName="[Call_Table_Data].[Day of Week].[All]" allUniqueName="[Call_Table_Data].[Day of Week].[All]" dimensionUniqueName="[Call_Table_Data]" displayFolder="" count="0" memberValueDatatype="130" unbalanced="0"/>
    <cacheHierarchy uniqueName="[Call_Table_Data].[Duration Bucket in Hours]" caption="Duration Bucket in Hours" attribute="1" defaultMemberUniqueName="[Call_Table_Data].[Duration Bucket in Hours].[All]" allUniqueName="[Call_Table_Data].[Duration Bucket in Hours].[All]" dimensionUniqueName="[Call_Table_Data]" displayFolder="" count="0" memberValueDatatype="130" unbalanced="0"/>
    <cacheHierarchy uniqueName="[Call_Table_Data].[Rating Rounded]" caption="Rating Rounded" attribute="1" defaultMemberUniqueName="[Call_Table_Data].[Rating Rounded].[All]" allUniqueName="[Call_Table_Data].[Rating Rounded].[All]" dimensionUniqueName="[Call_Table_Data]" displayFolder="" count="0" memberValueDatatype="20" unbalanced="0"/>
    <cacheHierarchy uniqueName="[Call_Table_Data].[Date of Call (Month)]" caption="Date of Call (Month)" attribute="1" defaultMemberUniqueName="[Call_Table_Data].[Date of Call (Month)].[All]" allUniqueName="[Call_Table_Data].[Date of Call (Month)].[All]" dimensionUniqueName="[Call_Table_Data]" displayFolder="" count="2" memberValueDatatype="130" unbalanced="0">
      <fieldsUsage count="2">
        <fieldUsage x="-1"/>
        <fieldUsage x="2"/>
      </fieldsUsage>
    </cacheHierarchy>
    <cacheHierarchy uniqueName="[Call_Table_Data].[Date of Call (Month Index)]" caption="Date of Call (Month Index)" attribute="1" defaultMemberUniqueName="[Call_Table_Data].[Date of Call (Month Index)].[All]" allUniqueName="[Call_Table_Data].[Date of Call (Month Index)].[All]" dimensionUniqueName="[Call_Table_Data]" displayFolder="" count="0" memberValueDatatype="20" unbalanced="0" hidden="1"/>
    <cacheHierarchy uniqueName="[Measures].[Total Call Count]" caption="Total Call Count" measure="1" displayFolder="" measureGroup="Call_Table_Data" count="0" oneField="1">
      <fieldsUsage count="1">
        <fieldUsage x="3"/>
      </fieldsUsage>
    </cacheHierarchy>
    <cacheHierarchy uniqueName="[Measures].[Total Amount]" caption="Total Amount" measure="1" displayFolder="" measureGroup="Call_Table_Data" count="0"/>
    <cacheHierarchy uniqueName="[Measures].[Total Duration]" caption="Total Duration" measure="1" displayFolder="" measureGroup="Call_Table_Data" count="0"/>
    <cacheHierarchy uniqueName="[Measures].[Average Rating ]" caption="Average Rating " measure="1" displayFolder="" measureGroup="Call_Table_Data" count="0"/>
    <cacheHierarchy uniqueName="[Measures].[5 Stared* Ratings]" caption="5 Stared* Ratings" measure="1" displayFolder="" measureGroup="Call_Table_Data" count="0"/>
    <cacheHierarchy uniqueName="[Measures].[Toital Caller count]" caption="Toital Caller count" measure="1" displayFolder="" measureGroup="Call_Table_Data" count="0"/>
    <cacheHierarchy uniqueName="[Measures].[__XL_Count Call_Table_Data]" caption="__XL_Count Call_Table_Data" measure="1" displayFolder="" measureGroup="Call_Table_Data" count="0" hidden="1"/>
    <cacheHierarchy uniqueName="[Measures].[__XL_Count Call_Custs_Data2]" caption="__XL_Count Call_Custs_Data2" measure="1" displayFolder="" measureGroup="Call_Custs_Data2" count="0" hidden="1"/>
    <cacheHierarchy uniqueName="[Measures].[__No measures defined]" caption="__No measures defined" measure="1" displayFolder="" count="0" hidden="1"/>
    <cacheHierarchy uniqueName="[Measures].[Sum of Purchase Amount]" caption="Sum of Purchase Amount" measure="1" displayFolder="" measureGroup="Call_Table_Data" count="0" hidden="1">
      <extLst>
        <ext xmlns:x15="http://schemas.microsoft.com/office/spreadsheetml/2010/11/main" uri="{B97F6D7D-B522-45F9-BDA1-12C45D357490}">
          <x15:cacheHierarchy aggregatedColumn="9"/>
        </ext>
      </extLst>
    </cacheHierarchy>
    <cacheHierarchy uniqueName="[Measures].[Count of Gedner]" caption="Count of Gedner" measure="1" displayFolder="" measureGroup="Call_Custs_Data2"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_Table_Data"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Call_Table_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all_Custs_Data2" count="0" hidden="1">
      <extLst>
        <ext xmlns:x15="http://schemas.microsoft.com/office/spreadsheetml/2010/11/main" uri="{B97F6D7D-B522-45F9-BDA1-12C45D357490}">
          <x15:cacheHierarchy aggregatedColumn="3"/>
        </ext>
      </extLst>
    </cacheHierarchy>
    <cacheHierarchy uniqueName="Unsupported0" caption="Customer ID" measure="1" count="0">
      <extLst>
        <ext xmlns:x14="http://schemas.microsoft.com/office/spreadsheetml/2009/9/main" uri="{8CF416AD-EC4C-4aba-99F5-12A058AE0983}">
          <x14:cacheHierarchy ignore="1"/>
        </ext>
      </extLst>
    </cacheHierarchy>
  </cacheHierarchies>
  <kpis count="0"/>
  <dimensions count="3">
    <dimension name="Call_Custs_Data2" uniqueName="[Call_Custs_Data2]" caption="Call_Custs_Data2"/>
    <dimension name="Call_Table_Data" uniqueName="[Call_Table_Data]" caption="Call_Table_Data"/>
    <dimension measure="1" name="Measures" uniqueName="[Measures]" caption="Measures"/>
  </dimensions>
  <measureGroups count="2">
    <measureGroup name="Call_Custs_Data2" caption="Call_Custs_Data2"/>
    <measureGroup name="Call_Table_Data" caption="Call_Table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a Ranganathan Harikrishnan" refreshedDate="46043.963847106483" backgroundQuery="1" createdVersion="8" refreshedVersion="8" minRefreshableVersion="3" recordCount="0" supportSubquery="1" supportAdvancedDrill="1" xr:uid="{A2642917-114D-4B34-9EC2-C821FF40C2F3}">
  <cacheSource type="external" connectionId="1"/>
  <cacheFields count="3">
    <cacheField name="[Call_Table_Data].[Day of Week].[Day of Week]" caption="Day of Week" numFmtId="0" hierarchy="12" level="1">
      <sharedItems count="7">
        <s v="Friday"/>
        <s v="Monday"/>
        <s v="Saturday"/>
        <s v="Sunday"/>
        <s v="Thursday"/>
        <s v="Tuesday"/>
        <s v="Wednesday"/>
      </sharedItems>
    </cacheField>
    <cacheField name="[Measures].[Total Call Count]" caption="Total Call Count" numFmtId="0" hierarchy="17" level="32767"/>
    <cacheField name="[Call_Table_Data].[Representative].[Representative]" caption="Representative" numFmtId="0" hierarchy="7" level="1">
      <sharedItems containsSemiMixedTypes="0" containsNonDate="0" containsString="0"/>
    </cacheField>
  </cacheFields>
  <cacheHierarchies count="31">
    <cacheHierarchy uniqueName="[Call_Custs_Data2].[Customer ID]" caption="Customer ID" attribute="1" defaultMemberUniqueName="[Call_Custs_Data2].[Customer ID].[All]" allUniqueName="[Call_Custs_Data2].[Customer ID].[All]" dimensionUniqueName="[Call_Custs_Data2]" displayFolder="" count="0" memberValueDatatype="130" unbalanced="0"/>
    <cacheHierarchy uniqueName="[Call_Custs_Data2].[Gedner]" caption="Gedner" attribute="1" defaultMemberUniqueName="[Call_Custs_Data2].[Gedner].[All]" allUniqueName="[Call_Custs_Data2].[Gedner].[All]" dimensionUniqueName="[Call_Custs_Data2]" displayFolder="" count="0" memberValueDatatype="130" unbalanced="0"/>
    <cacheHierarchy uniqueName="[Call_Custs_Data2].[Age]" caption="Age" attribute="1" defaultMemberUniqueName="[Call_Custs_Data2].[Age].[All]" allUniqueName="[Call_Custs_Data2].[Age].[All]" dimensionUniqueName="[Call_Custs_Data2]" displayFolder="" count="0" memberValueDatatype="20" unbalanced="0"/>
    <cacheHierarchy uniqueName="[Call_Custs_Data2].[City]" caption="City" attribute="1" defaultMemberUniqueName="[Call_Custs_Data2].[City].[All]" allUniqueName="[Call_Custs_Data2].[City].[All]" dimensionUniqueName="[Call_Custs_Data2]" displayFolder="" count="0" memberValueDatatype="130" unbalanced="0"/>
    <cacheHierarchy uniqueName="[Call_Table_Data].[Call number]" caption="Call number" attribute="1" defaultMemberUniqueName="[Call_Table_Data].[Call number].[All]" allUniqueName="[Call_Table_Data].[Call number].[All]" dimensionUniqueName="[Call_Table_Data]" displayFolder="" count="0" memberValueDatatype="130" unbalanced="0"/>
    <cacheHierarchy uniqueName="[Call_Table_Data].[Customer ID]" caption="Customer ID" attribute="1" defaultMemberUniqueName="[Call_Table_Data].[Customer ID].[All]" allUniqueName="[Call_Table_Data].[Customer ID].[All]" dimensionUniqueName="[Call_Table_Data]" displayFolder="" count="0" memberValueDatatype="130" unbalanced="0"/>
    <cacheHierarchy uniqueName="[Call_Table_Data].[Duration]" caption="Duration" attribute="1" defaultMemberUniqueName="[Call_Table_Data].[Duration].[All]" allUniqueName="[Call_Table_Data].[Duration].[All]" dimensionUniqueName="[Call_Table_Data]" displayFolder="" count="0" memberValueDatatype="20" unbalanced="0"/>
    <cacheHierarchy uniqueName="[Call_Table_Data].[Representative]" caption="Representative" attribute="1" defaultMemberUniqueName="[Call_Table_Data].[Representative].[All]" allUniqueName="[Call_Table_Data].[Representative].[All]" dimensionUniqueName="[Call_Table_Data]" displayFolder="" count="2" memberValueDatatype="130" unbalanced="0">
      <fieldsUsage count="2">
        <fieldUsage x="-1"/>
        <fieldUsage x="2"/>
      </fieldsUsage>
    </cacheHierarchy>
    <cacheHierarchy uniqueName="[Call_Table_Data].[Date of Call]" caption="Date of Call" attribute="1" time="1" defaultMemberUniqueName="[Call_Table_Data].[Date of Call].[All]" allUniqueName="[Call_Table_Data].[Date of Call].[All]" dimensionUniqueName="[Call_Table_Data]" displayFolder="" count="0" memberValueDatatype="7" unbalanced="0"/>
    <cacheHierarchy uniqueName="[Call_Table_Data].[Purchase Amount]" caption="Purchase Amount" attribute="1" defaultMemberUniqueName="[Call_Table_Data].[Purchase Amount].[All]" allUniqueName="[Call_Table_Data].[Purchase Amount].[All]" dimensionUniqueName="[Call_Table_Data]" displayFolder="" count="0" memberValueDatatype="20" unbalanced="0"/>
    <cacheHierarchy uniqueName="[Call_Table_Data].[Satisfaction Rating]" caption="Satisfaction Rating" attribute="1" defaultMemberUniqueName="[Call_Table_Data].[Satisfaction Rating].[All]" allUniqueName="[Call_Table_Data].[Satisfaction Rating].[All]" dimensionUniqueName="[Call_Table_Data]" displayFolder="" count="0" memberValueDatatype="5" unbalanced="0"/>
    <cacheHierarchy uniqueName="[Call_Table_Data].[Finacial Year]" caption="Finacial Year" attribute="1" defaultMemberUniqueName="[Call_Table_Data].[Finacial Year].[All]" allUniqueName="[Call_Table_Data].[Finacial Year].[All]" dimensionUniqueName="[Call_Table_Data]" displayFolder="" count="0" memberValueDatatype="20" unbalanced="0"/>
    <cacheHierarchy uniqueName="[Call_Table_Data].[Day of Week]" caption="Day of Week" attribute="1" defaultMemberUniqueName="[Call_Table_Data].[Day of Week].[All]" allUniqueName="[Call_Table_Data].[Day of Week].[All]" dimensionUniqueName="[Call_Table_Data]" displayFolder="" count="2" memberValueDatatype="130" unbalanced="0">
      <fieldsUsage count="2">
        <fieldUsage x="-1"/>
        <fieldUsage x="0"/>
      </fieldsUsage>
    </cacheHierarchy>
    <cacheHierarchy uniqueName="[Call_Table_Data].[Duration Bucket in Hours]" caption="Duration Bucket in Hours" attribute="1" defaultMemberUniqueName="[Call_Table_Data].[Duration Bucket in Hours].[All]" allUniqueName="[Call_Table_Data].[Duration Bucket in Hours].[All]" dimensionUniqueName="[Call_Table_Data]" displayFolder="" count="0" memberValueDatatype="130" unbalanced="0"/>
    <cacheHierarchy uniqueName="[Call_Table_Data].[Rating Rounded]" caption="Rating Rounded" attribute="1" defaultMemberUniqueName="[Call_Table_Data].[Rating Rounded].[All]" allUniqueName="[Call_Table_Data].[Rating Rounded].[All]" dimensionUniqueName="[Call_Table_Data]" displayFolder="" count="0" memberValueDatatype="20" unbalanced="0"/>
    <cacheHierarchy uniqueName="[Call_Table_Data].[Date of Call (Month)]" caption="Date of Call (Month)" attribute="1" defaultMemberUniqueName="[Call_Table_Data].[Date of Call (Month)].[All]" allUniqueName="[Call_Table_Data].[Date of Call (Month)].[All]" dimensionUniqueName="[Call_Table_Data]" displayFolder="" count="0" memberValueDatatype="130" unbalanced="0"/>
    <cacheHierarchy uniqueName="[Call_Table_Data].[Date of Call (Month Index)]" caption="Date of Call (Month Index)" attribute="1" defaultMemberUniqueName="[Call_Table_Data].[Date of Call (Month Index)].[All]" allUniqueName="[Call_Table_Data].[Date of Call (Month Index)].[All]" dimensionUniqueName="[Call_Table_Data]" displayFolder="" count="0" memberValueDatatype="20" unbalanced="0" hidden="1"/>
    <cacheHierarchy uniqueName="[Measures].[Total Call Count]" caption="Total Call Count" measure="1" displayFolder="" measureGroup="Call_Table_Data" count="0" oneField="1">
      <fieldsUsage count="1">
        <fieldUsage x="1"/>
      </fieldsUsage>
    </cacheHierarchy>
    <cacheHierarchy uniqueName="[Measures].[Total Amount]" caption="Total Amount" measure="1" displayFolder="" measureGroup="Call_Table_Data" count="0"/>
    <cacheHierarchy uniqueName="[Measures].[Total Duration]" caption="Total Duration" measure="1" displayFolder="" measureGroup="Call_Table_Data" count="0"/>
    <cacheHierarchy uniqueName="[Measures].[Average Rating ]" caption="Average Rating " measure="1" displayFolder="" measureGroup="Call_Table_Data" count="0"/>
    <cacheHierarchy uniqueName="[Measures].[5 Stared* Ratings]" caption="5 Stared* Ratings" measure="1" displayFolder="" measureGroup="Call_Table_Data" count="0"/>
    <cacheHierarchy uniqueName="[Measures].[Toital Caller count]" caption="Toital Caller count" measure="1" displayFolder="" measureGroup="Call_Table_Data" count="0"/>
    <cacheHierarchy uniqueName="[Measures].[__XL_Count Call_Table_Data]" caption="__XL_Count Call_Table_Data" measure="1" displayFolder="" measureGroup="Call_Table_Data" count="0" hidden="1"/>
    <cacheHierarchy uniqueName="[Measures].[__XL_Count Call_Custs_Data2]" caption="__XL_Count Call_Custs_Data2" measure="1" displayFolder="" measureGroup="Call_Custs_Data2" count="0" hidden="1"/>
    <cacheHierarchy uniqueName="[Measures].[__No measures defined]" caption="__No measures defined" measure="1" displayFolder="" count="0" hidden="1"/>
    <cacheHierarchy uniqueName="[Measures].[Sum of Purchase Amount]" caption="Sum of Purchase Amount" measure="1" displayFolder="" measureGroup="Call_Table_Data" count="0" hidden="1">
      <extLst>
        <ext xmlns:x15="http://schemas.microsoft.com/office/spreadsheetml/2010/11/main" uri="{B97F6D7D-B522-45F9-BDA1-12C45D357490}">
          <x15:cacheHierarchy aggregatedColumn="9"/>
        </ext>
      </extLst>
    </cacheHierarchy>
    <cacheHierarchy uniqueName="[Measures].[Count of Gedner]" caption="Count of Gedner" measure="1" displayFolder="" measureGroup="Call_Custs_Data2"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_Table_Data"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Call_Table_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all_Custs_Data2" count="0" hidden="1">
      <extLst>
        <ext xmlns:x15="http://schemas.microsoft.com/office/spreadsheetml/2010/11/main" uri="{B97F6D7D-B522-45F9-BDA1-12C45D357490}">
          <x15:cacheHierarchy aggregatedColumn="3"/>
        </ext>
      </extLst>
    </cacheHierarchy>
  </cacheHierarchies>
  <kpis count="0"/>
  <dimensions count="3">
    <dimension name="Call_Custs_Data2" uniqueName="[Call_Custs_Data2]" caption="Call_Custs_Data2"/>
    <dimension name="Call_Table_Data" uniqueName="[Call_Table_Data]" caption="Call_Table_Data"/>
    <dimension measure="1" name="Measures" uniqueName="[Measures]" caption="Measures"/>
  </dimensions>
  <measureGroups count="2">
    <measureGroup name="Call_Custs_Data2" caption="Call_Custs_Data2"/>
    <measureGroup name="Call_Table_Data" caption="Call_Table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a Ranganathan Harikrishnan" refreshedDate="46043.963847453706" backgroundQuery="1" createdVersion="8" refreshedVersion="8" minRefreshableVersion="3" recordCount="0" supportSubquery="1" supportAdvancedDrill="1" xr:uid="{C9076081-5C5A-4372-B479-2D2D12178243}">
  <cacheSource type="external" connectionId="1"/>
  <cacheFields count="1">
    <cacheField name="[Call_Table_Data].[Representative].[Representative]" caption="Representative" numFmtId="0" hierarchy="7" level="1">
      <sharedItems count="1">
        <s v="R04"/>
      </sharedItems>
    </cacheField>
  </cacheFields>
  <cacheHierarchies count="31">
    <cacheHierarchy uniqueName="[Call_Custs_Data2].[Customer ID]" caption="Customer ID" attribute="1" defaultMemberUniqueName="[Call_Custs_Data2].[Customer ID].[All]" allUniqueName="[Call_Custs_Data2].[Customer ID].[All]" dimensionUniqueName="[Call_Custs_Data2]" displayFolder="" count="0" memberValueDatatype="130" unbalanced="0"/>
    <cacheHierarchy uniqueName="[Call_Custs_Data2].[Gedner]" caption="Gedner" attribute="1" defaultMemberUniqueName="[Call_Custs_Data2].[Gedner].[All]" allUniqueName="[Call_Custs_Data2].[Gedner].[All]" dimensionUniqueName="[Call_Custs_Data2]" displayFolder="" count="0" memberValueDatatype="130" unbalanced="0"/>
    <cacheHierarchy uniqueName="[Call_Custs_Data2].[Age]" caption="Age" attribute="1" defaultMemberUniqueName="[Call_Custs_Data2].[Age].[All]" allUniqueName="[Call_Custs_Data2].[Age].[All]" dimensionUniqueName="[Call_Custs_Data2]" displayFolder="" count="0" memberValueDatatype="20" unbalanced="0"/>
    <cacheHierarchy uniqueName="[Call_Custs_Data2].[City]" caption="City" attribute="1" defaultMemberUniqueName="[Call_Custs_Data2].[City].[All]" allUniqueName="[Call_Custs_Data2].[City].[All]" dimensionUniqueName="[Call_Custs_Data2]" displayFolder="" count="0" memberValueDatatype="130" unbalanced="0"/>
    <cacheHierarchy uniqueName="[Call_Table_Data].[Call number]" caption="Call number" attribute="1" defaultMemberUniqueName="[Call_Table_Data].[Call number].[All]" allUniqueName="[Call_Table_Data].[Call number].[All]" dimensionUniqueName="[Call_Table_Data]" displayFolder="" count="0" memberValueDatatype="130" unbalanced="0"/>
    <cacheHierarchy uniqueName="[Call_Table_Data].[Customer ID]" caption="Customer ID" attribute="1" defaultMemberUniqueName="[Call_Table_Data].[Customer ID].[All]" allUniqueName="[Call_Table_Data].[Customer ID].[All]" dimensionUniqueName="[Call_Table_Data]" displayFolder="" count="0" memberValueDatatype="130" unbalanced="0"/>
    <cacheHierarchy uniqueName="[Call_Table_Data].[Duration]" caption="Duration" attribute="1" defaultMemberUniqueName="[Call_Table_Data].[Duration].[All]" allUniqueName="[Call_Table_Data].[Duration].[All]" dimensionUniqueName="[Call_Table_Data]" displayFolder="" count="0" memberValueDatatype="20" unbalanced="0"/>
    <cacheHierarchy uniqueName="[Call_Table_Data].[Representative]" caption="Representative" attribute="1" defaultMemberUniqueName="[Call_Table_Data].[Representative].[All]" allUniqueName="[Call_Table_Data].[Representative].[All]" dimensionUniqueName="[Call_Table_Data]" displayFolder="" count="2" memberValueDatatype="130" unbalanced="0">
      <fieldsUsage count="2">
        <fieldUsage x="-1"/>
        <fieldUsage x="0"/>
      </fieldsUsage>
    </cacheHierarchy>
    <cacheHierarchy uniqueName="[Call_Table_Data].[Date of Call]" caption="Date of Call" attribute="1" time="1" defaultMemberUniqueName="[Call_Table_Data].[Date of Call].[All]" allUniqueName="[Call_Table_Data].[Date of Call].[All]" dimensionUniqueName="[Call_Table_Data]" displayFolder="" count="0" memberValueDatatype="7" unbalanced="0"/>
    <cacheHierarchy uniqueName="[Call_Table_Data].[Purchase Amount]" caption="Purchase Amount" attribute="1" defaultMemberUniqueName="[Call_Table_Data].[Purchase Amount].[All]" allUniqueName="[Call_Table_Data].[Purchase Amount].[All]" dimensionUniqueName="[Call_Table_Data]" displayFolder="" count="0" memberValueDatatype="20" unbalanced="0"/>
    <cacheHierarchy uniqueName="[Call_Table_Data].[Satisfaction Rating]" caption="Satisfaction Rating" attribute="1" defaultMemberUniqueName="[Call_Table_Data].[Satisfaction Rating].[All]" allUniqueName="[Call_Table_Data].[Satisfaction Rating].[All]" dimensionUniqueName="[Call_Table_Data]" displayFolder="" count="0" memberValueDatatype="5" unbalanced="0"/>
    <cacheHierarchy uniqueName="[Call_Table_Data].[Finacial Year]" caption="Finacial Year" attribute="1" defaultMemberUniqueName="[Call_Table_Data].[Finacial Year].[All]" allUniqueName="[Call_Table_Data].[Finacial Year].[All]" dimensionUniqueName="[Call_Table_Data]" displayFolder="" count="0" memberValueDatatype="20" unbalanced="0"/>
    <cacheHierarchy uniqueName="[Call_Table_Data].[Day of Week]" caption="Day of Week" attribute="1" defaultMemberUniqueName="[Call_Table_Data].[Day of Week].[All]" allUniqueName="[Call_Table_Data].[Day of Week].[All]" dimensionUniqueName="[Call_Table_Data]" displayFolder="" count="0" memberValueDatatype="130" unbalanced="0"/>
    <cacheHierarchy uniqueName="[Call_Table_Data].[Duration Bucket in Hours]" caption="Duration Bucket in Hours" attribute="1" defaultMemberUniqueName="[Call_Table_Data].[Duration Bucket in Hours].[All]" allUniqueName="[Call_Table_Data].[Duration Bucket in Hours].[All]" dimensionUniqueName="[Call_Table_Data]" displayFolder="" count="0" memberValueDatatype="130" unbalanced="0"/>
    <cacheHierarchy uniqueName="[Call_Table_Data].[Rating Rounded]" caption="Rating Rounded" attribute="1" defaultMemberUniqueName="[Call_Table_Data].[Rating Rounded].[All]" allUniqueName="[Call_Table_Data].[Rating Rounded].[All]" dimensionUniqueName="[Call_Table_Data]" displayFolder="" count="0" memberValueDatatype="20" unbalanced="0"/>
    <cacheHierarchy uniqueName="[Call_Table_Data].[Date of Call (Month)]" caption="Date of Call (Month)" attribute="1" defaultMemberUniqueName="[Call_Table_Data].[Date of Call (Month)].[All]" allUniqueName="[Call_Table_Data].[Date of Call (Month)].[All]" dimensionUniqueName="[Call_Table_Data]" displayFolder="" count="0" memberValueDatatype="130" unbalanced="0"/>
    <cacheHierarchy uniqueName="[Call_Table_Data].[Date of Call (Month Index)]" caption="Date of Call (Month Index)" attribute="1" defaultMemberUniqueName="[Call_Table_Data].[Date of Call (Month Index)].[All]" allUniqueName="[Call_Table_Data].[Date of Call (Month Index)].[All]" dimensionUniqueName="[Call_Table_Data]" displayFolder="" count="0" memberValueDatatype="20" unbalanced="0" hidden="1"/>
    <cacheHierarchy uniqueName="[Measures].[Total Call Count]" caption="Total Call Count" measure="1" displayFolder="" measureGroup="Call_Table_Data" count="0"/>
    <cacheHierarchy uniqueName="[Measures].[Total Amount]" caption="Total Amount" measure="1" displayFolder="" measureGroup="Call_Table_Data" count="0"/>
    <cacheHierarchy uniqueName="[Measures].[Total Duration]" caption="Total Duration" measure="1" displayFolder="" measureGroup="Call_Table_Data" count="0"/>
    <cacheHierarchy uniqueName="[Measures].[Average Rating ]" caption="Average Rating " measure="1" displayFolder="" measureGroup="Call_Table_Data" count="0"/>
    <cacheHierarchy uniqueName="[Measures].[5 Stared* Ratings]" caption="5 Stared* Ratings" measure="1" displayFolder="" measureGroup="Call_Table_Data" count="0"/>
    <cacheHierarchy uniqueName="[Measures].[Toital Caller count]" caption="Toital Caller count" measure="1" displayFolder="" measureGroup="Call_Table_Data" count="0"/>
    <cacheHierarchy uniqueName="[Measures].[__XL_Count Call_Table_Data]" caption="__XL_Count Call_Table_Data" measure="1" displayFolder="" measureGroup="Call_Table_Data" count="0" hidden="1"/>
    <cacheHierarchy uniqueName="[Measures].[__XL_Count Call_Custs_Data2]" caption="__XL_Count Call_Custs_Data2" measure="1" displayFolder="" measureGroup="Call_Custs_Data2" count="0" hidden="1"/>
    <cacheHierarchy uniqueName="[Measures].[__No measures defined]" caption="__No measures defined" measure="1" displayFolder="" count="0" hidden="1"/>
    <cacheHierarchy uniqueName="[Measures].[Sum of Purchase Amount]" caption="Sum of Purchase Amount" measure="1" displayFolder="" measureGroup="Call_Table_Data" count="0" hidden="1">
      <extLst>
        <ext xmlns:x15="http://schemas.microsoft.com/office/spreadsheetml/2010/11/main" uri="{B97F6D7D-B522-45F9-BDA1-12C45D357490}">
          <x15:cacheHierarchy aggregatedColumn="9"/>
        </ext>
      </extLst>
    </cacheHierarchy>
    <cacheHierarchy uniqueName="[Measures].[Count of Gedner]" caption="Count of Gedner" measure="1" displayFolder="" measureGroup="Call_Custs_Data2"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_Table_Data"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Call_Table_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all_Custs_Data2" count="0" hidden="1">
      <extLst>
        <ext xmlns:x15="http://schemas.microsoft.com/office/spreadsheetml/2010/11/main" uri="{B97F6D7D-B522-45F9-BDA1-12C45D357490}">
          <x15:cacheHierarchy aggregatedColumn="3"/>
        </ext>
      </extLst>
    </cacheHierarchy>
  </cacheHierarchies>
  <kpis count="0"/>
  <dimensions count="3">
    <dimension name="Call_Custs_Data2" uniqueName="[Call_Custs_Data2]" caption="Call_Custs_Data2"/>
    <dimension name="Call_Table_Data" uniqueName="[Call_Table_Data]" caption="Call_Table_Data"/>
    <dimension measure="1" name="Measures" uniqueName="[Measures]" caption="Measures"/>
  </dimensions>
  <measureGroups count="2">
    <measureGroup name="Call_Custs_Data2" caption="Call_Custs_Data2"/>
    <measureGroup name="Call_Table_Data" caption="Call_Table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a Ranganathan Harikrishnan" refreshedDate="46043.963847916668" backgroundQuery="1" createdVersion="8" refreshedVersion="8" minRefreshableVersion="3" recordCount="0" supportSubquery="1" supportAdvancedDrill="1" xr:uid="{3BF75176-577F-437B-A521-83D5EDB7B175}">
  <cacheSource type="external" connectionId="1"/>
  <cacheFields count="3">
    <cacheField name="[Measures].[Count of Customer ID]" caption="Count of Customer ID" numFmtId="0" hierarchy="29" level="32767"/>
    <cacheField name="[Call_Table_Data].[Rating Rounded].[Rating Rounded]" caption="Rating Rounded"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_Table_Data].[Rating Rounded].&amp;[1]"/>
            <x15:cachedUniqueName index="1" name="[Call_Table_Data].[Rating Rounded].&amp;[2]"/>
            <x15:cachedUniqueName index="2" name="[Call_Table_Data].[Rating Rounded].&amp;[3]"/>
            <x15:cachedUniqueName index="3" name="[Call_Table_Data].[Rating Rounded].&amp;[4]"/>
            <x15:cachedUniqueName index="4" name="[Call_Table_Data].[Rating Rounded].&amp;[5]"/>
          </x15:cachedUniqueNames>
        </ext>
      </extLst>
    </cacheField>
    <cacheField name="[Call_Table_Data].[Representative].[Representative]" caption="Representative" numFmtId="0" hierarchy="7" level="1">
      <sharedItems containsSemiMixedTypes="0" containsNonDate="0" containsString="0"/>
    </cacheField>
  </cacheFields>
  <cacheHierarchies count="31">
    <cacheHierarchy uniqueName="[Call_Custs_Data2].[Customer ID]" caption="Customer ID" attribute="1" defaultMemberUniqueName="[Call_Custs_Data2].[Customer ID].[All]" allUniqueName="[Call_Custs_Data2].[Customer ID].[All]" dimensionUniqueName="[Call_Custs_Data2]" displayFolder="" count="0" memberValueDatatype="130" unbalanced="0"/>
    <cacheHierarchy uniqueName="[Call_Custs_Data2].[Gedner]" caption="Gedner" attribute="1" defaultMemberUniqueName="[Call_Custs_Data2].[Gedner].[All]" allUniqueName="[Call_Custs_Data2].[Gedner].[All]" dimensionUniqueName="[Call_Custs_Data2]" displayFolder="" count="0" memberValueDatatype="130" unbalanced="0"/>
    <cacheHierarchy uniqueName="[Call_Custs_Data2].[Age]" caption="Age" attribute="1" defaultMemberUniqueName="[Call_Custs_Data2].[Age].[All]" allUniqueName="[Call_Custs_Data2].[Age].[All]" dimensionUniqueName="[Call_Custs_Data2]" displayFolder="" count="0" memberValueDatatype="20" unbalanced="0"/>
    <cacheHierarchy uniqueName="[Call_Custs_Data2].[City]" caption="City" attribute="1" defaultMemberUniqueName="[Call_Custs_Data2].[City].[All]" allUniqueName="[Call_Custs_Data2].[City].[All]" dimensionUniqueName="[Call_Custs_Data2]" displayFolder="" count="0" memberValueDatatype="130" unbalanced="0"/>
    <cacheHierarchy uniqueName="[Call_Table_Data].[Call number]" caption="Call number" attribute="1" defaultMemberUniqueName="[Call_Table_Data].[Call number].[All]" allUniqueName="[Call_Table_Data].[Call number].[All]" dimensionUniqueName="[Call_Table_Data]" displayFolder="" count="0" memberValueDatatype="130" unbalanced="0"/>
    <cacheHierarchy uniqueName="[Call_Table_Data].[Customer ID]" caption="Customer ID" attribute="1" defaultMemberUniqueName="[Call_Table_Data].[Customer ID].[All]" allUniqueName="[Call_Table_Data].[Customer ID].[All]" dimensionUniqueName="[Call_Table_Data]" displayFolder="" count="0" memberValueDatatype="130" unbalanced="0"/>
    <cacheHierarchy uniqueName="[Call_Table_Data].[Duration]" caption="Duration" attribute="1" defaultMemberUniqueName="[Call_Table_Data].[Duration].[All]" allUniqueName="[Call_Table_Data].[Duration].[All]" dimensionUniqueName="[Call_Table_Data]" displayFolder="" count="0" memberValueDatatype="20" unbalanced="0"/>
    <cacheHierarchy uniqueName="[Call_Table_Data].[Representative]" caption="Representative" attribute="1" defaultMemberUniqueName="[Call_Table_Data].[Representative].[All]" allUniqueName="[Call_Table_Data].[Representative].[All]" dimensionUniqueName="[Call_Table_Data]" displayFolder="" count="2" memberValueDatatype="130" unbalanced="0">
      <fieldsUsage count="2">
        <fieldUsage x="-1"/>
        <fieldUsage x="2"/>
      </fieldsUsage>
    </cacheHierarchy>
    <cacheHierarchy uniqueName="[Call_Table_Data].[Date of Call]" caption="Date of Call" attribute="1" time="1" defaultMemberUniqueName="[Call_Table_Data].[Date of Call].[All]" allUniqueName="[Call_Table_Data].[Date of Call].[All]" dimensionUniqueName="[Call_Table_Data]" displayFolder="" count="0" memberValueDatatype="7" unbalanced="0"/>
    <cacheHierarchy uniqueName="[Call_Table_Data].[Purchase Amount]" caption="Purchase Amount" attribute="1" defaultMemberUniqueName="[Call_Table_Data].[Purchase Amount].[All]" allUniqueName="[Call_Table_Data].[Purchase Amount].[All]" dimensionUniqueName="[Call_Table_Data]" displayFolder="" count="0" memberValueDatatype="20" unbalanced="0"/>
    <cacheHierarchy uniqueName="[Call_Table_Data].[Satisfaction Rating]" caption="Satisfaction Rating" attribute="1" defaultMemberUniqueName="[Call_Table_Data].[Satisfaction Rating].[All]" allUniqueName="[Call_Table_Data].[Satisfaction Rating].[All]" dimensionUniqueName="[Call_Table_Data]" displayFolder="" count="0" memberValueDatatype="5" unbalanced="0"/>
    <cacheHierarchy uniqueName="[Call_Table_Data].[Finacial Year]" caption="Finacial Year" attribute="1" defaultMemberUniqueName="[Call_Table_Data].[Finacial Year].[All]" allUniqueName="[Call_Table_Data].[Finacial Year].[All]" dimensionUniqueName="[Call_Table_Data]" displayFolder="" count="0" memberValueDatatype="20" unbalanced="0"/>
    <cacheHierarchy uniqueName="[Call_Table_Data].[Day of Week]" caption="Day of Week" attribute="1" defaultMemberUniqueName="[Call_Table_Data].[Day of Week].[All]" allUniqueName="[Call_Table_Data].[Day of Week].[All]" dimensionUniqueName="[Call_Table_Data]" displayFolder="" count="0" memberValueDatatype="130" unbalanced="0"/>
    <cacheHierarchy uniqueName="[Call_Table_Data].[Duration Bucket in Hours]" caption="Duration Bucket in Hours" attribute="1" defaultMemberUniqueName="[Call_Table_Data].[Duration Bucket in Hours].[All]" allUniqueName="[Call_Table_Data].[Duration Bucket in Hours].[All]" dimensionUniqueName="[Call_Table_Data]" displayFolder="" count="0" memberValueDatatype="130" unbalanced="0"/>
    <cacheHierarchy uniqueName="[Call_Table_Data].[Rating Rounded]" caption="Rating Rounded" attribute="1" defaultMemberUniqueName="[Call_Table_Data].[Rating Rounded].[All]" allUniqueName="[Call_Table_Data].[Rating Rounded].[All]" dimensionUniqueName="[Call_Table_Data]" displayFolder="" count="2" memberValueDatatype="20" unbalanced="0">
      <fieldsUsage count="2">
        <fieldUsage x="-1"/>
        <fieldUsage x="1"/>
      </fieldsUsage>
    </cacheHierarchy>
    <cacheHierarchy uniqueName="[Call_Table_Data].[Date of Call (Month)]" caption="Date of Call (Month)" attribute="1" defaultMemberUniqueName="[Call_Table_Data].[Date of Call (Month)].[All]" allUniqueName="[Call_Table_Data].[Date of Call (Month)].[All]" dimensionUniqueName="[Call_Table_Data]" displayFolder="" count="0" memberValueDatatype="130" unbalanced="0"/>
    <cacheHierarchy uniqueName="[Call_Table_Data].[Date of Call (Month Index)]" caption="Date of Call (Month Index)" attribute="1" defaultMemberUniqueName="[Call_Table_Data].[Date of Call (Month Index)].[All]" allUniqueName="[Call_Table_Data].[Date of Call (Month Index)].[All]" dimensionUniqueName="[Call_Table_Data]" displayFolder="" count="0" memberValueDatatype="20" unbalanced="0" hidden="1"/>
    <cacheHierarchy uniqueName="[Measures].[Total Call Count]" caption="Total Call Count" measure="1" displayFolder="" measureGroup="Call_Table_Data" count="0"/>
    <cacheHierarchy uniqueName="[Measures].[Total Amount]" caption="Total Amount" measure="1" displayFolder="" measureGroup="Call_Table_Data" count="0"/>
    <cacheHierarchy uniqueName="[Measures].[Total Duration]" caption="Total Duration" measure="1" displayFolder="" measureGroup="Call_Table_Data" count="0"/>
    <cacheHierarchy uniqueName="[Measures].[Average Rating ]" caption="Average Rating " measure="1" displayFolder="" measureGroup="Call_Table_Data" count="0"/>
    <cacheHierarchy uniqueName="[Measures].[5 Stared* Ratings]" caption="5 Stared* Ratings" measure="1" displayFolder="" measureGroup="Call_Table_Data" count="0"/>
    <cacheHierarchy uniqueName="[Measures].[Toital Caller count]" caption="Toital Caller count" measure="1" displayFolder="" measureGroup="Call_Table_Data" count="0"/>
    <cacheHierarchy uniqueName="[Measures].[__XL_Count Call_Table_Data]" caption="__XL_Count Call_Table_Data" measure="1" displayFolder="" measureGroup="Call_Table_Data" count="0" hidden="1"/>
    <cacheHierarchy uniqueName="[Measures].[__XL_Count Call_Custs_Data2]" caption="__XL_Count Call_Custs_Data2" measure="1" displayFolder="" measureGroup="Call_Custs_Data2" count="0" hidden="1"/>
    <cacheHierarchy uniqueName="[Measures].[__No measures defined]" caption="__No measures defined" measure="1" displayFolder="" count="0" hidden="1"/>
    <cacheHierarchy uniqueName="[Measures].[Sum of Purchase Amount]" caption="Sum of Purchase Amount" measure="1" displayFolder="" measureGroup="Call_Table_Data" count="0" hidden="1">
      <extLst>
        <ext xmlns:x15="http://schemas.microsoft.com/office/spreadsheetml/2010/11/main" uri="{B97F6D7D-B522-45F9-BDA1-12C45D357490}">
          <x15:cacheHierarchy aggregatedColumn="9"/>
        </ext>
      </extLst>
    </cacheHierarchy>
    <cacheHierarchy uniqueName="[Measures].[Count of Gedner]" caption="Count of Gedner" measure="1" displayFolder="" measureGroup="Call_Custs_Data2"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_Table_Data"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Call_Table_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City]" caption="Count of City" measure="1" displayFolder="" measureGroup="Call_Custs_Data2" count="0" hidden="1">
      <extLst>
        <ext xmlns:x15="http://schemas.microsoft.com/office/spreadsheetml/2010/11/main" uri="{B97F6D7D-B522-45F9-BDA1-12C45D357490}">
          <x15:cacheHierarchy aggregatedColumn="3"/>
        </ext>
      </extLst>
    </cacheHierarchy>
  </cacheHierarchies>
  <kpis count="0"/>
  <dimensions count="3">
    <dimension name="Call_Custs_Data2" uniqueName="[Call_Custs_Data2]" caption="Call_Custs_Data2"/>
    <dimension name="Call_Table_Data" uniqueName="[Call_Table_Data]" caption="Call_Table_Data"/>
    <dimension measure="1" name="Measures" uniqueName="[Measures]" caption="Measures"/>
  </dimensions>
  <measureGroups count="2">
    <measureGroup name="Call_Custs_Data2" caption="Call_Custs_Data2"/>
    <measureGroup name="Call_Table_Data" caption="Call_Table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a Ranganathan Harikrishnan" refreshedDate="46043.96384837963" backgroundQuery="1" createdVersion="8" refreshedVersion="8" minRefreshableVersion="3" recordCount="0" supportSubquery="1" supportAdvancedDrill="1" xr:uid="{BABD79A9-0F83-468D-88C4-EC2B116303BF}">
  <cacheSource type="external" connectionId="1"/>
  <cacheFields count="4">
    <cacheField name="[Call_Custs_Data2].[City].[City]" caption="City" numFmtId="0" hierarchy="3" level="1">
      <sharedItems count="3">
        <s v="Cincinnati"/>
        <s v="Cleveland"/>
        <s v="Columbus"/>
      </sharedItems>
    </cacheField>
    <cacheField name="[Call_Custs_Data2].[Gedner].[Gedner]" caption="Gedner" numFmtId="0" hierarchy="1" level="1">
      <sharedItems count="2">
        <s v="Female"/>
        <s v="Male"/>
      </sharedItems>
    </cacheField>
    <cacheField name="[Measures].[Total Call Count]" caption="Total Call Count" numFmtId="0" hierarchy="17" level="32767"/>
    <cacheField name="[Call_Table_Data].[Representative].[Representative]" caption="Representative" numFmtId="0" hierarchy="7" level="1">
      <sharedItems containsSemiMixedTypes="0" containsNonDate="0" containsString="0"/>
    </cacheField>
  </cacheFields>
  <cacheHierarchies count="31">
    <cacheHierarchy uniqueName="[Call_Custs_Data2].[Customer ID]" caption="Customer ID" attribute="1" defaultMemberUniqueName="[Call_Custs_Data2].[Customer ID].[All]" allUniqueName="[Call_Custs_Data2].[Customer ID].[All]" dimensionUniqueName="[Call_Custs_Data2]" displayFolder="" count="0" memberValueDatatype="130" unbalanced="0"/>
    <cacheHierarchy uniqueName="[Call_Custs_Data2].[Gedner]" caption="Gedner" attribute="1" defaultMemberUniqueName="[Call_Custs_Data2].[Gedner].[All]" allUniqueName="[Call_Custs_Data2].[Gedner].[All]" dimensionUniqueName="[Call_Custs_Data2]" displayFolder="" count="2" memberValueDatatype="130" unbalanced="0">
      <fieldsUsage count="2">
        <fieldUsage x="-1"/>
        <fieldUsage x="1"/>
      </fieldsUsage>
    </cacheHierarchy>
    <cacheHierarchy uniqueName="[Call_Custs_Data2].[Age]" caption="Age" attribute="1" defaultMemberUniqueName="[Call_Custs_Data2].[Age].[All]" allUniqueName="[Call_Custs_Data2].[Age].[All]" dimensionUniqueName="[Call_Custs_Data2]" displayFolder="" count="0" memberValueDatatype="20" unbalanced="0"/>
    <cacheHierarchy uniqueName="[Call_Custs_Data2].[City]" caption="City" attribute="1" defaultMemberUniqueName="[Call_Custs_Data2].[City].[All]" allUniqueName="[Call_Custs_Data2].[City].[All]" dimensionUniqueName="[Call_Custs_Data2]" displayFolder="" count="2" memberValueDatatype="130" unbalanced="0">
      <fieldsUsage count="2">
        <fieldUsage x="-1"/>
        <fieldUsage x="0"/>
      </fieldsUsage>
    </cacheHierarchy>
    <cacheHierarchy uniqueName="[Call_Table_Data].[Call number]" caption="Call number" attribute="1" defaultMemberUniqueName="[Call_Table_Data].[Call number].[All]" allUniqueName="[Call_Table_Data].[Call number].[All]" dimensionUniqueName="[Call_Table_Data]" displayFolder="" count="0" memberValueDatatype="130" unbalanced="0"/>
    <cacheHierarchy uniqueName="[Call_Table_Data].[Customer ID]" caption="Customer ID" attribute="1" defaultMemberUniqueName="[Call_Table_Data].[Customer ID].[All]" allUniqueName="[Call_Table_Data].[Customer ID].[All]" dimensionUniqueName="[Call_Table_Data]" displayFolder="" count="0" memberValueDatatype="130" unbalanced="0"/>
    <cacheHierarchy uniqueName="[Call_Table_Data].[Duration]" caption="Duration" attribute="1" defaultMemberUniqueName="[Call_Table_Data].[Duration].[All]" allUniqueName="[Call_Table_Data].[Duration].[All]" dimensionUniqueName="[Call_Table_Data]" displayFolder="" count="0" memberValueDatatype="20" unbalanced="0"/>
    <cacheHierarchy uniqueName="[Call_Table_Data].[Representative]" caption="Representative" attribute="1" defaultMemberUniqueName="[Call_Table_Data].[Representative].[All]" allUniqueName="[Call_Table_Data].[Representative].[All]" dimensionUniqueName="[Call_Table_Data]" displayFolder="" count="2" memberValueDatatype="130" unbalanced="0">
      <fieldsUsage count="2">
        <fieldUsage x="-1"/>
        <fieldUsage x="3"/>
      </fieldsUsage>
    </cacheHierarchy>
    <cacheHierarchy uniqueName="[Call_Table_Data].[Date of Call]" caption="Date of Call" attribute="1" time="1" defaultMemberUniqueName="[Call_Table_Data].[Date of Call].[All]" allUniqueName="[Call_Table_Data].[Date of Call].[All]" dimensionUniqueName="[Call_Table_Data]" displayFolder="" count="0" memberValueDatatype="7" unbalanced="0"/>
    <cacheHierarchy uniqueName="[Call_Table_Data].[Purchase Amount]" caption="Purchase Amount" attribute="1" defaultMemberUniqueName="[Call_Table_Data].[Purchase Amount].[All]" allUniqueName="[Call_Table_Data].[Purchase Amount].[All]" dimensionUniqueName="[Call_Table_Data]" displayFolder="" count="0" memberValueDatatype="20" unbalanced="0"/>
    <cacheHierarchy uniqueName="[Call_Table_Data].[Satisfaction Rating]" caption="Satisfaction Rating" attribute="1" defaultMemberUniqueName="[Call_Table_Data].[Satisfaction Rating].[All]" allUniqueName="[Call_Table_Data].[Satisfaction Rating].[All]" dimensionUniqueName="[Call_Table_Data]" displayFolder="" count="0" memberValueDatatype="5" unbalanced="0"/>
    <cacheHierarchy uniqueName="[Call_Table_Data].[Finacial Year]" caption="Finacial Year" attribute="1" defaultMemberUniqueName="[Call_Table_Data].[Finacial Year].[All]" allUniqueName="[Call_Table_Data].[Finacial Year].[All]" dimensionUniqueName="[Call_Table_Data]" displayFolder="" count="0" memberValueDatatype="20" unbalanced="0"/>
    <cacheHierarchy uniqueName="[Call_Table_Data].[Day of Week]" caption="Day of Week" attribute="1" defaultMemberUniqueName="[Call_Table_Data].[Day of Week].[All]" allUniqueName="[Call_Table_Data].[Day of Week].[All]" dimensionUniqueName="[Call_Table_Data]" displayFolder="" count="0" memberValueDatatype="130" unbalanced="0"/>
    <cacheHierarchy uniqueName="[Call_Table_Data].[Duration Bucket in Hours]" caption="Duration Bucket in Hours" attribute="1" defaultMemberUniqueName="[Call_Table_Data].[Duration Bucket in Hours].[All]" allUniqueName="[Call_Table_Data].[Duration Bucket in Hours].[All]" dimensionUniqueName="[Call_Table_Data]" displayFolder="" count="0" memberValueDatatype="130" unbalanced="0"/>
    <cacheHierarchy uniqueName="[Call_Table_Data].[Rating Rounded]" caption="Rating Rounded" attribute="1" defaultMemberUniqueName="[Call_Table_Data].[Rating Rounded].[All]" allUniqueName="[Call_Table_Data].[Rating Rounded].[All]" dimensionUniqueName="[Call_Table_Data]" displayFolder="" count="0" memberValueDatatype="20" unbalanced="0"/>
    <cacheHierarchy uniqueName="[Call_Table_Data].[Date of Call (Month)]" caption="Date of Call (Month)" attribute="1" defaultMemberUniqueName="[Call_Table_Data].[Date of Call (Month)].[All]" allUniqueName="[Call_Table_Data].[Date of Call (Month)].[All]" dimensionUniqueName="[Call_Table_Data]" displayFolder="" count="0" memberValueDatatype="130" unbalanced="0"/>
    <cacheHierarchy uniqueName="[Call_Table_Data].[Date of Call (Month Index)]" caption="Date of Call (Month Index)" attribute="1" defaultMemberUniqueName="[Call_Table_Data].[Date of Call (Month Index)].[All]" allUniqueName="[Call_Table_Data].[Date of Call (Month Index)].[All]" dimensionUniqueName="[Call_Table_Data]" displayFolder="" count="0" memberValueDatatype="20" unbalanced="0" hidden="1"/>
    <cacheHierarchy uniqueName="[Measures].[Total Call Count]" caption="Total Call Count" measure="1" displayFolder="" measureGroup="Call_Table_Data" count="0" oneField="1">
      <fieldsUsage count="1">
        <fieldUsage x="2"/>
      </fieldsUsage>
    </cacheHierarchy>
    <cacheHierarchy uniqueName="[Measures].[Total Amount]" caption="Total Amount" measure="1" displayFolder="" measureGroup="Call_Table_Data" count="0"/>
    <cacheHierarchy uniqueName="[Measures].[Total Duration]" caption="Total Duration" measure="1" displayFolder="" measureGroup="Call_Table_Data" count="0"/>
    <cacheHierarchy uniqueName="[Measures].[Average Rating ]" caption="Average Rating " measure="1" displayFolder="" measureGroup="Call_Table_Data" count="0"/>
    <cacheHierarchy uniqueName="[Measures].[5 Stared* Ratings]" caption="5 Stared* Ratings" measure="1" displayFolder="" measureGroup="Call_Table_Data" count="0"/>
    <cacheHierarchy uniqueName="[Measures].[Toital Caller count]" caption="Toital Caller count" measure="1" displayFolder="" measureGroup="Call_Table_Data" count="0"/>
    <cacheHierarchy uniqueName="[Measures].[__XL_Count Call_Table_Data]" caption="__XL_Count Call_Table_Data" measure="1" displayFolder="" measureGroup="Call_Table_Data" count="0" hidden="1"/>
    <cacheHierarchy uniqueName="[Measures].[__XL_Count Call_Custs_Data2]" caption="__XL_Count Call_Custs_Data2" measure="1" displayFolder="" measureGroup="Call_Custs_Data2" count="0" hidden="1"/>
    <cacheHierarchy uniqueName="[Measures].[__No measures defined]" caption="__No measures defined" measure="1" displayFolder="" count="0" hidden="1"/>
    <cacheHierarchy uniqueName="[Measures].[Sum of Purchase Amount]" caption="Sum of Purchase Amount" measure="1" displayFolder="" measureGroup="Call_Table_Data" count="0" hidden="1">
      <extLst>
        <ext xmlns:x15="http://schemas.microsoft.com/office/spreadsheetml/2010/11/main" uri="{B97F6D7D-B522-45F9-BDA1-12C45D357490}">
          <x15:cacheHierarchy aggregatedColumn="9"/>
        </ext>
      </extLst>
    </cacheHierarchy>
    <cacheHierarchy uniqueName="[Measures].[Count of Gedner]" caption="Count of Gedner" measure="1" displayFolder="" measureGroup="Call_Custs_Data2" count="0" hidden="1">
      <extLst>
        <ext xmlns:x15="http://schemas.microsoft.com/office/spreadsheetml/2010/11/main" uri="{B97F6D7D-B522-45F9-BDA1-12C45D357490}">
          <x15:cacheHierarchy aggregatedColumn="1"/>
        </ext>
      </extLst>
    </cacheHierarchy>
    <cacheHierarchy uniqueName="[Measures].[Sum of Duration]" caption="Sum of Duration" measure="1" displayFolder="" measureGroup="Call_Table_Data"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Call_Table_Data"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all_Custs_Data2" count="0" hidden="1">
      <extLst>
        <ext xmlns:x15="http://schemas.microsoft.com/office/spreadsheetml/2010/11/main" uri="{B97F6D7D-B522-45F9-BDA1-12C45D357490}">
          <x15:cacheHierarchy aggregatedColumn="3"/>
        </ext>
      </extLst>
    </cacheHierarchy>
  </cacheHierarchies>
  <kpis count="0"/>
  <dimensions count="3">
    <dimension name="Call_Custs_Data2" uniqueName="[Call_Custs_Data2]" caption="Call_Custs_Data2"/>
    <dimension name="Call_Table_Data" uniqueName="[Call_Table_Data]" caption="Call_Table_Data"/>
    <dimension measure="1" name="Measures" uniqueName="[Measures]" caption="Measures"/>
  </dimensions>
  <measureGroups count="2">
    <measureGroup name="Call_Custs_Data2" caption="Call_Custs_Data2"/>
    <measureGroup name="Call_Table_Data" caption="Call_Table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a Ranganathan Harikrishnan" refreshedDate="45822.849645717593" backgroundQuery="1" createdVersion="3" refreshedVersion="8" minRefreshableVersion="3" recordCount="0" supportSubquery="1" supportAdvancedDrill="1" xr:uid="{F2013245-E7A4-425A-B1E6-3502DF331261}">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_Custs_Data2].[Customer ID]" caption="Customer ID" attribute="1" defaultMemberUniqueName="[Call_Custs_Data2].[Customer ID].[All]" allUniqueName="[Call_Custs_Data2].[Customer ID].[All]" dimensionUniqueName="[Call_Custs_Data2]" displayFolder="" count="0" memberValueDatatype="130" unbalanced="0"/>
    <cacheHierarchy uniqueName="[Call_Custs_Data2].[Gedner]" caption="Gedner" attribute="1" defaultMemberUniqueName="[Call_Custs_Data2].[Gedner].[All]" allUniqueName="[Call_Custs_Data2].[Gedner].[All]" dimensionUniqueName="[Call_Custs_Data2]" displayFolder="" count="2" memberValueDatatype="130" unbalanced="0"/>
    <cacheHierarchy uniqueName="[Call_Custs_Data2].[Age]" caption="Age" attribute="1" defaultMemberUniqueName="[Call_Custs_Data2].[Age].[All]" allUniqueName="[Call_Custs_Data2].[Age].[All]" dimensionUniqueName="[Call_Custs_Data2]" displayFolder="" count="0" memberValueDatatype="20" unbalanced="0"/>
    <cacheHierarchy uniqueName="[Call_Custs_Data2].[City]" caption="City" attribute="1" defaultMemberUniqueName="[Call_Custs_Data2].[City].[All]" allUniqueName="[Call_Custs_Data2].[City].[All]" dimensionUniqueName="[Call_Custs_Data2]" displayFolder="" count="0" memberValueDatatype="130" unbalanced="0"/>
    <cacheHierarchy uniqueName="[Call_Table_Data].[Call number]" caption="Call number" attribute="1" defaultMemberUniqueName="[Call_Table_Data].[Call number].[All]" allUniqueName="[Call_Table_Data].[Call number].[All]" dimensionUniqueName="[Call_Table_Data]" displayFolder="" count="0" memberValueDatatype="130" unbalanced="0"/>
    <cacheHierarchy uniqueName="[Call_Table_Data].[Customer ID]" caption="Customer ID" attribute="1" defaultMemberUniqueName="[Call_Table_Data].[Customer ID].[All]" allUniqueName="[Call_Table_Data].[Customer ID].[All]" dimensionUniqueName="[Call_Table_Data]" displayFolder="" count="0" memberValueDatatype="130" unbalanced="0"/>
    <cacheHierarchy uniqueName="[Call_Table_Data].[Duration]" caption="Duration" attribute="1" defaultMemberUniqueName="[Call_Table_Data].[Duration].[All]" allUniqueName="[Call_Table_Data].[Duration].[All]" dimensionUniqueName="[Call_Table_Data]" displayFolder="" count="0" memberValueDatatype="20" unbalanced="0"/>
    <cacheHierarchy uniqueName="[Call_Table_Data].[Representative]" caption="Representative" attribute="1" defaultMemberUniqueName="[Call_Table_Data].[Representative].[All]" allUniqueName="[Call_Table_Data].[Representative].[All]" dimensionUniqueName="[Call_Table_Data]" displayFolder="" count="2" memberValueDatatype="130" unbalanced="0"/>
    <cacheHierarchy uniqueName="[Call_Table_Data].[Date of Call]" caption="Date of Call" attribute="1" time="1" defaultMemberUniqueName="[Call_Table_Data].[Date of Call].[All]" allUniqueName="[Call_Table_Data].[Date of Call].[All]" dimensionUniqueName="[Call_Table_Data]" displayFolder="" count="0" memberValueDatatype="7" unbalanced="0"/>
    <cacheHierarchy uniqueName="[Call_Table_Data].[Purchase Amount]" caption="Purchase Amount" attribute="1" defaultMemberUniqueName="[Call_Table_Data].[Purchase Amount].[All]" allUniqueName="[Call_Table_Data].[Purchase Amount].[All]" dimensionUniqueName="[Call_Table_Data]" displayFolder="" count="0" memberValueDatatype="20" unbalanced="0"/>
    <cacheHierarchy uniqueName="[Call_Table_Data].[Satisfaction Rating]" caption="Satisfaction Rating" attribute="1" defaultMemberUniqueName="[Call_Table_Data].[Satisfaction Rating].[All]" allUniqueName="[Call_Table_Data].[Satisfaction Rating].[All]" dimensionUniqueName="[Call_Table_Data]" displayFolder="" count="0" memberValueDatatype="5" unbalanced="0"/>
    <cacheHierarchy uniqueName="[Call_Table_Data].[Finacial Year]" caption="Finacial Year" attribute="1" defaultMemberUniqueName="[Call_Table_Data].[Finacial Year].[All]" allUniqueName="[Call_Table_Data].[Finacial Year].[All]" dimensionUniqueName="[Call_Table_Data]" displayFolder="" count="0" memberValueDatatype="20" unbalanced="0"/>
    <cacheHierarchy uniqueName="[Call_Table_Data].[Day of Week]" caption="Day of Week" attribute="1" defaultMemberUniqueName="[Call_Table_Data].[Day of Week].[All]" allUniqueName="[Call_Table_Data].[Day of Week].[All]" dimensionUniqueName="[Call_Table_Data]" displayFolder="" count="0" memberValueDatatype="130" unbalanced="0"/>
    <cacheHierarchy uniqueName="[Call_Table_Data].[Duration Bucket in Hours]" caption="Duration Bucket in Hours" attribute="1" defaultMemberUniqueName="[Call_Table_Data].[Duration Bucket in Hours].[All]" allUniqueName="[Call_Table_Data].[Duration Bucket in Hours].[All]" dimensionUniqueName="[Call_Table_Data]" displayFolder="" count="0" memberValueDatatype="130" unbalanced="0"/>
    <cacheHierarchy uniqueName="[Call_Table_Data].[Rating Rounded]" caption="Rating Rounded" attribute="1" defaultMemberUniqueName="[Call_Table_Data].[Rating Rounded].[All]" allUniqueName="[Call_Table_Data].[Rating Rounded].[All]" dimensionUniqueName="[Call_Table_Data]" displayFolder="" count="0" memberValueDatatype="20" unbalanced="0"/>
    <cacheHierarchy uniqueName="[Call_Table_Data].[Date of Call (Month)]" caption="Date of Call (Month)" attribute="1" defaultMemberUniqueName="[Call_Table_Data].[Date of Call (Month)].[All]" allUniqueName="[Call_Table_Data].[Date of Call (Month)].[All]" dimensionUniqueName="[Call_Table_Data]" displayFolder="" count="0" memberValueDatatype="130" unbalanced="0"/>
    <cacheHierarchy uniqueName="[Call_Table_Data].[Date of Call (Month Index)]" caption="Date of Call (Month Index)" attribute="1" defaultMemberUniqueName="[Call_Table_Data].[Date of Call (Month Index)].[All]" allUniqueName="[Call_Table_Data].[Date of Call (Month Index)].[All]" dimensionUniqueName="[Call_Table_Data]" displayFolder="" count="0" memberValueDatatype="20" unbalanced="0" hidden="1"/>
    <cacheHierarchy uniqueName="[Measures].[Total Call Count]" caption="Total Call Count" measure="1" displayFolder="" measureGroup="Call_Table_Data" count="0"/>
    <cacheHierarchy uniqueName="[Measures].[Total Amount]" caption="Total Amount" measure="1" displayFolder="" measureGroup="Call_Table_Data" count="0"/>
    <cacheHierarchy uniqueName="[Measures].[Total Duration]" caption="Total Duration" measure="1" displayFolder="" measureGroup="Call_Table_Data" count="0"/>
    <cacheHierarchy uniqueName="[Measures].[Average Rating ]" caption="Average Rating " measure="1" displayFolder="" measureGroup="Call_Table_Data" count="0"/>
    <cacheHierarchy uniqueName="[Measures].[5 Stared* Ratings]" caption="5 Stared* Ratings" measure="1" displayFolder="" measureGroup="Call_Table_Data" count="0"/>
    <cacheHierarchy uniqueName="[Measures].[__XL_Count Call_Table_Data]" caption="__XL_Count Call_Table_Data" measure="1" displayFolder="" measureGroup="Call_Table_Data" count="0" hidden="1"/>
    <cacheHierarchy uniqueName="[Measures].[__XL_Count Call_Custs_Data2]" caption="__XL_Count Call_Custs_Data2" measure="1" displayFolder="" measureGroup="Call_Custs_Data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210273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148587-F6F7-411A-88C1-AAF2B2710622}" name="Demo Grapics Pivot" cacheId="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8">
  <location ref="A72:D77" firstHeaderRow="1" firstDataRow="2" firstDataCol="1"/>
  <pivotFields count="4">
    <pivotField axis="axisRow" allDrilled="1" subtotalTop="0" showAll="0" defaultSubtotal="0" defaultAttributeDrillState="1">
      <items count="3">
        <item x="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14" format="0" series="1">
      <pivotArea type="data" outline="0" fieldPosition="0">
        <references count="2">
          <reference field="4294967294" count="1" selected="0">
            <x v="0"/>
          </reference>
          <reference field="1"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7" format="4" series="1">
      <pivotArea type="data" outline="0" fieldPosition="0">
        <references count="2">
          <reference field="4294967294" count="1" selected="0">
            <x v="0"/>
          </reference>
          <reference field="1" count="1" selected="0">
            <x v="0"/>
          </reference>
        </references>
      </pivotArea>
    </chartFormat>
    <chartFormat chart="17" format="5" series="1">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_Table_Data].[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Custs_Data2]"/>
        <x15:activeTabTopLevelEntity name="[Call_Tab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8E9BBA-7C60-4D82-83D3-78DB05F3F2E2}" name="REP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C63" firstHeaderRow="0"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Tab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D4091A-A784-4B07-B893-7459AB9457F7}" name="Montly PIVOT" cacheId="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7">
  <location ref="A22:C3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Total Call Count2" fld="4" subtotal="count" baseField="0" baseItem="0">
      <extLst>
        <ext xmlns:x14="http://schemas.microsoft.com/office/spreadsheetml/2009/9/main" uri="{E15A36E0-9728-4e99-A89B-3F7291B0FE68}">
          <x14:dataField sourceField="3" uniqueName="[__Xl2].[Measures].[Total Call Count]"/>
        </ext>
      </extLst>
    </dataField>
  </dataFields>
  <chartFormats count="5">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9"/>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_Table_Data].[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5"/>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 Project.xlsx!Call_Table_Data">
        <x15:activeTabTopLevelEntity name="[Call_Tab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4463C8-E0ED-465C-97A3-56B380463BC1}" name="Rep Amount Pivot" cacheId="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8">
  <location ref="A95:G114" firstHeaderRow="1" firstDataRow="2"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1"/>
    <field x="0"/>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2" subtotal="count" baseField="0" baseItem="0"/>
  </dataField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Table_Data]"/>
        <x15:activeTabTopLevelEntity name="[Call_Custs_Dat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FC2451-7E0C-4BF2-95F1-57EE77E129CA}" name="REP RATING PIVOT" cacheId="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A81:B8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ustomer ID" fld="0"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_Table_Data].[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Tab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7A328E-5115-4FF3-AC69-53CCE8572BB4}" name="PivotTable3" cacheId="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_Table_Data].[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 Project.xlsx!Call_Table_Data">
        <x15:activeTabTopLevelEntity name="[Call_Tab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4A825D-03D4-4D48-9312-316D78106E5D}" name="Select REP PIVOT" cacheId="7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5:A66" firstHeaderRow="1" firstDataRow="1" firstDataCol="1"/>
  <pivotFields count="1">
    <pivotField axis="axisRow" allDrilled="1" subtotalTop="0" showAll="0" defaultSubtotal="0" defaultAttributeDrillState="1">
      <items count="1">
        <item s="1" x="0"/>
      </items>
    </pivotField>
  </pivotFields>
  <rowFields count="1">
    <field x="0"/>
  </rowFields>
  <rowItems count="1">
    <i>
      <x/>
    </i>
  </rowItems>
  <formats count="1">
    <format dxfId="5">
      <pivotArea dataOnly="0" labelOnly="1" fieldPosition="0">
        <references count="1">
          <reference field="0" count="0"/>
        </references>
      </pivotArea>
    </format>
  </format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Tab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4200E9-9302-47E1-91BA-F0CA11832FF3}" name="Weekly Pivot"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8">
  <location ref="A39:B47"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1">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0" count="1" selected="0">
            <x v="0"/>
          </reference>
        </references>
      </pivotArea>
    </chartFormat>
    <chartFormat chart="26" format="4">
      <pivotArea type="data" outline="0" fieldPosition="0">
        <references count="2">
          <reference field="4294967294" count="1" selected="0">
            <x v="0"/>
          </reference>
          <reference field="0" count="1" selected="0">
            <x v="1"/>
          </reference>
        </references>
      </pivotArea>
    </chartFormat>
    <chartFormat chart="26" format="5">
      <pivotArea type="data" outline="0" fieldPosition="0">
        <references count="2">
          <reference field="4294967294" count="1" selected="0">
            <x v="0"/>
          </reference>
          <reference field="0" count="1" selected="0">
            <x v="2"/>
          </reference>
        </references>
      </pivotArea>
    </chartFormat>
    <chartFormat chart="26" format="6">
      <pivotArea type="data" outline="0" fieldPosition="0">
        <references count="2">
          <reference field="4294967294" count="1" selected="0">
            <x v="0"/>
          </reference>
          <reference field="0" count="1" selected="0">
            <x v="3"/>
          </reference>
        </references>
      </pivotArea>
    </chartFormat>
    <chartFormat chart="26" format="7">
      <pivotArea type="data" outline="0" fieldPosition="0">
        <references count="2">
          <reference field="4294967294" count="1" selected="0">
            <x v="0"/>
          </reference>
          <reference field="0" count="1" selected="0">
            <x v="4"/>
          </reference>
        </references>
      </pivotArea>
    </chartFormat>
    <chartFormat chart="26" format="8">
      <pivotArea type="data" outline="0" fieldPosition="0">
        <references count="2">
          <reference field="4294967294" count="1" selected="0">
            <x v="0"/>
          </reference>
          <reference field="0" count="1" selected="0">
            <x v="5"/>
          </reference>
        </references>
      </pivotArea>
    </chartFormat>
    <chartFormat chart="26" format="9">
      <pivotArea type="data" outline="0" fieldPosition="0">
        <references count="2">
          <reference field="4294967294" count="1" selected="0">
            <x v="0"/>
          </reference>
          <reference field="0" count="1" selected="0">
            <x v="6"/>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_Table_Data].[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 Project.xlsx!Call_Table_Data">
        <x15:activeTabTopLevelEntity name="[Call_Tab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B8700C-24BD-45F5-AEB9-6B5D79F7393B}" name="PIVOT_CALL_TABLE"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_Table_Data].[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 Project.xlsx!Call_Table_Data">
        <x15:activeTabTopLevelEntity name="[Call_Table_Data]"/>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 s="0">
    <v>3</v>
    <v>4</v>
    <v>Young businessman writing on notebook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414BD63-417A-4BFE-9FD7-AD413890656F}" sourceName="[Call_Table_Data].[Representative]">
  <pivotTables>
    <pivotTable tabId="4" name="PivotTable3"/>
    <pivotTable tabId="4" name="Montly PIVOT"/>
    <pivotTable tabId="4" name="Weekly Pivot"/>
    <pivotTable tabId="4" name="Select REP PIVOT"/>
    <pivotTable tabId="4" name="REP RATING PIVOT"/>
    <pivotTable tabId="4" name="Demo Grapics Pivot"/>
  </pivotTables>
  <data>
    <olap pivotCacheId="1721027301">
      <levels count="2">
        <level uniqueName="[Call_Table_Data].[Representative].[(All)]" sourceCaption="(All)" count="0"/>
        <level uniqueName="[Call_Table_Data].[Representative].[Representative]" sourceCaption="Representative" count="5">
          <ranges>
            <range startItem="0">
              <i n="[Call_Table_Data].[Representative].&amp;[R01]" c="R01"/>
              <i n="[Call_Table_Data].[Representative].&amp;[R02]" c="R02"/>
              <i n="[Call_Table_Data].[Representative].&amp;[R03]" c="R03"/>
              <i n="[Call_Table_Data].[Representative].&amp;[R04]" c="R04"/>
              <i n="[Call_Table_Data].[Representative].&amp;[R05]" c="R05"/>
            </range>
          </ranges>
        </level>
      </levels>
      <selections count="1">
        <selection n="[Call_Table_Data].[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29D94B3-38F4-4862-A87D-44DE2EA4913F}"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50564157-91BC-4F6D-8B31-DD0608D97E1D}" cache="Slicer_Representative" caption="Representative" level="1" style="SlicerStyleDark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23534A-89A8-49A3-B843-9FF21004E030}" name="Call_Table_Data" displayName="Call_Table_Data" ref="A2:K1002" totalsRowShown="0" headerRowDxfId="38" dataDxfId="36" headerRowBorderDxfId="37" tableBorderDxfId="35" totalsRowBorderDxfId="34">
  <autoFilter ref="A2:K1002" xr:uid="{9D23534A-89A8-49A3-B843-9FF21004E030}"/>
  <tableColumns count="11">
    <tableColumn id="1" xr3:uid="{A9D6A3CE-B23C-4E60-9B68-606FDDF03189}" name="Call number" dataDxfId="33" totalsRowDxfId="32"/>
    <tableColumn id="2" xr3:uid="{C5232309-BF5D-4F27-B121-EF745E8F5940}" name="Customer ID" dataDxfId="31" totalsRowDxfId="30"/>
    <tableColumn id="3" xr3:uid="{DCDCD25B-964E-4FFB-B7B8-944B28DA6245}" name="Duration" dataDxfId="29" totalsRowDxfId="28"/>
    <tableColumn id="4" xr3:uid="{CDA9B46B-599A-4034-A8CD-2FB15E21DC14}" name="Representative" dataDxfId="27" totalsRowDxfId="26"/>
    <tableColumn id="5" xr3:uid="{213F1C35-A92E-4CC1-85FB-280515E8EFD3}" name="Date of Call" dataDxfId="25" totalsRowDxfId="24"/>
    <tableColumn id="6" xr3:uid="{62951753-A93C-40E6-9E7B-31B674371E61}" name="Purchase Amount" dataDxfId="23" totalsRowDxfId="22"/>
    <tableColumn id="7" xr3:uid="{22B5749C-3EED-46D7-BAE3-945307F0CE1E}" name="Satisfaction Rating" dataDxfId="21" totalsRowDxfId="20"/>
    <tableColumn id="8" xr3:uid="{A2FED538-2A1A-4773-BB4A-56A92084315E}" name="Finacial Year" dataDxfId="19" totalsRowDxfId="18">
      <calculatedColumnFormula>IF(MONTH(Call_Table_Data[[#This Row],[Date of Call]])&lt;=3,YEAR(Call_Table_Data[[#This Row],[Date of Call]]),YEAR(Call_Table_Data[[#This Row],[Date of Call]])+1)</calculatedColumnFormula>
    </tableColumn>
    <tableColumn id="9" xr3:uid="{F7716D19-575A-429B-A3D2-97421A51FBD4}" name="Day of Week" dataDxfId="17">
      <calculatedColumnFormula>TEXT(Call_Table_Data[[#This Row],[Date of Call]],"DDDD")</calculatedColumnFormula>
    </tableColumn>
    <tableColumn id="10" xr3:uid="{4C5DED5C-9A9E-4CD5-8F14-B5008B429018}" name="Duration Bucket in Hours" dataDxfId="16">
      <calculatedColumnFormula array="1">_xlfn.IFS(Call_Table_Data[[#This Row],[Duration]]&lt;=10,"Under 10 Mins",Call_Table_Data[[#This Row],[Duration]]&lt;=30,"10 to 30 Mins",Call_Table_Data[[#This Row],[Duration]]&lt;=60,"30 to 60 Mins",Call_Table_Data[[#This Row],[Duration]]&lt;=120,"1 to 2 Hours",TRUE,"More Than 2 Hours")</calculatedColumnFormula>
    </tableColumn>
    <tableColumn id="11" xr3:uid="{2745A6C1-C855-4E0F-B9B7-A06870E503E4}" name="Rating Rounded" dataDxfId="15">
      <calculatedColumnFormula>ROUND(Call_Table_Data[[#This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6B17CD-3174-42D0-A87A-D128AC6E4812}" name="Call_Custs_Data2" displayName="Call_Custs_Data2" ref="N2:Q17" totalsRowShown="0" headerRowDxfId="14" dataDxfId="12" headerRowBorderDxfId="13" tableBorderDxfId="11" totalsRowBorderDxfId="10">
  <autoFilter ref="N2:Q17" xr:uid="{016B17CD-3174-42D0-A87A-D128AC6E4812}"/>
  <tableColumns count="4">
    <tableColumn id="1" xr3:uid="{52F40249-39EA-4803-8BC4-0F8C7EDAFB1D}" name="Customer ID" dataDxfId="9"/>
    <tableColumn id="2" xr3:uid="{C623E757-6E3D-4097-8A2C-1A16971AB097}" name="Gedner" dataDxfId="8"/>
    <tableColumn id="3" xr3:uid="{C68CF43A-1B9E-456B-BACA-B6E050C27C05}" name="Age" dataDxfId="7"/>
    <tableColumn id="4" xr3:uid="{8394FC8A-B9A2-4F43-9147-F4DF4EB339E8}" name="City"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2"/>
  <sheetViews>
    <sheetView workbookViewId="0">
      <selection activeCell="A3" sqref="A3"/>
    </sheetView>
  </sheetViews>
  <sheetFormatPr defaultRowHeight="14.2" x14ac:dyDescent="0.3"/>
  <cols>
    <col min="1" max="1" width="13.3984375" bestFit="1" customWidth="1"/>
    <col min="2" max="2" width="13.5" bestFit="1" customWidth="1"/>
    <col min="3" max="3" width="10.5" bestFit="1" customWidth="1"/>
    <col min="4" max="4" width="15.8984375" customWidth="1"/>
    <col min="5" max="5" width="12.796875" bestFit="1" customWidth="1"/>
    <col min="6" max="6" width="18.3984375" bestFit="1" customWidth="1"/>
    <col min="7" max="7" width="18.8984375" customWidth="1"/>
    <col min="8" max="8" width="13.5" bestFit="1" customWidth="1"/>
    <col min="9" max="9" width="13.8984375" bestFit="1" customWidth="1"/>
    <col min="10" max="10" width="24.5" bestFit="1" customWidth="1"/>
    <col min="11" max="11" width="16.796875" bestFit="1" customWidth="1"/>
    <col min="12" max="12" width="9.09765625" customWidth="1"/>
    <col min="14" max="14" width="13.5" bestFit="1" customWidth="1"/>
    <col min="15" max="15" width="9.3984375" customWidth="1"/>
    <col min="16" max="16" width="6.5" bestFit="1" customWidth="1"/>
    <col min="17" max="17" width="9" bestFit="1" customWidth="1"/>
    <col min="27" max="27" width="52.5" customWidth="1"/>
    <col min="28" max="28" width="69.796875" bestFit="1" customWidth="1"/>
    <col min="29" max="29" width="32.3984375" bestFit="1" customWidth="1"/>
  </cols>
  <sheetData>
    <row r="1" spans="1:17" ht="29.35" customHeight="1" x14ac:dyDescent="0.3">
      <c r="A1" s="57" t="s">
        <v>0</v>
      </c>
      <c r="B1" s="57"/>
      <c r="C1" s="57"/>
      <c r="D1" s="57"/>
      <c r="E1" s="57"/>
      <c r="F1" s="57"/>
      <c r="G1" s="57"/>
      <c r="H1" s="57"/>
      <c r="I1" s="57"/>
      <c r="J1" s="57"/>
      <c r="K1" s="57"/>
    </row>
    <row r="2" spans="1:17" x14ac:dyDescent="0.3">
      <c r="A2" s="2" t="s">
        <v>1</v>
      </c>
      <c r="B2" s="3" t="s">
        <v>2</v>
      </c>
      <c r="C2" s="3" t="s">
        <v>3</v>
      </c>
      <c r="D2" s="3" t="s">
        <v>4</v>
      </c>
      <c r="E2" s="3" t="s">
        <v>5</v>
      </c>
      <c r="F2" s="3" t="s">
        <v>6</v>
      </c>
      <c r="G2" s="4" t="s">
        <v>7</v>
      </c>
      <c r="H2" s="5" t="s">
        <v>8</v>
      </c>
      <c r="I2" s="5" t="s">
        <v>9</v>
      </c>
      <c r="J2" s="5" t="s">
        <v>10</v>
      </c>
      <c r="K2" s="5" t="s">
        <v>11</v>
      </c>
      <c r="N2" s="6" t="s">
        <v>2</v>
      </c>
      <c r="O2" s="7" t="s">
        <v>12</v>
      </c>
      <c r="P2" s="7" t="s">
        <v>13</v>
      </c>
      <c r="Q2" s="8" t="s">
        <v>14</v>
      </c>
    </row>
    <row r="3" spans="1:17" x14ac:dyDescent="0.3">
      <c r="A3" s="9" t="s">
        <v>15</v>
      </c>
      <c r="B3" s="9" t="s">
        <v>16</v>
      </c>
      <c r="C3" s="9">
        <v>116</v>
      </c>
      <c r="D3" s="10" t="s">
        <v>17</v>
      </c>
      <c r="E3" s="11">
        <v>44927</v>
      </c>
      <c r="F3" s="9">
        <v>128</v>
      </c>
      <c r="G3" s="9">
        <v>4.9000000000000004</v>
      </c>
      <c r="H3" s="9">
        <f>IF(MONTH(Call_Table_Data[[#This Row],[Date of Call]])&lt;=3,YEAR(Call_Table_Data[[#This Row],[Date of Call]]),YEAR(Call_Table_Data[[#This Row],[Date of Call]])+1)</f>
        <v>2023</v>
      </c>
      <c r="I3" s="9" t="str">
        <f>TEXT(Call_Table_Data[[#This Row],[Date of Call]],"DDDD")</f>
        <v>Sunday</v>
      </c>
      <c r="J3" s="9" t="str" cm="1">
        <f t="array" ref="J3">_xlfn.IFS(Call_Table_Data[[#This Row],[Duration]]&lt;=10,"Under 10 Mins",Call_Table_Data[[#This Row],[Duration]]&lt;=30,"10 to 30 Mins",Call_Table_Data[[#This Row],[Duration]]&lt;=60,"30 to 60 Mins",Call_Table_Data[[#This Row],[Duration]]&lt;=120,"1 to 2 Hours",TRUE,"More Than 2 Hours")</f>
        <v>1 to 2 Hours</v>
      </c>
      <c r="K3" s="9">
        <f>ROUND(Call_Table_Data[[#This Row],[Satisfaction Rating]],0)</f>
        <v>5</v>
      </c>
      <c r="N3" s="12" t="s">
        <v>18</v>
      </c>
      <c r="O3" s="13" t="s">
        <v>19</v>
      </c>
      <c r="P3" s="9">
        <v>41</v>
      </c>
      <c r="Q3" s="14" t="s">
        <v>20</v>
      </c>
    </row>
    <row r="4" spans="1:17" x14ac:dyDescent="0.3">
      <c r="A4" s="9" t="s">
        <v>21</v>
      </c>
      <c r="B4" s="9" t="s">
        <v>22</v>
      </c>
      <c r="C4" s="9">
        <v>119</v>
      </c>
      <c r="D4" s="10" t="s">
        <v>17</v>
      </c>
      <c r="E4" s="11">
        <v>44927</v>
      </c>
      <c r="F4" s="9">
        <v>135</v>
      </c>
      <c r="G4" s="9">
        <v>2.9</v>
      </c>
      <c r="H4" s="9">
        <f>IF(MONTH(Call_Table_Data[[#This Row],[Date of Call]])&lt;=3,YEAR(Call_Table_Data[[#This Row],[Date of Call]]),YEAR(Call_Table_Data[[#This Row],[Date of Call]])+1)</f>
        <v>2023</v>
      </c>
      <c r="I4" s="9" t="str">
        <f>TEXT(Call_Table_Data[[#This Row],[Date of Call]],"DDDD")</f>
        <v>Sunday</v>
      </c>
      <c r="J4" s="9" t="str" cm="1">
        <f t="array" ref="J4">_xlfn.IFS(Call_Table_Data[[#This Row],[Duration]]&lt;=10,"Under 10 Mins",Call_Table_Data[[#This Row],[Duration]]&lt;=30,"10 to 30 Mins",Call_Table_Data[[#This Row],[Duration]]&lt;=60,"30 to 60 Mins",Call_Table_Data[[#This Row],[Duration]]&lt;=120,"1 to 2 Hours",TRUE,"More Than 2 Hours")</f>
        <v>1 to 2 Hours</v>
      </c>
      <c r="K4" s="9">
        <f>ROUND(Call_Table_Data[[#This Row],[Satisfaction Rating]],0)</f>
        <v>3</v>
      </c>
      <c r="N4" s="12" t="s">
        <v>23</v>
      </c>
      <c r="O4" s="13" t="s">
        <v>19</v>
      </c>
      <c r="P4" s="9">
        <v>31</v>
      </c>
      <c r="Q4" s="14" t="s">
        <v>24</v>
      </c>
    </row>
    <row r="5" spans="1:17" x14ac:dyDescent="0.3">
      <c r="A5" s="9" t="s">
        <v>25</v>
      </c>
      <c r="B5" s="9" t="s">
        <v>26</v>
      </c>
      <c r="C5" s="9">
        <v>68</v>
      </c>
      <c r="D5" s="10" t="s">
        <v>27</v>
      </c>
      <c r="E5" s="11">
        <v>44927</v>
      </c>
      <c r="F5" s="9">
        <v>66</v>
      </c>
      <c r="G5" s="9">
        <v>4.7</v>
      </c>
      <c r="H5" s="9">
        <f>IF(MONTH(Call_Table_Data[[#This Row],[Date of Call]])&lt;=3,YEAR(Call_Table_Data[[#This Row],[Date of Call]]),YEAR(Call_Table_Data[[#This Row],[Date of Call]])+1)</f>
        <v>2023</v>
      </c>
      <c r="I5" s="9" t="str">
        <f>TEXT(Call_Table_Data[[#This Row],[Date of Call]],"DDDD")</f>
        <v>Sunday</v>
      </c>
      <c r="J5" s="9" t="str" cm="1">
        <f t="array" ref="J5">_xlfn.IFS(Call_Table_Data[[#This Row],[Duration]]&lt;=10,"Under 10 Mins",Call_Table_Data[[#This Row],[Duration]]&lt;=30,"10 to 30 Mins",Call_Table_Data[[#This Row],[Duration]]&lt;=60,"30 to 60 Mins",Call_Table_Data[[#This Row],[Duration]]&lt;=120,"1 to 2 Hours",TRUE,"More Than 2 Hours")</f>
        <v>1 to 2 Hours</v>
      </c>
      <c r="K5" s="9">
        <f>ROUND(Call_Table_Data[[#This Row],[Satisfaction Rating]],0)</f>
        <v>5</v>
      </c>
      <c r="N5" s="12" t="s">
        <v>16</v>
      </c>
      <c r="O5" s="13" t="s">
        <v>19</v>
      </c>
      <c r="P5" s="9">
        <v>26</v>
      </c>
      <c r="Q5" s="14" t="s">
        <v>28</v>
      </c>
    </row>
    <row r="6" spans="1:17" x14ac:dyDescent="0.3">
      <c r="A6" s="9" t="s">
        <v>29</v>
      </c>
      <c r="B6" s="9" t="s">
        <v>30</v>
      </c>
      <c r="C6" s="9">
        <v>119</v>
      </c>
      <c r="D6" s="10" t="s">
        <v>27</v>
      </c>
      <c r="E6" s="11">
        <v>44927</v>
      </c>
      <c r="F6" s="9">
        <v>22</v>
      </c>
      <c r="G6" s="9">
        <v>2.9</v>
      </c>
      <c r="H6" s="9">
        <f>IF(MONTH(Call_Table_Data[[#This Row],[Date of Call]])&lt;=3,YEAR(Call_Table_Data[[#This Row],[Date of Call]]),YEAR(Call_Table_Data[[#This Row],[Date of Call]])+1)</f>
        <v>2023</v>
      </c>
      <c r="I6" s="9" t="str">
        <f>TEXT(Call_Table_Data[[#This Row],[Date of Call]],"DDDD")</f>
        <v>Sunday</v>
      </c>
      <c r="J6" s="9" t="str" cm="1">
        <f t="array" ref="J6">_xlfn.IFS(Call_Table_Data[[#This Row],[Duration]]&lt;=10,"Under 10 Mins",Call_Table_Data[[#This Row],[Duration]]&lt;=30,"10 to 30 Mins",Call_Table_Data[[#This Row],[Duration]]&lt;=60,"30 to 60 Mins",Call_Table_Data[[#This Row],[Duration]]&lt;=120,"1 to 2 Hours",TRUE,"More Than 2 Hours")</f>
        <v>1 to 2 Hours</v>
      </c>
      <c r="K6" s="9">
        <f>ROUND(Call_Table_Data[[#This Row],[Satisfaction Rating]],0)</f>
        <v>3</v>
      </c>
      <c r="N6" s="12" t="s">
        <v>22</v>
      </c>
      <c r="O6" s="13" t="s">
        <v>19</v>
      </c>
      <c r="P6" s="9">
        <v>36</v>
      </c>
      <c r="Q6" s="14" t="s">
        <v>28</v>
      </c>
    </row>
    <row r="7" spans="1:17" x14ac:dyDescent="0.3">
      <c r="A7" s="15" t="s">
        <v>31</v>
      </c>
      <c r="B7" s="9" t="s">
        <v>32</v>
      </c>
      <c r="C7" s="9">
        <v>128</v>
      </c>
      <c r="D7" s="10" t="s">
        <v>33</v>
      </c>
      <c r="E7" s="11">
        <v>44928</v>
      </c>
      <c r="F7" s="9">
        <v>31</v>
      </c>
      <c r="G7" s="9">
        <v>2.8</v>
      </c>
      <c r="H7" s="9">
        <f>IF(MONTH(Call_Table_Data[[#This Row],[Date of Call]])&lt;=3,YEAR(Call_Table_Data[[#This Row],[Date of Call]]),YEAR(Call_Table_Data[[#This Row],[Date of Call]])+1)</f>
        <v>2023</v>
      </c>
      <c r="I7" s="9" t="str">
        <f>TEXT(Call_Table_Data[[#This Row],[Date of Call]],"DDDD")</f>
        <v>Monday</v>
      </c>
      <c r="J7" s="9" t="str" cm="1">
        <f t="array" ref="J7">_xlfn.IFS(Call_Table_Data[[#This Row],[Duration]]&lt;=10,"Under 10 Mins",Call_Table_Data[[#This Row],[Duration]]&lt;=30,"10 to 30 Mins",Call_Table_Data[[#This Row],[Duration]]&lt;=60,"30 to 60 Mins",Call_Table_Data[[#This Row],[Duration]]&lt;=120,"1 to 2 Hours",TRUE,"More Than 2 Hours")</f>
        <v>More Than 2 Hours</v>
      </c>
      <c r="K7" s="9">
        <f>ROUND(Call_Table_Data[[#This Row],[Satisfaction Rating]],0)</f>
        <v>3</v>
      </c>
      <c r="N7" s="12" t="s">
        <v>26</v>
      </c>
      <c r="O7" s="13" t="s">
        <v>19</v>
      </c>
      <c r="P7" s="9">
        <v>37</v>
      </c>
      <c r="Q7" s="14" t="s">
        <v>20</v>
      </c>
    </row>
    <row r="8" spans="1:17" x14ac:dyDescent="0.3">
      <c r="A8" s="9" t="s">
        <v>34</v>
      </c>
      <c r="B8" s="9" t="s">
        <v>32</v>
      </c>
      <c r="C8" s="9">
        <v>49</v>
      </c>
      <c r="D8" s="10" t="s">
        <v>27</v>
      </c>
      <c r="E8" s="11">
        <v>44929</v>
      </c>
      <c r="F8" s="9">
        <v>135</v>
      </c>
      <c r="G8" s="9">
        <v>4.8</v>
      </c>
      <c r="H8" s="9">
        <f>IF(MONTH(Call_Table_Data[[#This Row],[Date of Call]])&lt;=3,YEAR(Call_Table_Data[[#This Row],[Date of Call]]),YEAR(Call_Table_Data[[#This Row],[Date of Call]])+1)</f>
        <v>2023</v>
      </c>
      <c r="I8" s="9" t="str">
        <f>TEXT(Call_Table_Data[[#This Row],[Date of Call]],"DDDD")</f>
        <v>Tuesday</v>
      </c>
      <c r="J8" s="9" t="str" cm="1">
        <f t="array" ref="J8">_xlfn.IFS(Call_Table_Data[[#This Row],[Duration]]&lt;=10,"Under 10 Mins",Call_Table_Data[[#This Row],[Duration]]&lt;=30,"10 to 30 Mins",Call_Table_Data[[#This Row],[Duration]]&lt;=60,"30 to 60 Mins",Call_Table_Data[[#This Row],[Duration]]&lt;=120,"1 to 2 Hours",TRUE,"More Than 2 Hours")</f>
        <v>30 to 60 Mins</v>
      </c>
      <c r="K8" s="9">
        <f>ROUND(Call_Table_Data[[#This Row],[Satisfaction Rating]],0)</f>
        <v>5</v>
      </c>
      <c r="N8" s="12" t="s">
        <v>35</v>
      </c>
      <c r="O8" s="13" t="s">
        <v>19</v>
      </c>
      <c r="P8" s="9">
        <v>23</v>
      </c>
      <c r="Q8" s="14" t="s">
        <v>20</v>
      </c>
    </row>
    <row r="9" spans="1:17" x14ac:dyDescent="0.3">
      <c r="A9" s="9" t="s">
        <v>36</v>
      </c>
      <c r="B9" s="9" t="s">
        <v>37</v>
      </c>
      <c r="C9" s="9">
        <v>84</v>
      </c>
      <c r="D9" s="10" t="s">
        <v>17</v>
      </c>
      <c r="E9" s="11">
        <v>44929</v>
      </c>
      <c r="F9" s="9">
        <v>60</v>
      </c>
      <c r="G9" s="9">
        <v>4.7</v>
      </c>
      <c r="H9" s="9">
        <f>IF(MONTH(Call_Table_Data[[#This Row],[Date of Call]])&lt;=3,YEAR(Call_Table_Data[[#This Row],[Date of Call]]),YEAR(Call_Table_Data[[#This Row],[Date of Call]])+1)</f>
        <v>2023</v>
      </c>
      <c r="I9" s="9" t="str">
        <f>TEXT(Call_Table_Data[[#This Row],[Date of Call]],"DDDD")</f>
        <v>Tuesday</v>
      </c>
      <c r="J9" s="9" t="str" cm="1">
        <f t="array" ref="J9">_xlfn.IFS(Call_Table_Data[[#This Row],[Duration]]&lt;=10,"Under 10 Mins",Call_Table_Data[[#This Row],[Duration]]&lt;=30,"10 to 30 Mins",Call_Table_Data[[#This Row],[Duration]]&lt;=60,"30 to 60 Mins",Call_Table_Data[[#This Row],[Duration]]&lt;=120,"1 to 2 Hours",TRUE,"More Than 2 Hours")</f>
        <v>1 to 2 Hours</v>
      </c>
      <c r="K9" s="9">
        <f>ROUND(Call_Table_Data[[#This Row],[Satisfaction Rating]],0)</f>
        <v>5</v>
      </c>
      <c r="N9" s="12" t="s">
        <v>37</v>
      </c>
      <c r="O9" s="13" t="s">
        <v>38</v>
      </c>
      <c r="P9" s="9">
        <v>22</v>
      </c>
      <c r="Q9" s="14" t="s">
        <v>24</v>
      </c>
    </row>
    <row r="10" spans="1:17" x14ac:dyDescent="0.3">
      <c r="A10" s="9" t="s">
        <v>39</v>
      </c>
      <c r="B10" s="9" t="s">
        <v>16</v>
      </c>
      <c r="C10" s="9">
        <v>103</v>
      </c>
      <c r="D10" s="10" t="s">
        <v>40</v>
      </c>
      <c r="E10" s="11">
        <v>44929</v>
      </c>
      <c r="F10" s="9">
        <v>148</v>
      </c>
      <c r="G10" s="9">
        <v>4.4000000000000004</v>
      </c>
      <c r="H10" s="9">
        <f>IF(MONTH(Call_Table_Data[[#This Row],[Date of Call]])&lt;=3,YEAR(Call_Table_Data[[#This Row],[Date of Call]]),YEAR(Call_Table_Data[[#This Row],[Date of Call]])+1)</f>
        <v>2023</v>
      </c>
      <c r="I10" s="9" t="str">
        <f>TEXT(Call_Table_Data[[#This Row],[Date of Call]],"DDDD")</f>
        <v>Tuesday</v>
      </c>
      <c r="J10" s="9" t="str" cm="1">
        <f t="array" ref="J10">_xlfn.IFS(Call_Table_Data[[#This Row],[Duration]]&lt;=10,"Under 10 Mins",Call_Table_Data[[#This Row],[Duration]]&lt;=30,"10 to 30 Mins",Call_Table_Data[[#This Row],[Duration]]&lt;=60,"30 to 60 Mins",Call_Table_Data[[#This Row],[Duration]]&lt;=120,"1 to 2 Hours",TRUE,"More Than 2 Hours")</f>
        <v>1 to 2 Hours</v>
      </c>
      <c r="K10" s="9">
        <f>ROUND(Call_Table_Data[[#This Row],[Satisfaction Rating]],0)</f>
        <v>4</v>
      </c>
      <c r="N10" s="12" t="s">
        <v>41</v>
      </c>
      <c r="O10" s="13" t="s">
        <v>38</v>
      </c>
      <c r="P10" s="9">
        <v>42</v>
      </c>
      <c r="Q10" s="14" t="s">
        <v>24</v>
      </c>
    </row>
    <row r="11" spans="1:17" x14ac:dyDescent="0.3">
      <c r="A11" s="9" t="s">
        <v>42</v>
      </c>
      <c r="B11" s="9" t="s">
        <v>26</v>
      </c>
      <c r="C11" s="9">
        <v>31</v>
      </c>
      <c r="D11" s="10" t="s">
        <v>27</v>
      </c>
      <c r="E11" s="11">
        <v>44929</v>
      </c>
      <c r="F11" s="9">
        <v>135</v>
      </c>
      <c r="G11" s="9">
        <v>3.6</v>
      </c>
      <c r="H11" s="9">
        <f>IF(MONTH(Call_Table_Data[[#This Row],[Date of Call]])&lt;=3,YEAR(Call_Table_Data[[#This Row],[Date of Call]]),YEAR(Call_Table_Data[[#This Row],[Date of Call]])+1)</f>
        <v>2023</v>
      </c>
      <c r="I11" s="9" t="str">
        <f>TEXT(Call_Table_Data[[#This Row],[Date of Call]],"DDDD")</f>
        <v>Tuesday</v>
      </c>
      <c r="J11" s="9" t="str" cm="1">
        <f t="array" ref="J11">_xlfn.IFS(Call_Table_Data[[#This Row],[Duration]]&lt;=10,"Under 10 Mins",Call_Table_Data[[#This Row],[Duration]]&lt;=30,"10 to 30 Mins",Call_Table_Data[[#This Row],[Duration]]&lt;=60,"30 to 60 Mins",Call_Table_Data[[#This Row],[Duration]]&lt;=120,"1 to 2 Hours",TRUE,"More Than 2 Hours")</f>
        <v>30 to 60 Mins</v>
      </c>
      <c r="K11" s="9">
        <f>ROUND(Call_Table_Data[[#This Row],[Satisfaction Rating]],0)</f>
        <v>4</v>
      </c>
      <c r="N11" s="12" t="s">
        <v>43</v>
      </c>
      <c r="O11" s="13" t="s">
        <v>38</v>
      </c>
      <c r="P11" s="9">
        <v>25</v>
      </c>
      <c r="Q11" s="14" t="s">
        <v>20</v>
      </c>
    </row>
    <row r="12" spans="1:17" x14ac:dyDescent="0.3">
      <c r="A12" s="9" t="s">
        <v>44</v>
      </c>
      <c r="B12" s="9" t="s">
        <v>45</v>
      </c>
      <c r="C12" s="9">
        <v>44</v>
      </c>
      <c r="D12" s="10" t="s">
        <v>46</v>
      </c>
      <c r="E12" s="11">
        <v>44929</v>
      </c>
      <c r="F12" s="9">
        <v>105</v>
      </c>
      <c r="G12" s="9">
        <v>2.9</v>
      </c>
      <c r="H12" s="9">
        <f>IF(MONTH(Call_Table_Data[[#This Row],[Date of Call]])&lt;=3,YEAR(Call_Table_Data[[#This Row],[Date of Call]]),YEAR(Call_Table_Data[[#This Row],[Date of Call]])+1)</f>
        <v>2023</v>
      </c>
      <c r="I12" s="9" t="str">
        <f>TEXT(Call_Table_Data[[#This Row],[Date of Call]],"DDDD")</f>
        <v>Tuesday</v>
      </c>
      <c r="J12" s="9" t="str" cm="1">
        <f t="array" ref="J12">_xlfn.IFS(Call_Table_Data[[#This Row],[Duration]]&lt;=10,"Under 10 Mins",Call_Table_Data[[#This Row],[Duration]]&lt;=30,"10 to 30 Mins",Call_Table_Data[[#This Row],[Duration]]&lt;=60,"30 to 60 Mins",Call_Table_Data[[#This Row],[Duration]]&lt;=120,"1 to 2 Hours",TRUE,"More Than 2 Hours")</f>
        <v>30 to 60 Mins</v>
      </c>
      <c r="K12" s="9">
        <f>ROUND(Call_Table_Data[[#This Row],[Satisfaction Rating]],0)</f>
        <v>3</v>
      </c>
      <c r="N12" s="12" t="s">
        <v>45</v>
      </c>
      <c r="O12" s="13" t="s">
        <v>38</v>
      </c>
      <c r="P12" s="9">
        <v>30</v>
      </c>
      <c r="Q12" s="14" t="s">
        <v>24</v>
      </c>
    </row>
    <row r="13" spans="1:17" x14ac:dyDescent="0.3">
      <c r="A13" s="9" t="s">
        <v>47</v>
      </c>
      <c r="B13" s="9" t="s">
        <v>32</v>
      </c>
      <c r="C13" s="9">
        <v>102</v>
      </c>
      <c r="D13" s="10" t="s">
        <v>27</v>
      </c>
      <c r="E13" s="11">
        <v>44929</v>
      </c>
      <c r="F13" s="9">
        <v>69</v>
      </c>
      <c r="G13" s="9">
        <v>4.9000000000000004</v>
      </c>
      <c r="H13" s="9">
        <f>IF(MONTH(Call_Table_Data[[#This Row],[Date of Call]])&lt;=3,YEAR(Call_Table_Data[[#This Row],[Date of Call]]),YEAR(Call_Table_Data[[#This Row],[Date of Call]])+1)</f>
        <v>2023</v>
      </c>
      <c r="I13" s="9" t="str">
        <f>TEXT(Call_Table_Data[[#This Row],[Date of Call]],"DDDD")</f>
        <v>Tuesday</v>
      </c>
      <c r="J13" s="9" t="str" cm="1">
        <f t="array" ref="J13">_xlfn.IFS(Call_Table_Data[[#This Row],[Duration]]&lt;=10,"Under 10 Mins",Call_Table_Data[[#This Row],[Duration]]&lt;=30,"10 to 30 Mins",Call_Table_Data[[#This Row],[Duration]]&lt;=60,"30 to 60 Mins",Call_Table_Data[[#This Row],[Duration]]&lt;=120,"1 to 2 Hours",TRUE,"More Than 2 Hours")</f>
        <v>1 to 2 Hours</v>
      </c>
      <c r="K13" s="9">
        <f>ROUND(Call_Table_Data[[#This Row],[Satisfaction Rating]],0)</f>
        <v>5</v>
      </c>
      <c r="N13" s="12" t="s">
        <v>32</v>
      </c>
      <c r="O13" s="13" t="s">
        <v>38</v>
      </c>
      <c r="P13" s="9">
        <v>30</v>
      </c>
      <c r="Q13" s="14" t="s">
        <v>28</v>
      </c>
    </row>
    <row r="14" spans="1:17" x14ac:dyDescent="0.3">
      <c r="A14" s="9" t="s">
        <v>48</v>
      </c>
      <c r="B14" s="9" t="s">
        <v>49</v>
      </c>
      <c r="C14" s="9">
        <v>135</v>
      </c>
      <c r="D14" s="10" t="s">
        <v>17</v>
      </c>
      <c r="E14" s="11">
        <v>44929</v>
      </c>
      <c r="F14" s="9">
        <v>46</v>
      </c>
      <c r="G14" s="9">
        <v>3.4</v>
      </c>
      <c r="H14" s="9">
        <f>IF(MONTH(Call_Table_Data[[#This Row],[Date of Call]])&lt;=3,YEAR(Call_Table_Data[[#This Row],[Date of Call]]),YEAR(Call_Table_Data[[#This Row],[Date of Call]])+1)</f>
        <v>2023</v>
      </c>
      <c r="I14" s="9" t="str">
        <f>TEXT(Call_Table_Data[[#This Row],[Date of Call]],"DDDD")</f>
        <v>Tuesday</v>
      </c>
      <c r="J14" s="9" t="str" cm="1">
        <f t="array" ref="J14">_xlfn.IFS(Call_Table_Data[[#This Row],[Duration]]&lt;=10,"Under 10 Mins",Call_Table_Data[[#This Row],[Duration]]&lt;=30,"10 to 30 Mins",Call_Table_Data[[#This Row],[Duration]]&lt;=60,"30 to 60 Mins",Call_Table_Data[[#This Row],[Duration]]&lt;=120,"1 to 2 Hours",TRUE,"More Than 2 Hours")</f>
        <v>More Than 2 Hours</v>
      </c>
      <c r="K14" s="9">
        <f>ROUND(Call_Table_Data[[#This Row],[Satisfaction Rating]],0)</f>
        <v>3</v>
      </c>
      <c r="N14" s="12" t="s">
        <v>50</v>
      </c>
      <c r="O14" s="13" t="s">
        <v>38</v>
      </c>
      <c r="P14" s="9">
        <v>28</v>
      </c>
      <c r="Q14" s="14" t="s">
        <v>28</v>
      </c>
    </row>
    <row r="15" spans="1:17" x14ac:dyDescent="0.3">
      <c r="A15" s="9" t="s">
        <v>51</v>
      </c>
      <c r="B15" s="9" t="s">
        <v>23</v>
      </c>
      <c r="C15" s="9">
        <v>98</v>
      </c>
      <c r="D15" s="10" t="s">
        <v>27</v>
      </c>
      <c r="E15" s="11">
        <v>44930</v>
      </c>
      <c r="F15" s="9">
        <v>108</v>
      </c>
      <c r="G15" s="9">
        <v>3.5</v>
      </c>
      <c r="H15" s="9">
        <f>IF(MONTH(Call_Table_Data[[#This Row],[Date of Call]])&lt;=3,YEAR(Call_Table_Data[[#This Row],[Date of Call]]),YEAR(Call_Table_Data[[#This Row],[Date of Call]])+1)</f>
        <v>2023</v>
      </c>
      <c r="I15" s="9" t="str">
        <f>TEXT(Call_Table_Data[[#This Row],[Date of Call]],"DDDD")</f>
        <v>Wednesday</v>
      </c>
      <c r="J15" s="9" t="str" cm="1">
        <f t="array" ref="J15">_xlfn.IFS(Call_Table_Data[[#This Row],[Duration]]&lt;=10,"Under 10 Mins",Call_Table_Data[[#This Row],[Duration]]&lt;=30,"10 to 30 Mins",Call_Table_Data[[#This Row],[Duration]]&lt;=60,"30 to 60 Mins",Call_Table_Data[[#This Row],[Duration]]&lt;=120,"1 to 2 Hours",TRUE,"More Than 2 Hours")</f>
        <v>1 to 2 Hours</v>
      </c>
      <c r="K15" s="9">
        <f>ROUND(Call_Table_Data[[#This Row],[Satisfaction Rating]],0)</f>
        <v>4</v>
      </c>
      <c r="N15" s="12" t="s">
        <v>49</v>
      </c>
      <c r="O15" s="13" t="s">
        <v>38</v>
      </c>
      <c r="P15" s="9">
        <v>37</v>
      </c>
      <c r="Q15" s="14" t="s">
        <v>24</v>
      </c>
    </row>
    <row r="16" spans="1:17" x14ac:dyDescent="0.3">
      <c r="A16" s="9" t="s">
        <v>52</v>
      </c>
      <c r="B16" s="9" t="s">
        <v>45</v>
      </c>
      <c r="C16" s="9">
        <v>139</v>
      </c>
      <c r="D16" s="10" t="s">
        <v>27</v>
      </c>
      <c r="E16" s="11">
        <v>44930</v>
      </c>
      <c r="F16" s="9">
        <v>96</v>
      </c>
      <c r="G16" s="9">
        <v>4</v>
      </c>
      <c r="H16" s="9">
        <f>IF(MONTH(Call_Table_Data[[#This Row],[Date of Call]])&lt;=3,YEAR(Call_Table_Data[[#This Row],[Date of Call]]),YEAR(Call_Table_Data[[#This Row],[Date of Call]])+1)</f>
        <v>2023</v>
      </c>
      <c r="I16" s="9" t="str">
        <f>TEXT(Call_Table_Data[[#This Row],[Date of Call]],"DDDD")</f>
        <v>Wednesday</v>
      </c>
      <c r="J16" s="9" t="str" cm="1">
        <f t="array" ref="J16">_xlfn.IFS(Call_Table_Data[[#This Row],[Duration]]&lt;=10,"Under 10 Mins",Call_Table_Data[[#This Row],[Duration]]&lt;=30,"10 to 30 Mins",Call_Table_Data[[#This Row],[Duration]]&lt;=60,"30 to 60 Mins",Call_Table_Data[[#This Row],[Duration]]&lt;=120,"1 to 2 Hours",TRUE,"More Than 2 Hours")</f>
        <v>More Than 2 Hours</v>
      </c>
      <c r="K16" s="9">
        <f>ROUND(Call_Table_Data[[#This Row],[Satisfaction Rating]],0)</f>
        <v>4</v>
      </c>
      <c r="N16" s="12" t="s">
        <v>30</v>
      </c>
      <c r="O16" s="13" t="s">
        <v>38</v>
      </c>
      <c r="P16" s="9">
        <v>38</v>
      </c>
      <c r="Q16" s="14" t="s">
        <v>20</v>
      </c>
    </row>
    <row r="17" spans="1:17" x14ac:dyDescent="0.3">
      <c r="A17" s="9" t="s">
        <v>53</v>
      </c>
      <c r="B17" s="9" t="s">
        <v>49</v>
      </c>
      <c r="C17" s="9">
        <v>48</v>
      </c>
      <c r="D17" s="10" t="s">
        <v>33</v>
      </c>
      <c r="E17" s="11">
        <v>44930</v>
      </c>
      <c r="F17" s="9">
        <v>68</v>
      </c>
      <c r="G17" s="9">
        <v>4.9000000000000004</v>
      </c>
      <c r="H17" s="9">
        <f>IF(MONTH(Call_Table_Data[[#This Row],[Date of Call]])&lt;=3,YEAR(Call_Table_Data[[#This Row],[Date of Call]]),YEAR(Call_Table_Data[[#This Row],[Date of Call]])+1)</f>
        <v>2023</v>
      </c>
      <c r="I17" s="9" t="str">
        <f>TEXT(Call_Table_Data[[#This Row],[Date of Call]],"DDDD")</f>
        <v>Wednesday</v>
      </c>
      <c r="J17" s="9" t="str" cm="1">
        <f t="array" ref="J17">_xlfn.IFS(Call_Table_Data[[#This Row],[Duration]]&lt;=10,"Under 10 Mins",Call_Table_Data[[#This Row],[Duration]]&lt;=30,"10 to 30 Mins",Call_Table_Data[[#This Row],[Duration]]&lt;=60,"30 to 60 Mins",Call_Table_Data[[#This Row],[Duration]]&lt;=120,"1 to 2 Hours",TRUE,"More Than 2 Hours")</f>
        <v>30 to 60 Mins</v>
      </c>
      <c r="K17" s="9">
        <f>ROUND(Call_Table_Data[[#This Row],[Satisfaction Rating]],0)</f>
        <v>5</v>
      </c>
      <c r="N17" s="16" t="s">
        <v>54</v>
      </c>
      <c r="O17" s="17" t="s">
        <v>38</v>
      </c>
      <c r="P17" s="18">
        <v>43</v>
      </c>
      <c r="Q17" s="19" t="s">
        <v>24</v>
      </c>
    </row>
    <row r="18" spans="1:17" x14ac:dyDescent="0.3">
      <c r="A18" s="9" t="s">
        <v>55</v>
      </c>
      <c r="B18" s="9" t="s">
        <v>45</v>
      </c>
      <c r="C18" s="9">
        <v>176</v>
      </c>
      <c r="D18" s="10" t="s">
        <v>17</v>
      </c>
      <c r="E18" s="11">
        <v>44931</v>
      </c>
      <c r="F18" s="9">
        <v>24</v>
      </c>
      <c r="G18" s="9">
        <v>4.8</v>
      </c>
      <c r="H18" s="9">
        <f>IF(MONTH(Call_Table_Data[[#This Row],[Date of Call]])&lt;=3,YEAR(Call_Table_Data[[#This Row],[Date of Call]]),YEAR(Call_Table_Data[[#This Row],[Date of Call]])+1)</f>
        <v>2023</v>
      </c>
      <c r="I18" s="9" t="str">
        <f>TEXT(Call_Table_Data[[#This Row],[Date of Call]],"DDDD")</f>
        <v>Thursday</v>
      </c>
      <c r="J18" s="9" t="str" cm="1">
        <f t="array" ref="J18">_xlfn.IFS(Call_Table_Data[[#This Row],[Duration]]&lt;=10,"Under 10 Mins",Call_Table_Data[[#This Row],[Duration]]&lt;=30,"10 to 30 Mins",Call_Table_Data[[#This Row],[Duration]]&lt;=60,"30 to 60 Mins",Call_Table_Data[[#This Row],[Duration]]&lt;=120,"1 to 2 Hours",TRUE,"More Than 2 Hours")</f>
        <v>More Than 2 Hours</v>
      </c>
      <c r="K18" s="9">
        <f>ROUND(Call_Table_Data[[#This Row],[Satisfaction Rating]],0)</f>
        <v>5</v>
      </c>
    </row>
    <row r="19" spans="1:17" x14ac:dyDescent="0.3">
      <c r="A19" s="9" t="s">
        <v>56</v>
      </c>
      <c r="B19" s="9" t="s">
        <v>45</v>
      </c>
      <c r="C19" s="9">
        <v>99</v>
      </c>
      <c r="D19" s="10" t="s">
        <v>33</v>
      </c>
      <c r="E19" s="11">
        <v>44931</v>
      </c>
      <c r="F19" s="9">
        <v>195</v>
      </c>
      <c r="G19" s="9">
        <v>3.9</v>
      </c>
      <c r="H19" s="9">
        <f>IF(MONTH(Call_Table_Data[[#This Row],[Date of Call]])&lt;=3,YEAR(Call_Table_Data[[#This Row],[Date of Call]]),YEAR(Call_Table_Data[[#This Row],[Date of Call]])+1)</f>
        <v>2023</v>
      </c>
      <c r="I19" s="9" t="str">
        <f>TEXT(Call_Table_Data[[#This Row],[Date of Call]],"DDDD")</f>
        <v>Thursday</v>
      </c>
      <c r="J19" s="9" t="str" cm="1">
        <f t="array" ref="J19">_xlfn.IFS(Call_Table_Data[[#This Row],[Duration]]&lt;=10,"Under 10 Mins",Call_Table_Data[[#This Row],[Duration]]&lt;=30,"10 to 30 Mins",Call_Table_Data[[#This Row],[Duration]]&lt;=60,"30 to 60 Mins",Call_Table_Data[[#This Row],[Duration]]&lt;=120,"1 to 2 Hours",TRUE,"More Than 2 Hours")</f>
        <v>1 to 2 Hours</v>
      </c>
      <c r="K19" s="9">
        <f>ROUND(Call_Table_Data[[#This Row],[Satisfaction Rating]],0)</f>
        <v>4</v>
      </c>
    </row>
    <row r="20" spans="1:17" x14ac:dyDescent="0.3">
      <c r="A20" s="9" t="s">
        <v>57</v>
      </c>
      <c r="B20" s="9" t="s">
        <v>43</v>
      </c>
      <c r="C20" s="9">
        <v>28</v>
      </c>
      <c r="D20" s="10" t="s">
        <v>46</v>
      </c>
      <c r="E20" s="11">
        <v>44931</v>
      </c>
      <c r="F20" s="9">
        <v>28</v>
      </c>
      <c r="G20" s="9">
        <v>3.8</v>
      </c>
      <c r="H20" s="9">
        <f>IF(MONTH(Call_Table_Data[[#This Row],[Date of Call]])&lt;=3,YEAR(Call_Table_Data[[#This Row],[Date of Call]]),YEAR(Call_Table_Data[[#This Row],[Date of Call]])+1)</f>
        <v>2023</v>
      </c>
      <c r="I20" s="9" t="str">
        <f>TEXT(Call_Table_Data[[#This Row],[Date of Call]],"DDDD")</f>
        <v>Thursday</v>
      </c>
      <c r="J20" s="9" t="str" cm="1">
        <f t="array" ref="J20">_xlfn.IFS(Call_Table_Data[[#This Row],[Duration]]&lt;=10,"Under 10 Mins",Call_Table_Data[[#This Row],[Duration]]&lt;=30,"10 to 30 Mins",Call_Table_Data[[#This Row],[Duration]]&lt;=60,"30 to 60 Mins",Call_Table_Data[[#This Row],[Duration]]&lt;=120,"1 to 2 Hours",TRUE,"More Than 2 Hours")</f>
        <v>10 to 30 Mins</v>
      </c>
      <c r="K20" s="9">
        <f>ROUND(Call_Table_Data[[#This Row],[Satisfaction Rating]],0)</f>
        <v>4</v>
      </c>
    </row>
    <row r="21" spans="1:17" x14ac:dyDescent="0.3">
      <c r="A21" s="9" t="s">
        <v>58</v>
      </c>
      <c r="B21" s="9" t="s">
        <v>37</v>
      </c>
      <c r="C21" s="9">
        <v>54</v>
      </c>
      <c r="D21" s="10" t="s">
        <v>27</v>
      </c>
      <c r="E21" s="11">
        <v>44931</v>
      </c>
      <c r="F21" s="9">
        <v>170</v>
      </c>
      <c r="G21" s="9">
        <v>4.3</v>
      </c>
      <c r="H21" s="9">
        <f>IF(MONTH(Call_Table_Data[[#This Row],[Date of Call]])&lt;=3,YEAR(Call_Table_Data[[#This Row],[Date of Call]]),YEAR(Call_Table_Data[[#This Row],[Date of Call]])+1)</f>
        <v>2023</v>
      </c>
      <c r="I21" s="9" t="str">
        <f>TEXT(Call_Table_Data[[#This Row],[Date of Call]],"DDDD")</f>
        <v>Thursday</v>
      </c>
      <c r="J21" s="9" t="str" cm="1">
        <f t="array" ref="J21">_xlfn.IFS(Call_Table_Data[[#This Row],[Duration]]&lt;=10,"Under 10 Mins",Call_Table_Data[[#This Row],[Duration]]&lt;=30,"10 to 30 Mins",Call_Table_Data[[#This Row],[Duration]]&lt;=60,"30 to 60 Mins",Call_Table_Data[[#This Row],[Duration]]&lt;=120,"1 to 2 Hours",TRUE,"More Than 2 Hours")</f>
        <v>30 to 60 Mins</v>
      </c>
      <c r="K21" s="9">
        <f>ROUND(Call_Table_Data[[#This Row],[Satisfaction Rating]],0)</f>
        <v>4</v>
      </c>
    </row>
    <row r="22" spans="1:17" x14ac:dyDescent="0.3">
      <c r="A22" s="9" t="s">
        <v>59</v>
      </c>
      <c r="B22" s="9" t="s">
        <v>35</v>
      </c>
      <c r="C22" s="9">
        <v>48</v>
      </c>
      <c r="D22" s="10" t="s">
        <v>17</v>
      </c>
      <c r="E22" s="11">
        <v>44932</v>
      </c>
      <c r="F22" s="9">
        <v>30</v>
      </c>
      <c r="G22" s="9">
        <v>4.4000000000000004</v>
      </c>
      <c r="H22" s="9">
        <f>IF(MONTH(Call_Table_Data[[#This Row],[Date of Call]])&lt;=3,YEAR(Call_Table_Data[[#This Row],[Date of Call]]),YEAR(Call_Table_Data[[#This Row],[Date of Call]])+1)</f>
        <v>2023</v>
      </c>
      <c r="I22" s="9" t="str">
        <f>TEXT(Call_Table_Data[[#This Row],[Date of Call]],"DDDD")</f>
        <v>Friday</v>
      </c>
      <c r="J22" s="9" t="str" cm="1">
        <f t="array" ref="J22">_xlfn.IFS(Call_Table_Data[[#This Row],[Duration]]&lt;=10,"Under 10 Mins",Call_Table_Data[[#This Row],[Duration]]&lt;=30,"10 to 30 Mins",Call_Table_Data[[#This Row],[Duration]]&lt;=60,"30 to 60 Mins",Call_Table_Data[[#This Row],[Duration]]&lt;=120,"1 to 2 Hours",TRUE,"More Than 2 Hours")</f>
        <v>30 to 60 Mins</v>
      </c>
      <c r="K22" s="9">
        <f>ROUND(Call_Table_Data[[#This Row],[Satisfaction Rating]],0)</f>
        <v>4</v>
      </c>
      <c r="M22" s="20"/>
    </row>
    <row r="23" spans="1:17" x14ac:dyDescent="0.3">
      <c r="A23" s="9" t="s">
        <v>60</v>
      </c>
      <c r="B23" s="9" t="s">
        <v>22</v>
      </c>
      <c r="C23" s="9">
        <v>128</v>
      </c>
      <c r="D23" s="10" t="s">
        <v>17</v>
      </c>
      <c r="E23" s="11">
        <v>44932</v>
      </c>
      <c r="F23" s="9">
        <v>72</v>
      </c>
      <c r="G23" s="9">
        <v>5</v>
      </c>
      <c r="H23" s="9">
        <f>IF(MONTH(Call_Table_Data[[#This Row],[Date of Call]])&lt;=3,YEAR(Call_Table_Data[[#This Row],[Date of Call]]),YEAR(Call_Table_Data[[#This Row],[Date of Call]])+1)</f>
        <v>2023</v>
      </c>
      <c r="I23" s="9" t="str">
        <f>TEXT(Call_Table_Data[[#This Row],[Date of Call]],"DDDD")</f>
        <v>Friday</v>
      </c>
      <c r="J23" s="9" t="str" cm="1">
        <f t="array" ref="J23">_xlfn.IFS(Call_Table_Data[[#This Row],[Duration]]&lt;=10,"Under 10 Mins",Call_Table_Data[[#This Row],[Duration]]&lt;=30,"10 to 30 Mins",Call_Table_Data[[#This Row],[Duration]]&lt;=60,"30 to 60 Mins",Call_Table_Data[[#This Row],[Duration]]&lt;=120,"1 to 2 Hours",TRUE,"More Than 2 Hours")</f>
        <v>More Than 2 Hours</v>
      </c>
      <c r="K23" s="9">
        <f>ROUND(Call_Table_Data[[#This Row],[Satisfaction Rating]],0)</f>
        <v>5</v>
      </c>
    </row>
    <row r="24" spans="1:17" x14ac:dyDescent="0.3">
      <c r="A24" s="9" t="s">
        <v>61</v>
      </c>
      <c r="B24" s="9" t="s">
        <v>22</v>
      </c>
      <c r="C24" s="9">
        <v>38</v>
      </c>
      <c r="D24" s="10" t="s">
        <v>40</v>
      </c>
      <c r="E24" s="11">
        <v>44933</v>
      </c>
      <c r="F24" s="9">
        <v>92</v>
      </c>
      <c r="G24" s="9">
        <v>4.9000000000000004</v>
      </c>
      <c r="H24" s="9">
        <f>IF(MONTH(Call_Table_Data[[#This Row],[Date of Call]])&lt;=3,YEAR(Call_Table_Data[[#This Row],[Date of Call]]),YEAR(Call_Table_Data[[#This Row],[Date of Call]])+1)</f>
        <v>2023</v>
      </c>
      <c r="I24" s="9" t="str">
        <f>TEXT(Call_Table_Data[[#This Row],[Date of Call]],"DDDD")</f>
        <v>Saturday</v>
      </c>
      <c r="J24" s="9" t="str" cm="1">
        <f t="array" ref="J24">_xlfn.IFS(Call_Table_Data[[#This Row],[Duration]]&lt;=10,"Under 10 Mins",Call_Table_Data[[#This Row],[Duration]]&lt;=30,"10 to 30 Mins",Call_Table_Data[[#This Row],[Duration]]&lt;=60,"30 to 60 Mins",Call_Table_Data[[#This Row],[Duration]]&lt;=120,"1 to 2 Hours",TRUE,"More Than 2 Hours")</f>
        <v>30 to 60 Mins</v>
      </c>
      <c r="K24" s="9">
        <f>ROUND(Call_Table_Data[[#This Row],[Satisfaction Rating]],0)</f>
        <v>5</v>
      </c>
    </row>
    <row r="25" spans="1:17" x14ac:dyDescent="0.3">
      <c r="A25" s="9" t="s">
        <v>62</v>
      </c>
      <c r="B25" s="9" t="s">
        <v>16</v>
      </c>
      <c r="C25" s="9">
        <v>67</v>
      </c>
      <c r="D25" s="10" t="s">
        <v>40</v>
      </c>
      <c r="E25" s="11">
        <v>44934</v>
      </c>
      <c r="F25" s="9">
        <v>165</v>
      </c>
      <c r="G25" s="9">
        <v>4.5</v>
      </c>
      <c r="H25" s="9">
        <f>IF(MONTH(Call_Table_Data[[#This Row],[Date of Call]])&lt;=3,YEAR(Call_Table_Data[[#This Row],[Date of Call]]),YEAR(Call_Table_Data[[#This Row],[Date of Call]])+1)</f>
        <v>2023</v>
      </c>
      <c r="I25" s="9" t="str">
        <f>TEXT(Call_Table_Data[[#This Row],[Date of Call]],"DDDD")</f>
        <v>Sunday</v>
      </c>
      <c r="J25" s="9" t="str" cm="1">
        <f t="array" ref="J25">_xlfn.IFS(Call_Table_Data[[#This Row],[Duration]]&lt;=10,"Under 10 Mins",Call_Table_Data[[#This Row],[Duration]]&lt;=30,"10 to 30 Mins",Call_Table_Data[[#This Row],[Duration]]&lt;=60,"30 to 60 Mins",Call_Table_Data[[#This Row],[Duration]]&lt;=120,"1 to 2 Hours",TRUE,"More Than 2 Hours")</f>
        <v>1 to 2 Hours</v>
      </c>
      <c r="K25" s="9">
        <f>ROUND(Call_Table_Data[[#This Row],[Satisfaction Rating]],0)</f>
        <v>5</v>
      </c>
    </row>
    <row r="26" spans="1:17" x14ac:dyDescent="0.3">
      <c r="A26" s="9" t="s">
        <v>63</v>
      </c>
      <c r="B26" s="9" t="s">
        <v>54</v>
      </c>
      <c r="C26" s="9">
        <v>58</v>
      </c>
      <c r="D26" s="10" t="s">
        <v>27</v>
      </c>
      <c r="E26" s="11">
        <v>44934</v>
      </c>
      <c r="F26" s="9">
        <v>140</v>
      </c>
      <c r="G26" s="9">
        <v>2.1</v>
      </c>
      <c r="H26" s="9">
        <f>IF(MONTH(Call_Table_Data[[#This Row],[Date of Call]])&lt;=3,YEAR(Call_Table_Data[[#This Row],[Date of Call]]),YEAR(Call_Table_Data[[#This Row],[Date of Call]])+1)</f>
        <v>2023</v>
      </c>
      <c r="I26" s="9" t="str">
        <f>TEXT(Call_Table_Data[[#This Row],[Date of Call]],"DDDD")</f>
        <v>Sunday</v>
      </c>
      <c r="J26" s="9" t="str" cm="1">
        <f t="array" ref="J26">_xlfn.IFS(Call_Table_Data[[#This Row],[Duration]]&lt;=10,"Under 10 Mins",Call_Table_Data[[#This Row],[Duration]]&lt;=30,"10 to 30 Mins",Call_Table_Data[[#This Row],[Duration]]&lt;=60,"30 to 60 Mins",Call_Table_Data[[#This Row],[Duration]]&lt;=120,"1 to 2 Hours",TRUE,"More Than 2 Hours")</f>
        <v>30 to 60 Mins</v>
      </c>
      <c r="K26" s="9">
        <f>ROUND(Call_Table_Data[[#This Row],[Satisfaction Rating]],0)</f>
        <v>2</v>
      </c>
    </row>
    <row r="27" spans="1:17" x14ac:dyDescent="0.3">
      <c r="A27" s="9" t="s">
        <v>64</v>
      </c>
      <c r="B27" s="9" t="s">
        <v>45</v>
      </c>
      <c r="C27" s="9">
        <v>54</v>
      </c>
      <c r="D27" s="10" t="s">
        <v>33</v>
      </c>
      <c r="E27" s="11">
        <v>44934</v>
      </c>
      <c r="F27" s="9">
        <v>111</v>
      </c>
      <c r="G27" s="9">
        <v>3.3</v>
      </c>
      <c r="H27" s="9">
        <f>IF(MONTH(Call_Table_Data[[#This Row],[Date of Call]])&lt;=3,YEAR(Call_Table_Data[[#This Row],[Date of Call]]),YEAR(Call_Table_Data[[#This Row],[Date of Call]])+1)</f>
        <v>2023</v>
      </c>
      <c r="I27" s="9" t="str">
        <f>TEXT(Call_Table_Data[[#This Row],[Date of Call]],"DDDD")</f>
        <v>Sunday</v>
      </c>
      <c r="J27" s="9" t="str" cm="1">
        <f t="array" ref="J27">_xlfn.IFS(Call_Table_Data[[#This Row],[Duration]]&lt;=10,"Under 10 Mins",Call_Table_Data[[#This Row],[Duration]]&lt;=30,"10 to 30 Mins",Call_Table_Data[[#This Row],[Duration]]&lt;=60,"30 to 60 Mins",Call_Table_Data[[#This Row],[Duration]]&lt;=120,"1 to 2 Hours",TRUE,"More Than 2 Hours")</f>
        <v>30 to 60 Mins</v>
      </c>
      <c r="K27" s="9">
        <f>ROUND(Call_Table_Data[[#This Row],[Satisfaction Rating]],0)</f>
        <v>3</v>
      </c>
      <c r="M27" s="20"/>
    </row>
    <row r="28" spans="1:17" x14ac:dyDescent="0.3">
      <c r="A28" s="9" t="s">
        <v>65</v>
      </c>
      <c r="B28" s="9" t="s">
        <v>50</v>
      </c>
      <c r="C28" s="9">
        <v>28</v>
      </c>
      <c r="D28" s="10" t="s">
        <v>17</v>
      </c>
      <c r="E28" s="11">
        <v>44935</v>
      </c>
      <c r="F28" s="9">
        <v>63</v>
      </c>
      <c r="G28" s="9">
        <v>4.0999999999999996</v>
      </c>
      <c r="H28" s="9">
        <f>IF(MONTH(Call_Table_Data[[#This Row],[Date of Call]])&lt;=3,YEAR(Call_Table_Data[[#This Row],[Date of Call]]),YEAR(Call_Table_Data[[#This Row],[Date of Call]])+1)</f>
        <v>2023</v>
      </c>
      <c r="I28" s="9" t="str">
        <f>TEXT(Call_Table_Data[[#This Row],[Date of Call]],"DDDD")</f>
        <v>Monday</v>
      </c>
      <c r="J28" s="9" t="str" cm="1">
        <f t="array" ref="J28">_xlfn.IFS(Call_Table_Data[[#This Row],[Duration]]&lt;=10,"Under 10 Mins",Call_Table_Data[[#This Row],[Duration]]&lt;=30,"10 to 30 Mins",Call_Table_Data[[#This Row],[Duration]]&lt;=60,"30 to 60 Mins",Call_Table_Data[[#This Row],[Duration]]&lt;=120,"1 to 2 Hours",TRUE,"More Than 2 Hours")</f>
        <v>10 to 30 Mins</v>
      </c>
      <c r="K28" s="9">
        <f>ROUND(Call_Table_Data[[#This Row],[Satisfaction Rating]],0)</f>
        <v>4</v>
      </c>
    </row>
    <row r="29" spans="1:17" x14ac:dyDescent="0.3">
      <c r="A29" s="9" t="s">
        <v>66</v>
      </c>
      <c r="B29" s="9" t="s">
        <v>23</v>
      </c>
      <c r="C29" s="9">
        <v>73</v>
      </c>
      <c r="D29" s="10" t="s">
        <v>17</v>
      </c>
      <c r="E29" s="11">
        <v>44935</v>
      </c>
      <c r="F29" s="9">
        <v>80</v>
      </c>
      <c r="G29" s="9">
        <v>4.2</v>
      </c>
      <c r="H29" s="9">
        <f>IF(MONTH(Call_Table_Data[[#This Row],[Date of Call]])&lt;=3,YEAR(Call_Table_Data[[#This Row],[Date of Call]]),YEAR(Call_Table_Data[[#This Row],[Date of Call]])+1)</f>
        <v>2023</v>
      </c>
      <c r="I29" s="9" t="str">
        <f>TEXT(Call_Table_Data[[#This Row],[Date of Call]],"DDDD")</f>
        <v>Monday</v>
      </c>
      <c r="J29" s="9" t="str" cm="1">
        <f t="array" ref="J29">_xlfn.IFS(Call_Table_Data[[#This Row],[Duration]]&lt;=10,"Under 10 Mins",Call_Table_Data[[#This Row],[Duration]]&lt;=30,"10 to 30 Mins",Call_Table_Data[[#This Row],[Duration]]&lt;=60,"30 to 60 Mins",Call_Table_Data[[#This Row],[Duration]]&lt;=120,"1 to 2 Hours",TRUE,"More Than 2 Hours")</f>
        <v>1 to 2 Hours</v>
      </c>
      <c r="K29" s="9">
        <f>ROUND(Call_Table_Data[[#This Row],[Satisfaction Rating]],0)</f>
        <v>4</v>
      </c>
    </row>
    <row r="30" spans="1:17" x14ac:dyDescent="0.3">
      <c r="A30" s="9" t="s">
        <v>67</v>
      </c>
      <c r="B30" s="9" t="s">
        <v>32</v>
      </c>
      <c r="C30" s="9">
        <v>81</v>
      </c>
      <c r="D30" s="10" t="s">
        <v>17</v>
      </c>
      <c r="E30" s="11">
        <v>44936</v>
      </c>
      <c r="F30" s="9">
        <v>50</v>
      </c>
      <c r="G30" s="9">
        <v>4.5999999999999996</v>
      </c>
      <c r="H30" s="9">
        <f>IF(MONTH(Call_Table_Data[[#This Row],[Date of Call]])&lt;=3,YEAR(Call_Table_Data[[#This Row],[Date of Call]]),YEAR(Call_Table_Data[[#This Row],[Date of Call]])+1)</f>
        <v>2023</v>
      </c>
      <c r="I30" s="9" t="str">
        <f>TEXT(Call_Table_Data[[#This Row],[Date of Call]],"DDDD")</f>
        <v>Tuesday</v>
      </c>
      <c r="J30" s="9" t="str" cm="1">
        <f t="array" ref="J30">_xlfn.IFS(Call_Table_Data[[#This Row],[Duration]]&lt;=10,"Under 10 Mins",Call_Table_Data[[#This Row],[Duration]]&lt;=30,"10 to 30 Mins",Call_Table_Data[[#This Row],[Duration]]&lt;=60,"30 to 60 Mins",Call_Table_Data[[#This Row],[Duration]]&lt;=120,"1 to 2 Hours",TRUE,"More Than 2 Hours")</f>
        <v>1 to 2 Hours</v>
      </c>
      <c r="K30" s="9">
        <f>ROUND(Call_Table_Data[[#This Row],[Satisfaction Rating]],0)</f>
        <v>5</v>
      </c>
      <c r="M30" s="20"/>
    </row>
    <row r="31" spans="1:17" x14ac:dyDescent="0.3">
      <c r="A31" s="9" t="s">
        <v>68</v>
      </c>
      <c r="B31" s="9" t="s">
        <v>43</v>
      </c>
      <c r="C31" s="9">
        <v>31</v>
      </c>
      <c r="D31" s="10" t="s">
        <v>40</v>
      </c>
      <c r="E31" s="11">
        <v>44936</v>
      </c>
      <c r="F31" s="9">
        <v>123</v>
      </c>
      <c r="G31" s="9">
        <v>2.9</v>
      </c>
      <c r="H31" s="9">
        <f>IF(MONTH(Call_Table_Data[[#This Row],[Date of Call]])&lt;=3,YEAR(Call_Table_Data[[#This Row],[Date of Call]]),YEAR(Call_Table_Data[[#This Row],[Date of Call]])+1)</f>
        <v>2023</v>
      </c>
      <c r="I31" s="9" t="str">
        <f>TEXT(Call_Table_Data[[#This Row],[Date of Call]],"DDDD")</f>
        <v>Tuesday</v>
      </c>
      <c r="J31" s="9" t="str" cm="1">
        <f t="array" ref="J31">_xlfn.IFS(Call_Table_Data[[#This Row],[Duration]]&lt;=10,"Under 10 Mins",Call_Table_Data[[#This Row],[Duration]]&lt;=30,"10 to 30 Mins",Call_Table_Data[[#This Row],[Duration]]&lt;=60,"30 to 60 Mins",Call_Table_Data[[#This Row],[Duration]]&lt;=120,"1 to 2 Hours",TRUE,"More Than 2 Hours")</f>
        <v>30 to 60 Mins</v>
      </c>
      <c r="K31" s="9">
        <f>ROUND(Call_Table_Data[[#This Row],[Satisfaction Rating]],0)</f>
        <v>3</v>
      </c>
    </row>
    <row r="32" spans="1:17" x14ac:dyDescent="0.3">
      <c r="A32" s="9" t="s">
        <v>69</v>
      </c>
      <c r="B32" s="9" t="s">
        <v>54</v>
      </c>
      <c r="C32" s="9">
        <v>155</v>
      </c>
      <c r="D32" s="10" t="s">
        <v>33</v>
      </c>
      <c r="E32" s="11">
        <v>44936</v>
      </c>
      <c r="F32" s="9">
        <v>110</v>
      </c>
      <c r="G32" s="9">
        <v>4.8</v>
      </c>
      <c r="H32" s="9">
        <f>IF(MONTH(Call_Table_Data[[#This Row],[Date of Call]])&lt;=3,YEAR(Call_Table_Data[[#This Row],[Date of Call]]),YEAR(Call_Table_Data[[#This Row],[Date of Call]])+1)</f>
        <v>2023</v>
      </c>
      <c r="I32" s="9" t="str">
        <f>TEXT(Call_Table_Data[[#This Row],[Date of Call]],"DDDD")</f>
        <v>Tuesday</v>
      </c>
      <c r="J32" s="9" t="str" cm="1">
        <f t="array" ref="J32">_xlfn.IFS(Call_Table_Data[[#This Row],[Duration]]&lt;=10,"Under 10 Mins",Call_Table_Data[[#This Row],[Duration]]&lt;=30,"10 to 30 Mins",Call_Table_Data[[#This Row],[Duration]]&lt;=60,"30 to 60 Mins",Call_Table_Data[[#This Row],[Duration]]&lt;=120,"1 to 2 Hours",TRUE,"More Than 2 Hours")</f>
        <v>More Than 2 Hours</v>
      </c>
      <c r="K32" s="9">
        <f>ROUND(Call_Table_Data[[#This Row],[Satisfaction Rating]],0)</f>
        <v>5</v>
      </c>
    </row>
    <row r="33" spans="1:11" x14ac:dyDescent="0.3">
      <c r="A33" s="9" t="s">
        <v>70</v>
      </c>
      <c r="B33" s="9" t="s">
        <v>43</v>
      </c>
      <c r="C33" s="9">
        <v>80</v>
      </c>
      <c r="D33" s="10" t="s">
        <v>17</v>
      </c>
      <c r="E33" s="11">
        <v>44936</v>
      </c>
      <c r="F33" s="9">
        <v>140</v>
      </c>
      <c r="G33" s="9">
        <v>4.2</v>
      </c>
      <c r="H33" s="9">
        <f>IF(MONTH(Call_Table_Data[[#This Row],[Date of Call]])&lt;=3,YEAR(Call_Table_Data[[#This Row],[Date of Call]]),YEAR(Call_Table_Data[[#This Row],[Date of Call]])+1)</f>
        <v>2023</v>
      </c>
      <c r="I33" s="9" t="str">
        <f>TEXT(Call_Table_Data[[#This Row],[Date of Call]],"DDDD")</f>
        <v>Tuesday</v>
      </c>
      <c r="J33" s="9" t="str" cm="1">
        <f t="array" ref="J33">_xlfn.IFS(Call_Table_Data[[#This Row],[Duration]]&lt;=10,"Under 10 Mins",Call_Table_Data[[#This Row],[Duration]]&lt;=30,"10 to 30 Mins",Call_Table_Data[[#This Row],[Duration]]&lt;=60,"30 to 60 Mins",Call_Table_Data[[#This Row],[Duration]]&lt;=120,"1 to 2 Hours",TRUE,"More Than 2 Hours")</f>
        <v>1 to 2 Hours</v>
      </c>
      <c r="K33" s="9">
        <f>ROUND(Call_Table_Data[[#This Row],[Satisfaction Rating]],0)</f>
        <v>4</v>
      </c>
    </row>
    <row r="34" spans="1:11" x14ac:dyDescent="0.3">
      <c r="A34" s="9" t="s">
        <v>71</v>
      </c>
      <c r="B34" s="9" t="s">
        <v>32</v>
      </c>
      <c r="C34" s="9">
        <v>82</v>
      </c>
      <c r="D34" s="10" t="s">
        <v>17</v>
      </c>
      <c r="E34" s="11">
        <v>44938</v>
      </c>
      <c r="F34" s="9">
        <v>42</v>
      </c>
      <c r="G34" s="9">
        <v>3.7</v>
      </c>
      <c r="H34" s="9">
        <f>IF(MONTH(Call_Table_Data[[#This Row],[Date of Call]])&lt;=3,YEAR(Call_Table_Data[[#This Row],[Date of Call]]),YEAR(Call_Table_Data[[#This Row],[Date of Call]])+1)</f>
        <v>2023</v>
      </c>
      <c r="I34" s="9" t="str">
        <f>TEXT(Call_Table_Data[[#This Row],[Date of Call]],"DDDD")</f>
        <v>Thursday</v>
      </c>
      <c r="J34" s="9" t="str" cm="1">
        <f t="array" ref="J34">_xlfn.IFS(Call_Table_Data[[#This Row],[Duration]]&lt;=10,"Under 10 Mins",Call_Table_Data[[#This Row],[Duration]]&lt;=30,"10 to 30 Mins",Call_Table_Data[[#This Row],[Duration]]&lt;=60,"30 to 60 Mins",Call_Table_Data[[#This Row],[Duration]]&lt;=120,"1 to 2 Hours",TRUE,"More Than 2 Hours")</f>
        <v>1 to 2 Hours</v>
      </c>
      <c r="K34" s="9">
        <f>ROUND(Call_Table_Data[[#This Row],[Satisfaction Rating]],0)</f>
        <v>4</v>
      </c>
    </row>
    <row r="35" spans="1:11" x14ac:dyDescent="0.3">
      <c r="A35" s="9" t="s">
        <v>72</v>
      </c>
      <c r="B35" s="9" t="s">
        <v>32</v>
      </c>
      <c r="C35" s="9">
        <v>29</v>
      </c>
      <c r="D35" s="10" t="s">
        <v>33</v>
      </c>
      <c r="E35" s="11">
        <v>44938</v>
      </c>
      <c r="F35" s="9">
        <v>170</v>
      </c>
      <c r="G35" s="9">
        <v>5</v>
      </c>
      <c r="H35" s="9">
        <f>IF(MONTH(Call_Table_Data[[#This Row],[Date of Call]])&lt;=3,YEAR(Call_Table_Data[[#This Row],[Date of Call]]),YEAR(Call_Table_Data[[#This Row],[Date of Call]])+1)</f>
        <v>2023</v>
      </c>
      <c r="I35" s="9" t="str">
        <f>TEXT(Call_Table_Data[[#This Row],[Date of Call]],"DDDD")</f>
        <v>Thursday</v>
      </c>
      <c r="J35" s="9" t="str" cm="1">
        <f t="array" ref="J35">_xlfn.IFS(Call_Table_Data[[#This Row],[Duration]]&lt;=10,"Under 10 Mins",Call_Table_Data[[#This Row],[Duration]]&lt;=30,"10 to 30 Mins",Call_Table_Data[[#This Row],[Duration]]&lt;=60,"30 to 60 Mins",Call_Table_Data[[#This Row],[Duration]]&lt;=120,"1 to 2 Hours",TRUE,"More Than 2 Hours")</f>
        <v>10 to 30 Mins</v>
      </c>
      <c r="K35" s="9">
        <f>ROUND(Call_Table_Data[[#This Row],[Satisfaction Rating]],0)</f>
        <v>5</v>
      </c>
    </row>
    <row r="36" spans="1:11" x14ac:dyDescent="0.3">
      <c r="A36" s="9" t="s">
        <v>73</v>
      </c>
      <c r="B36" s="9" t="s">
        <v>35</v>
      </c>
      <c r="C36" s="9">
        <v>160</v>
      </c>
      <c r="D36" s="10" t="s">
        <v>27</v>
      </c>
      <c r="E36" s="11">
        <v>44940</v>
      </c>
      <c r="F36" s="9">
        <v>105</v>
      </c>
      <c r="G36" s="9">
        <v>5</v>
      </c>
      <c r="H36" s="9">
        <f>IF(MONTH(Call_Table_Data[[#This Row],[Date of Call]])&lt;=3,YEAR(Call_Table_Data[[#This Row],[Date of Call]]),YEAR(Call_Table_Data[[#This Row],[Date of Call]])+1)</f>
        <v>2023</v>
      </c>
      <c r="I36" s="9" t="str">
        <f>TEXT(Call_Table_Data[[#This Row],[Date of Call]],"DDDD")</f>
        <v>Saturday</v>
      </c>
      <c r="J36" s="9" t="str" cm="1">
        <f t="array" ref="J36">_xlfn.IFS(Call_Table_Data[[#This Row],[Duration]]&lt;=10,"Under 10 Mins",Call_Table_Data[[#This Row],[Duration]]&lt;=30,"10 to 30 Mins",Call_Table_Data[[#This Row],[Duration]]&lt;=60,"30 to 60 Mins",Call_Table_Data[[#This Row],[Duration]]&lt;=120,"1 to 2 Hours",TRUE,"More Than 2 Hours")</f>
        <v>More Than 2 Hours</v>
      </c>
      <c r="K36" s="9">
        <f>ROUND(Call_Table_Data[[#This Row],[Satisfaction Rating]],0)</f>
        <v>5</v>
      </c>
    </row>
    <row r="37" spans="1:11" x14ac:dyDescent="0.3">
      <c r="A37" s="9" t="s">
        <v>74</v>
      </c>
      <c r="B37" s="9" t="s">
        <v>18</v>
      </c>
      <c r="C37" s="9">
        <v>105</v>
      </c>
      <c r="D37" s="10" t="s">
        <v>17</v>
      </c>
      <c r="E37" s="11">
        <v>44941</v>
      </c>
      <c r="F37" s="9">
        <v>125</v>
      </c>
      <c r="G37" s="9">
        <v>4.8</v>
      </c>
      <c r="H37" s="9">
        <f>IF(MONTH(Call_Table_Data[[#This Row],[Date of Call]])&lt;=3,YEAR(Call_Table_Data[[#This Row],[Date of Call]]),YEAR(Call_Table_Data[[#This Row],[Date of Call]])+1)</f>
        <v>2023</v>
      </c>
      <c r="I37" s="9" t="str">
        <f>TEXT(Call_Table_Data[[#This Row],[Date of Call]],"DDDD")</f>
        <v>Sunday</v>
      </c>
      <c r="J37" s="9" t="str" cm="1">
        <f t="array" ref="J37">_xlfn.IFS(Call_Table_Data[[#This Row],[Duration]]&lt;=10,"Under 10 Mins",Call_Table_Data[[#This Row],[Duration]]&lt;=30,"10 to 30 Mins",Call_Table_Data[[#This Row],[Duration]]&lt;=60,"30 to 60 Mins",Call_Table_Data[[#This Row],[Duration]]&lt;=120,"1 to 2 Hours",TRUE,"More Than 2 Hours")</f>
        <v>1 to 2 Hours</v>
      </c>
      <c r="K37" s="9">
        <f>ROUND(Call_Table_Data[[#This Row],[Satisfaction Rating]],0)</f>
        <v>5</v>
      </c>
    </row>
    <row r="38" spans="1:11" x14ac:dyDescent="0.3">
      <c r="A38" s="9" t="s">
        <v>75</v>
      </c>
      <c r="B38" s="9" t="s">
        <v>43</v>
      </c>
      <c r="C38" s="9">
        <v>75</v>
      </c>
      <c r="D38" s="10" t="s">
        <v>46</v>
      </c>
      <c r="E38" s="11">
        <v>44941</v>
      </c>
      <c r="F38" s="9">
        <v>26</v>
      </c>
      <c r="G38" s="9">
        <v>2.4</v>
      </c>
      <c r="H38" s="9">
        <f>IF(MONTH(Call_Table_Data[[#This Row],[Date of Call]])&lt;=3,YEAR(Call_Table_Data[[#This Row],[Date of Call]]),YEAR(Call_Table_Data[[#This Row],[Date of Call]])+1)</f>
        <v>2023</v>
      </c>
      <c r="I38" s="9" t="str">
        <f>TEXT(Call_Table_Data[[#This Row],[Date of Call]],"DDDD")</f>
        <v>Sunday</v>
      </c>
      <c r="J38" s="9" t="str" cm="1">
        <f t="array" ref="J38">_xlfn.IFS(Call_Table_Data[[#This Row],[Duration]]&lt;=10,"Under 10 Mins",Call_Table_Data[[#This Row],[Duration]]&lt;=30,"10 to 30 Mins",Call_Table_Data[[#This Row],[Duration]]&lt;=60,"30 to 60 Mins",Call_Table_Data[[#This Row],[Duration]]&lt;=120,"1 to 2 Hours",TRUE,"More Than 2 Hours")</f>
        <v>1 to 2 Hours</v>
      </c>
      <c r="K38" s="9">
        <f>ROUND(Call_Table_Data[[#This Row],[Satisfaction Rating]],0)</f>
        <v>2</v>
      </c>
    </row>
    <row r="39" spans="1:11" x14ac:dyDescent="0.3">
      <c r="A39" s="9" t="s">
        <v>76</v>
      </c>
      <c r="B39" s="9" t="s">
        <v>54</v>
      </c>
      <c r="C39" s="9">
        <v>94</v>
      </c>
      <c r="D39" s="10" t="s">
        <v>46</v>
      </c>
      <c r="E39" s="11">
        <v>44942</v>
      </c>
      <c r="F39" s="9">
        <v>120</v>
      </c>
      <c r="G39" s="9">
        <v>3.1</v>
      </c>
      <c r="H39" s="9">
        <f>IF(MONTH(Call_Table_Data[[#This Row],[Date of Call]])&lt;=3,YEAR(Call_Table_Data[[#This Row],[Date of Call]]),YEAR(Call_Table_Data[[#This Row],[Date of Call]])+1)</f>
        <v>2023</v>
      </c>
      <c r="I39" s="9" t="str">
        <f>TEXT(Call_Table_Data[[#This Row],[Date of Call]],"DDDD")</f>
        <v>Monday</v>
      </c>
      <c r="J39" s="9" t="str" cm="1">
        <f t="array" ref="J39">_xlfn.IFS(Call_Table_Data[[#This Row],[Duration]]&lt;=10,"Under 10 Mins",Call_Table_Data[[#This Row],[Duration]]&lt;=30,"10 to 30 Mins",Call_Table_Data[[#This Row],[Duration]]&lt;=60,"30 to 60 Mins",Call_Table_Data[[#This Row],[Duration]]&lt;=120,"1 to 2 Hours",TRUE,"More Than 2 Hours")</f>
        <v>1 to 2 Hours</v>
      </c>
      <c r="K39" s="9">
        <f>ROUND(Call_Table_Data[[#This Row],[Satisfaction Rating]],0)</f>
        <v>3</v>
      </c>
    </row>
    <row r="40" spans="1:11" x14ac:dyDescent="0.3">
      <c r="A40" s="9" t="s">
        <v>77</v>
      </c>
      <c r="B40" s="9" t="s">
        <v>22</v>
      </c>
      <c r="C40" s="9">
        <v>90</v>
      </c>
      <c r="D40" s="10" t="s">
        <v>27</v>
      </c>
      <c r="E40" s="11">
        <v>44942</v>
      </c>
      <c r="F40" s="9">
        <v>132</v>
      </c>
      <c r="G40" s="9">
        <v>3.2</v>
      </c>
      <c r="H40" s="9">
        <f>IF(MONTH(Call_Table_Data[[#This Row],[Date of Call]])&lt;=3,YEAR(Call_Table_Data[[#This Row],[Date of Call]]),YEAR(Call_Table_Data[[#This Row],[Date of Call]])+1)</f>
        <v>2023</v>
      </c>
      <c r="I40" s="9" t="str">
        <f>TEXT(Call_Table_Data[[#This Row],[Date of Call]],"DDDD")</f>
        <v>Monday</v>
      </c>
      <c r="J40" s="9" t="str" cm="1">
        <f t="array" ref="J40">_xlfn.IFS(Call_Table_Data[[#This Row],[Duration]]&lt;=10,"Under 10 Mins",Call_Table_Data[[#This Row],[Duration]]&lt;=30,"10 to 30 Mins",Call_Table_Data[[#This Row],[Duration]]&lt;=60,"30 to 60 Mins",Call_Table_Data[[#This Row],[Duration]]&lt;=120,"1 to 2 Hours",TRUE,"More Than 2 Hours")</f>
        <v>1 to 2 Hours</v>
      </c>
      <c r="K40" s="9">
        <f>ROUND(Call_Table_Data[[#This Row],[Satisfaction Rating]],0)</f>
        <v>3</v>
      </c>
    </row>
    <row r="41" spans="1:11" x14ac:dyDescent="0.3">
      <c r="A41" s="9" t="s">
        <v>78</v>
      </c>
      <c r="B41" s="9" t="s">
        <v>54</v>
      </c>
      <c r="C41" s="9">
        <v>81</v>
      </c>
      <c r="D41" s="10" t="s">
        <v>40</v>
      </c>
      <c r="E41" s="11">
        <v>44943</v>
      </c>
      <c r="F41" s="9">
        <v>86</v>
      </c>
      <c r="G41" s="9">
        <v>2.4</v>
      </c>
      <c r="H41" s="9">
        <f>IF(MONTH(Call_Table_Data[[#This Row],[Date of Call]])&lt;=3,YEAR(Call_Table_Data[[#This Row],[Date of Call]]),YEAR(Call_Table_Data[[#This Row],[Date of Call]])+1)</f>
        <v>2023</v>
      </c>
      <c r="I41" s="9" t="str">
        <f>TEXT(Call_Table_Data[[#This Row],[Date of Call]],"DDDD")</f>
        <v>Tuesday</v>
      </c>
      <c r="J41" s="9" t="str" cm="1">
        <f t="array" ref="J41">_xlfn.IFS(Call_Table_Data[[#This Row],[Duration]]&lt;=10,"Under 10 Mins",Call_Table_Data[[#This Row],[Duration]]&lt;=30,"10 to 30 Mins",Call_Table_Data[[#This Row],[Duration]]&lt;=60,"30 to 60 Mins",Call_Table_Data[[#This Row],[Duration]]&lt;=120,"1 to 2 Hours",TRUE,"More Than 2 Hours")</f>
        <v>1 to 2 Hours</v>
      </c>
      <c r="K41" s="9">
        <f>ROUND(Call_Table_Data[[#This Row],[Satisfaction Rating]],0)</f>
        <v>2</v>
      </c>
    </row>
    <row r="42" spans="1:11" x14ac:dyDescent="0.3">
      <c r="A42" s="9" t="s">
        <v>79</v>
      </c>
      <c r="B42" s="9" t="s">
        <v>43</v>
      </c>
      <c r="C42" s="9">
        <v>106</v>
      </c>
      <c r="D42" s="10" t="s">
        <v>17</v>
      </c>
      <c r="E42" s="11">
        <v>44943</v>
      </c>
      <c r="F42" s="9">
        <v>108</v>
      </c>
      <c r="G42" s="9">
        <v>5</v>
      </c>
      <c r="H42" s="9">
        <f>IF(MONTH(Call_Table_Data[[#This Row],[Date of Call]])&lt;=3,YEAR(Call_Table_Data[[#This Row],[Date of Call]]),YEAR(Call_Table_Data[[#This Row],[Date of Call]])+1)</f>
        <v>2023</v>
      </c>
      <c r="I42" s="9" t="str">
        <f>TEXT(Call_Table_Data[[#This Row],[Date of Call]],"DDDD")</f>
        <v>Tuesday</v>
      </c>
      <c r="J42" s="9" t="str" cm="1">
        <f t="array" ref="J42">_xlfn.IFS(Call_Table_Data[[#This Row],[Duration]]&lt;=10,"Under 10 Mins",Call_Table_Data[[#This Row],[Duration]]&lt;=30,"10 to 30 Mins",Call_Table_Data[[#This Row],[Duration]]&lt;=60,"30 to 60 Mins",Call_Table_Data[[#This Row],[Duration]]&lt;=120,"1 to 2 Hours",TRUE,"More Than 2 Hours")</f>
        <v>1 to 2 Hours</v>
      </c>
      <c r="K42" s="9">
        <f>ROUND(Call_Table_Data[[#This Row],[Satisfaction Rating]],0)</f>
        <v>5</v>
      </c>
    </row>
    <row r="43" spans="1:11" x14ac:dyDescent="0.3">
      <c r="A43" s="9" t="s">
        <v>80</v>
      </c>
      <c r="B43" s="9" t="s">
        <v>22</v>
      </c>
      <c r="C43" s="9">
        <v>74</v>
      </c>
      <c r="D43" s="10" t="s">
        <v>40</v>
      </c>
      <c r="E43" s="11">
        <v>44943</v>
      </c>
      <c r="F43" s="9">
        <v>96</v>
      </c>
      <c r="G43" s="9">
        <v>4.7</v>
      </c>
      <c r="H43" s="9">
        <f>IF(MONTH(Call_Table_Data[[#This Row],[Date of Call]])&lt;=3,YEAR(Call_Table_Data[[#This Row],[Date of Call]]),YEAR(Call_Table_Data[[#This Row],[Date of Call]])+1)</f>
        <v>2023</v>
      </c>
      <c r="I43" s="9" t="str">
        <f>TEXT(Call_Table_Data[[#This Row],[Date of Call]],"DDDD")</f>
        <v>Tuesday</v>
      </c>
      <c r="J43" s="9" t="str" cm="1">
        <f t="array" ref="J43">_xlfn.IFS(Call_Table_Data[[#This Row],[Duration]]&lt;=10,"Under 10 Mins",Call_Table_Data[[#This Row],[Duration]]&lt;=30,"10 to 30 Mins",Call_Table_Data[[#This Row],[Duration]]&lt;=60,"30 to 60 Mins",Call_Table_Data[[#This Row],[Duration]]&lt;=120,"1 to 2 Hours",TRUE,"More Than 2 Hours")</f>
        <v>1 to 2 Hours</v>
      </c>
      <c r="K43" s="9">
        <f>ROUND(Call_Table_Data[[#This Row],[Satisfaction Rating]],0)</f>
        <v>5</v>
      </c>
    </row>
    <row r="44" spans="1:11" x14ac:dyDescent="0.3">
      <c r="A44" s="9" t="s">
        <v>81</v>
      </c>
      <c r="B44" s="9" t="s">
        <v>45</v>
      </c>
      <c r="C44" s="9">
        <v>105</v>
      </c>
      <c r="D44" s="10" t="s">
        <v>27</v>
      </c>
      <c r="E44" s="11">
        <v>44944</v>
      </c>
      <c r="F44" s="9">
        <v>80</v>
      </c>
      <c r="G44" s="9">
        <v>4.7</v>
      </c>
      <c r="H44" s="9">
        <f>IF(MONTH(Call_Table_Data[[#This Row],[Date of Call]])&lt;=3,YEAR(Call_Table_Data[[#This Row],[Date of Call]]),YEAR(Call_Table_Data[[#This Row],[Date of Call]])+1)</f>
        <v>2023</v>
      </c>
      <c r="I44" s="9" t="str">
        <f>TEXT(Call_Table_Data[[#This Row],[Date of Call]],"DDDD")</f>
        <v>Wednesday</v>
      </c>
      <c r="J44" s="9" t="str" cm="1">
        <f t="array" ref="J44">_xlfn.IFS(Call_Table_Data[[#This Row],[Duration]]&lt;=10,"Under 10 Mins",Call_Table_Data[[#This Row],[Duration]]&lt;=30,"10 to 30 Mins",Call_Table_Data[[#This Row],[Duration]]&lt;=60,"30 to 60 Mins",Call_Table_Data[[#This Row],[Duration]]&lt;=120,"1 to 2 Hours",TRUE,"More Than 2 Hours")</f>
        <v>1 to 2 Hours</v>
      </c>
      <c r="K44" s="9">
        <f>ROUND(Call_Table_Data[[#This Row],[Satisfaction Rating]],0)</f>
        <v>5</v>
      </c>
    </row>
    <row r="45" spans="1:11" x14ac:dyDescent="0.3">
      <c r="A45" s="9" t="s">
        <v>82</v>
      </c>
      <c r="B45" s="9" t="s">
        <v>43</v>
      </c>
      <c r="C45" s="9">
        <v>89</v>
      </c>
      <c r="D45" s="10" t="s">
        <v>17</v>
      </c>
      <c r="E45" s="11">
        <v>44944</v>
      </c>
      <c r="F45" s="9">
        <v>155</v>
      </c>
      <c r="G45" s="9">
        <v>4.0999999999999996</v>
      </c>
      <c r="H45" s="9">
        <f>IF(MONTH(Call_Table_Data[[#This Row],[Date of Call]])&lt;=3,YEAR(Call_Table_Data[[#This Row],[Date of Call]]),YEAR(Call_Table_Data[[#This Row],[Date of Call]])+1)</f>
        <v>2023</v>
      </c>
      <c r="I45" s="9" t="str">
        <f>TEXT(Call_Table_Data[[#This Row],[Date of Call]],"DDDD")</f>
        <v>Wednesday</v>
      </c>
      <c r="J45" s="9" t="str" cm="1">
        <f t="array" ref="J45">_xlfn.IFS(Call_Table_Data[[#This Row],[Duration]]&lt;=10,"Under 10 Mins",Call_Table_Data[[#This Row],[Duration]]&lt;=30,"10 to 30 Mins",Call_Table_Data[[#This Row],[Duration]]&lt;=60,"30 to 60 Mins",Call_Table_Data[[#This Row],[Duration]]&lt;=120,"1 to 2 Hours",TRUE,"More Than 2 Hours")</f>
        <v>1 to 2 Hours</v>
      </c>
      <c r="K45" s="9">
        <f>ROUND(Call_Table_Data[[#This Row],[Satisfaction Rating]],0)</f>
        <v>4</v>
      </c>
    </row>
    <row r="46" spans="1:11" x14ac:dyDescent="0.3">
      <c r="A46" s="9" t="s">
        <v>83</v>
      </c>
      <c r="B46" s="9" t="s">
        <v>49</v>
      </c>
      <c r="C46" s="9">
        <v>132</v>
      </c>
      <c r="D46" s="10" t="s">
        <v>46</v>
      </c>
      <c r="E46" s="11">
        <v>44944</v>
      </c>
      <c r="F46" s="9">
        <v>168</v>
      </c>
      <c r="G46" s="9">
        <v>4.0999999999999996</v>
      </c>
      <c r="H46" s="9">
        <f>IF(MONTH(Call_Table_Data[[#This Row],[Date of Call]])&lt;=3,YEAR(Call_Table_Data[[#This Row],[Date of Call]]),YEAR(Call_Table_Data[[#This Row],[Date of Call]])+1)</f>
        <v>2023</v>
      </c>
      <c r="I46" s="9" t="str">
        <f>TEXT(Call_Table_Data[[#This Row],[Date of Call]],"DDDD")</f>
        <v>Wednesday</v>
      </c>
      <c r="J46" s="9" t="str" cm="1">
        <f t="array" ref="J46">_xlfn.IFS(Call_Table_Data[[#This Row],[Duration]]&lt;=10,"Under 10 Mins",Call_Table_Data[[#This Row],[Duration]]&lt;=30,"10 to 30 Mins",Call_Table_Data[[#This Row],[Duration]]&lt;=60,"30 to 60 Mins",Call_Table_Data[[#This Row],[Duration]]&lt;=120,"1 to 2 Hours",TRUE,"More Than 2 Hours")</f>
        <v>More Than 2 Hours</v>
      </c>
      <c r="K46" s="9">
        <f>ROUND(Call_Table_Data[[#This Row],[Satisfaction Rating]],0)</f>
        <v>4</v>
      </c>
    </row>
    <row r="47" spans="1:11" x14ac:dyDescent="0.3">
      <c r="A47" s="9" t="s">
        <v>84</v>
      </c>
      <c r="B47" s="9" t="s">
        <v>18</v>
      </c>
      <c r="C47" s="9">
        <v>105</v>
      </c>
      <c r="D47" s="10" t="s">
        <v>33</v>
      </c>
      <c r="E47" s="11">
        <v>44944</v>
      </c>
      <c r="F47" s="9">
        <v>56</v>
      </c>
      <c r="G47" s="9">
        <v>3.6</v>
      </c>
      <c r="H47" s="9">
        <f>IF(MONTH(Call_Table_Data[[#This Row],[Date of Call]])&lt;=3,YEAR(Call_Table_Data[[#This Row],[Date of Call]]),YEAR(Call_Table_Data[[#This Row],[Date of Call]])+1)</f>
        <v>2023</v>
      </c>
      <c r="I47" s="9" t="str">
        <f>TEXT(Call_Table_Data[[#This Row],[Date of Call]],"DDDD")</f>
        <v>Wednesday</v>
      </c>
      <c r="J47" s="9" t="str" cm="1">
        <f t="array" ref="J47">_xlfn.IFS(Call_Table_Data[[#This Row],[Duration]]&lt;=10,"Under 10 Mins",Call_Table_Data[[#This Row],[Duration]]&lt;=30,"10 to 30 Mins",Call_Table_Data[[#This Row],[Duration]]&lt;=60,"30 to 60 Mins",Call_Table_Data[[#This Row],[Duration]]&lt;=120,"1 to 2 Hours",TRUE,"More Than 2 Hours")</f>
        <v>1 to 2 Hours</v>
      </c>
      <c r="K47" s="9">
        <f>ROUND(Call_Table_Data[[#This Row],[Satisfaction Rating]],0)</f>
        <v>4</v>
      </c>
    </row>
    <row r="48" spans="1:11" x14ac:dyDescent="0.3">
      <c r="A48" s="9" t="s">
        <v>85</v>
      </c>
      <c r="B48" s="9" t="s">
        <v>32</v>
      </c>
      <c r="C48" s="9">
        <v>13</v>
      </c>
      <c r="D48" s="10" t="s">
        <v>46</v>
      </c>
      <c r="E48" s="11">
        <v>44945</v>
      </c>
      <c r="F48" s="9">
        <v>32</v>
      </c>
      <c r="G48" s="9">
        <v>4.4000000000000004</v>
      </c>
      <c r="H48" s="9">
        <f>IF(MONTH(Call_Table_Data[[#This Row],[Date of Call]])&lt;=3,YEAR(Call_Table_Data[[#This Row],[Date of Call]]),YEAR(Call_Table_Data[[#This Row],[Date of Call]])+1)</f>
        <v>2023</v>
      </c>
      <c r="I48" s="9" t="str">
        <f>TEXT(Call_Table_Data[[#This Row],[Date of Call]],"DDDD")</f>
        <v>Thursday</v>
      </c>
      <c r="J48" s="9" t="str" cm="1">
        <f t="array" ref="J48">_xlfn.IFS(Call_Table_Data[[#This Row],[Duration]]&lt;=10,"Under 10 Mins",Call_Table_Data[[#This Row],[Duration]]&lt;=30,"10 to 30 Mins",Call_Table_Data[[#This Row],[Duration]]&lt;=60,"30 to 60 Mins",Call_Table_Data[[#This Row],[Duration]]&lt;=120,"1 to 2 Hours",TRUE,"More Than 2 Hours")</f>
        <v>10 to 30 Mins</v>
      </c>
      <c r="K48" s="9">
        <f>ROUND(Call_Table_Data[[#This Row],[Satisfaction Rating]],0)</f>
        <v>4</v>
      </c>
    </row>
    <row r="49" spans="1:11" x14ac:dyDescent="0.3">
      <c r="A49" s="9" t="s">
        <v>86</v>
      </c>
      <c r="B49" s="9" t="s">
        <v>30</v>
      </c>
      <c r="C49" s="9">
        <v>131</v>
      </c>
      <c r="D49" s="10" t="s">
        <v>33</v>
      </c>
      <c r="E49" s="11">
        <v>44945</v>
      </c>
      <c r="F49" s="9">
        <v>78</v>
      </c>
      <c r="G49" s="9">
        <v>4.4000000000000004</v>
      </c>
      <c r="H49" s="9">
        <f>IF(MONTH(Call_Table_Data[[#This Row],[Date of Call]])&lt;=3,YEAR(Call_Table_Data[[#This Row],[Date of Call]]),YEAR(Call_Table_Data[[#This Row],[Date of Call]])+1)</f>
        <v>2023</v>
      </c>
      <c r="I49" s="9" t="str">
        <f>TEXT(Call_Table_Data[[#This Row],[Date of Call]],"DDDD")</f>
        <v>Thursday</v>
      </c>
      <c r="J49" s="9" t="str" cm="1">
        <f t="array" ref="J49">_xlfn.IFS(Call_Table_Data[[#This Row],[Duration]]&lt;=10,"Under 10 Mins",Call_Table_Data[[#This Row],[Duration]]&lt;=30,"10 to 30 Mins",Call_Table_Data[[#This Row],[Duration]]&lt;=60,"30 to 60 Mins",Call_Table_Data[[#This Row],[Duration]]&lt;=120,"1 to 2 Hours",TRUE,"More Than 2 Hours")</f>
        <v>More Than 2 Hours</v>
      </c>
      <c r="K49" s="9">
        <f>ROUND(Call_Table_Data[[#This Row],[Satisfaction Rating]],0)</f>
        <v>4</v>
      </c>
    </row>
    <row r="50" spans="1:11" x14ac:dyDescent="0.3">
      <c r="A50" s="9" t="s">
        <v>87</v>
      </c>
      <c r="B50" s="9" t="s">
        <v>22</v>
      </c>
      <c r="C50" s="9">
        <v>104</v>
      </c>
      <c r="D50" s="10" t="s">
        <v>17</v>
      </c>
      <c r="E50" s="11">
        <v>44945</v>
      </c>
      <c r="F50" s="9">
        <v>86</v>
      </c>
      <c r="G50" s="9">
        <v>4</v>
      </c>
      <c r="H50" s="9">
        <f>IF(MONTH(Call_Table_Data[[#This Row],[Date of Call]])&lt;=3,YEAR(Call_Table_Data[[#This Row],[Date of Call]]),YEAR(Call_Table_Data[[#This Row],[Date of Call]])+1)</f>
        <v>2023</v>
      </c>
      <c r="I50" s="9" t="str">
        <f>TEXT(Call_Table_Data[[#This Row],[Date of Call]],"DDDD")</f>
        <v>Thursday</v>
      </c>
      <c r="J50" s="9" t="str" cm="1">
        <f t="array" ref="J50">_xlfn.IFS(Call_Table_Data[[#This Row],[Duration]]&lt;=10,"Under 10 Mins",Call_Table_Data[[#This Row],[Duration]]&lt;=30,"10 to 30 Mins",Call_Table_Data[[#This Row],[Duration]]&lt;=60,"30 to 60 Mins",Call_Table_Data[[#This Row],[Duration]]&lt;=120,"1 to 2 Hours",TRUE,"More Than 2 Hours")</f>
        <v>1 to 2 Hours</v>
      </c>
      <c r="K50" s="9">
        <f>ROUND(Call_Table_Data[[#This Row],[Satisfaction Rating]],0)</f>
        <v>4</v>
      </c>
    </row>
    <row r="51" spans="1:11" x14ac:dyDescent="0.3">
      <c r="A51" s="9" t="s">
        <v>88</v>
      </c>
      <c r="B51" s="9" t="s">
        <v>16</v>
      </c>
      <c r="C51" s="9">
        <v>90</v>
      </c>
      <c r="D51" s="10" t="s">
        <v>27</v>
      </c>
      <c r="E51" s="11">
        <v>44946</v>
      </c>
      <c r="F51" s="9">
        <v>64</v>
      </c>
      <c r="G51" s="9">
        <v>3.8</v>
      </c>
      <c r="H51" s="9">
        <f>IF(MONTH(Call_Table_Data[[#This Row],[Date of Call]])&lt;=3,YEAR(Call_Table_Data[[#This Row],[Date of Call]]),YEAR(Call_Table_Data[[#This Row],[Date of Call]])+1)</f>
        <v>2023</v>
      </c>
      <c r="I51" s="9" t="str">
        <f>TEXT(Call_Table_Data[[#This Row],[Date of Call]],"DDDD")</f>
        <v>Friday</v>
      </c>
      <c r="J51" s="9" t="str" cm="1">
        <f t="array" ref="J51">_xlfn.IFS(Call_Table_Data[[#This Row],[Duration]]&lt;=10,"Under 10 Mins",Call_Table_Data[[#This Row],[Duration]]&lt;=30,"10 to 30 Mins",Call_Table_Data[[#This Row],[Duration]]&lt;=60,"30 to 60 Mins",Call_Table_Data[[#This Row],[Duration]]&lt;=120,"1 to 2 Hours",TRUE,"More Than 2 Hours")</f>
        <v>1 to 2 Hours</v>
      </c>
      <c r="K51" s="9">
        <f>ROUND(Call_Table_Data[[#This Row],[Satisfaction Rating]],0)</f>
        <v>4</v>
      </c>
    </row>
    <row r="52" spans="1:11" x14ac:dyDescent="0.3">
      <c r="A52" s="9" t="s">
        <v>89</v>
      </c>
      <c r="B52" s="9" t="s">
        <v>50</v>
      </c>
      <c r="C52" s="9">
        <v>37</v>
      </c>
      <c r="D52" s="10" t="s">
        <v>27</v>
      </c>
      <c r="E52" s="11">
        <v>44946</v>
      </c>
      <c r="F52" s="9">
        <v>96</v>
      </c>
      <c r="G52" s="9">
        <v>3.6</v>
      </c>
      <c r="H52" s="9">
        <f>IF(MONTH(Call_Table_Data[[#This Row],[Date of Call]])&lt;=3,YEAR(Call_Table_Data[[#This Row],[Date of Call]]),YEAR(Call_Table_Data[[#This Row],[Date of Call]])+1)</f>
        <v>2023</v>
      </c>
      <c r="I52" s="9" t="str">
        <f>TEXT(Call_Table_Data[[#This Row],[Date of Call]],"DDDD")</f>
        <v>Friday</v>
      </c>
      <c r="J52" s="9" t="str" cm="1">
        <f t="array" ref="J52">_xlfn.IFS(Call_Table_Data[[#This Row],[Duration]]&lt;=10,"Under 10 Mins",Call_Table_Data[[#This Row],[Duration]]&lt;=30,"10 to 30 Mins",Call_Table_Data[[#This Row],[Duration]]&lt;=60,"30 to 60 Mins",Call_Table_Data[[#This Row],[Duration]]&lt;=120,"1 to 2 Hours",TRUE,"More Than 2 Hours")</f>
        <v>30 to 60 Mins</v>
      </c>
      <c r="K52" s="9">
        <f>ROUND(Call_Table_Data[[#This Row],[Satisfaction Rating]],0)</f>
        <v>4</v>
      </c>
    </row>
    <row r="53" spans="1:11" x14ac:dyDescent="0.3">
      <c r="A53" s="9" t="s">
        <v>90</v>
      </c>
      <c r="B53" s="9" t="s">
        <v>23</v>
      </c>
      <c r="C53" s="9">
        <v>149</v>
      </c>
      <c r="D53" s="10" t="s">
        <v>33</v>
      </c>
      <c r="E53" s="11">
        <v>44946</v>
      </c>
      <c r="F53" s="9">
        <v>72</v>
      </c>
      <c r="G53" s="9">
        <v>4.3</v>
      </c>
      <c r="H53" s="9">
        <f>IF(MONTH(Call_Table_Data[[#This Row],[Date of Call]])&lt;=3,YEAR(Call_Table_Data[[#This Row],[Date of Call]]),YEAR(Call_Table_Data[[#This Row],[Date of Call]])+1)</f>
        <v>2023</v>
      </c>
      <c r="I53" s="9" t="str">
        <f>TEXT(Call_Table_Data[[#This Row],[Date of Call]],"DDDD")</f>
        <v>Friday</v>
      </c>
      <c r="J53" s="9" t="str" cm="1">
        <f t="array" ref="J53">_xlfn.IFS(Call_Table_Data[[#This Row],[Duration]]&lt;=10,"Under 10 Mins",Call_Table_Data[[#This Row],[Duration]]&lt;=30,"10 to 30 Mins",Call_Table_Data[[#This Row],[Duration]]&lt;=60,"30 to 60 Mins",Call_Table_Data[[#This Row],[Duration]]&lt;=120,"1 to 2 Hours",TRUE,"More Than 2 Hours")</f>
        <v>More Than 2 Hours</v>
      </c>
      <c r="K53" s="9">
        <f>ROUND(Call_Table_Data[[#This Row],[Satisfaction Rating]],0)</f>
        <v>4</v>
      </c>
    </row>
    <row r="54" spans="1:11" x14ac:dyDescent="0.3">
      <c r="A54" s="9" t="s">
        <v>91</v>
      </c>
      <c r="B54" s="9" t="s">
        <v>49</v>
      </c>
      <c r="C54" s="9">
        <v>100</v>
      </c>
      <c r="D54" s="10" t="s">
        <v>40</v>
      </c>
      <c r="E54" s="11">
        <v>44947</v>
      </c>
      <c r="F54" s="9">
        <v>135</v>
      </c>
      <c r="G54" s="9">
        <v>3.8</v>
      </c>
      <c r="H54" s="9">
        <f>IF(MONTH(Call_Table_Data[[#This Row],[Date of Call]])&lt;=3,YEAR(Call_Table_Data[[#This Row],[Date of Call]]),YEAR(Call_Table_Data[[#This Row],[Date of Call]])+1)</f>
        <v>2023</v>
      </c>
      <c r="I54" s="9" t="str">
        <f>TEXT(Call_Table_Data[[#This Row],[Date of Call]],"DDDD")</f>
        <v>Saturday</v>
      </c>
      <c r="J54" s="9" t="str" cm="1">
        <f t="array" ref="J54">_xlfn.IFS(Call_Table_Data[[#This Row],[Duration]]&lt;=10,"Under 10 Mins",Call_Table_Data[[#This Row],[Duration]]&lt;=30,"10 to 30 Mins",Call_Table_Data[[#This Row],[Duration]]&lt;=60,"30 to 60 Mins",Call_Table_Data[[#This Row],[Duration]]&lt;=120,"1 to 2 Hours",TRUE,"More Than 2 Hours")</f>
        <v>1 to 2 Hours</v>
      </c>
      <c r="K54" s="9">
        <f>ROUND(Call_Table_Data[[#This Row],[Satisfaction Rating]],0)</f>
        <v>4</v>
      </c>
    </row>
    <row r="55" spans="1:11" x14ac:dyDescent="0.3">
      <c r="A55" s="9" t="s">
        <v>92</v>
      </c>
      <c r="B55" s="9" t="s">
        <v>49</v>
      </c>
      <c r="C55" s="9">
        <v>79</v>
      </c>
      <c r="D55" s="10" t="s">
        <v>46</v>
      </c>
      <c r="E55" s="11">
        <v>44947</v>
      </c>
      <c r="F55" s="9">
        <v>140</v>
      </c>
      <c r="G55" s="9">
        <v>4.5</v>
      </c>
      <c r="H55" s="9">
        <f>IF(MONTH(Call_Table_Data[[#This Row],[Date of Call]])&lt;=3,YEAR(Call_Table_Data[[#This Row],[Date of Call]]),YEAR(Call_Table_Data[[#This Row],[Date of Call]])+1)</f>
        <v>2023</v>
      </c>
      <c r="I55" s="9" t="str">
        <f>TEXT(Call_Table_Data[[#This Row],[Date of Call]],"DDDD")</f>
        <v>Saturday</v>
      </c>
      <c r="J55" s="9" t="str" cm="1">
        <f t="array" ref="J55">_xlfn.IFS(Call_Table_Data[[#This Row],[Duration]]&lt;=10,"Under 10 Mins",Call_Table_Data[[#This Row],[Duration]]&lt;=30,"10 to 30 Mins",Call_Table_Data[[#This Row],[Duration]]&lt;=60,"30 to 60 Mins",Call_Table_Data[[#This Row],[Duration]]&lt;=120,"1 to 2 Hours",TRUE,"More Than 2 Hours")</f>
        <v>1 to 2 Hours</v>
      </c>
      <c r="K55" s="9">
        <f>ROUND(Call_Table_Data[[#This Row],[Satisfaction Rating]],0)</f>
        <v>5</v>
      </c>
    </row>
    <row r="56" spans="1:11" x14ac:dyDescent="0.3">
      <c r="A56" s="9" t="s">
        <v>93</v>
      </c>
      <c r="B56" s="9" t="s">
        <v>41</v>
      </c>
      <c r="C56" s="9">
        <v>157</v>
      </c>
      <c r="D56" s="10" t="s">
        <v>33</v>
      </c>
      <c r="E56" s="11">
        <v>44947</v>
      </c>
      <c r="F56" s="9">
        <v>69</v>
      </c>
      <c r="G56" s="9">
        <v>4.5</v>
      </c>
      <c r="H56" s="9">
        <f>IF(MONTH(Call_Table_Data[[#This Row],[Date of Call]])&lt;=3,YEAR(Call_Table_Data[[#This Row],[Date of Call]]),YEAR(Call_Table_Data[[#This Row],[Date of Call]])+1)</f>
        <v>2023</v>
      </c>
      <c r="I56" s="9" t="str">
        <f>TEXT(Call_Table_Data[[#This Row],[Date of Call]],"DDDD")</f>
        <v>Saturday</v>
      </c>
      <c r="J56" s="9" t="str" cm="1">
        <f t="array" ref="J56">_xlfn.IFS(Call_Table_Data[[#This Row],[Duration]]&lt;=10,"Under 10 Mins",Call_Table_Data[[#This Row],[Duration]]&lt;=30,"10 to 30 Mins",Call_Table_Data[[#This Row],[Duration]]&lt;=60,"30 to 60 Mins",Call_Table_Data[[#This Row],[Duration]]&lt;=120,"1 to 2 Hours",TRUE,"More Than 2 Hours")</f>
        <v>More Than 2 Hours</v>
      </c>
      <c r="K56" s="9">
        <f>ROUND(Call_Table_Data[[#This Row],[Satisfaction Rating]],0)</f>
        <v>5</v>
      </c>
    </row>
    <row r="57" spans="1:11" x14ac:dyDescent="0.3">
      <c r="A57" s="9" t="s">
        <v>94</v>
      </c>
      <c r="B57" s="9" t="s">
        <v>49</v>
      </c>
      <c r="C57" s="9">
        <v>59</v>
      </c>
      <c r="D57" s="10" t="s">
        <v>17</v>
      </c>
      <c r="E57" s="11">
        <v>44948</v>
      </c>
      <c r="F57" s="9">
        <v>136</v>
      </c>
      <c r="G57" s="9">
        <v>4.5999999999999996</v>
      </c>
      <c r="H57" s="9">
        <f>IF(MONTH(Call_Table_Data[[#This Row],[Date of Call]])&lt;=3,YEAR(Call_Table_Data[[#This Row],[Date of Call]]),YEAR(Call_Table_Data[[#This Row],[Date of Call]])+1)</f>
        <v>2023</v>
      </c>
      <c r="I57" s="9" t="str">
        <f>TEXT(Call_Table_Data[[#This Row],[Date of Call]],"DDDD")</f>
        <v>Sunday</v>
      </c>
      <c r="J57" s="9" t="str" cm="1">
        <f t="array" ref="J57">_xlfn.IFS(Call_Table_Data[[#This Row],[Duration]]&lt;=10,"Under 10 Mins",Call_Table_Data[[#This Row],[Duration]]&lt;=30,"10 to 30 Mins",Call_Table_Data[[#This Row],[Duration]]&lt;=60,"30 to 60 Mins",Call_Table_Data[[#This Row],[Duration]]&lt;=120,"1 to 2 Hours",TRUE,"More Than 2 Hours")</f>
        <v>30 to 60 Mins</v>
      </c>
      <c r="K57" s="9">
        <f>ROUND(Call_Table_Data[[#This Row],[Satisfaction Rating]],0)</f>
        <v>5</v>
      </c>
    </row>
    <row r="58" spans="1:11" x14ac:dyDescent="0.3">
      <c r="A58" s="9" t="s">
        <v>95</v>
      </c>
      <c r="B58" s="9" t="s">
        <v>50</v>
      </c>
      <c r="C58" s="9">
        <v>83</v>
      </c>
      <c r="D58" s="10" t="s">
        <v>33</v>
      </c>
      <c r="E58" s="11">
        <v>44948</v>
      </c>
      <c r="F58" s="9">
        <v>28</v>
      </c>
      <c r="G58" s="9">
        <v>4.5</v>
      </c>
      <c r="H58" s="9">
        <f>IF(MONTH(Call_Table_Data[[#This Row],[Date of Call]])&lt;=3,YEAR(Call_Table_Data[[#This Row],[Date of Call]]),YEAR(Call_Table_Data[[#This Row],[Date of Call]])+1)</f>
        <v>2023</v>
      </c>
      <c r="I58" s="9" t="str">
        <f>TEXT(Call_Table_Data[[#This Row],[Date of Call]],"DDDD")</f>
        <v>Sunday</v>
      </c>
      <c r="J58" s="9" t="str" cm="1">
        <f t="array" ref="J58">_xlfn.IFS(Call_Table_Data[[#This Row],[Duration]]&lt;=10,"Under 10 Mins",Call_Table_Data[[#This Row],[Duration]]&lt;=30,"10 to 30 Mins",Call_Table_Data[[#This Row],[Duration]]&lt;=60,"30 to 60 Mins",Call_Table_Data[[#This Row],[Duration]]&lt;=120,"1 to 2 Hours",TRUE,"More Than 2 Hours")</f>
        <v>1 to 2 Hours</v>
      </c>
      <c r="K58" s="9">
        <f>ROUND(Call_Table_Data[[#This Row],[Satisfaction Rating]],0)</f>
        <v>5</v>
      </c>
    </row>
    <row r="59" spans="1:11" x14ac:dyDescent="0.3">
      <c r="A59" s="9" t="s">
        <v>96</v>
      </c>
      <c r="B59" s="9" t="s">
        <v>41</v>
      </c>
      <c r="C59" s="9">
        <v>58</v>
      </c>
      <c r="D59" s="10" t="s">
        <v>27</v>
      </c>
      <c r="E59" s="11">
        <v>44949</v>
      </c>
      <c r="F59" s="9">
        <v>135</v>
      </c>
      <c r="G59" s="9">
        <v>3.3</v>
      </c>
      <c r="H59" s="9">
        <f>IF(MONTH(Call_Table_Data[[#This Row],[Date of Call]])&lt;=3,YEAR(Call_Table_Data[[#This Row],[Date of Call]]),YEAR(Call_Table_Data[[#This Row],[Date of Call]])+1)</f>
        <v>2023</v>
      </c>
      <c r="I59" s="9" t="str">
        <f>TEXT(Call_Table_Data[[#This Row],[Date of Call]],"DDDD")</f>
        <v>Monday</v>
      </c>
      <c r="J59" s="9" t="str" cm="1">
        <f t="array" ref="J59">_xlfn.IFS(Call_Table_Data[[#This Row],[Duration]]&lt;=10,"Under 10 Mins",Call_Table_Data[[#This Row],[Duration]]&lt;=30,"10 to 30 Mins",Call_Table_Data[[#This Row],[Duration]]&lt;=60,"30 to 60 Mins",Call_Table_Data[[#This Row],[Duration]]&lt;=120,"1 to 2 Hours",TRUE,"More Than 2 Hours")</f>
        <v>30 to 60 Mins</v>
      </c>
      <c r="K59" s="9">
        <f>ROUND(Call_Table_Data[[#This Row],[Satisfaction Rating]],0)</f>
        <v>3</v>
      </c>
    </row>
    <row r="60" spans="1:11" x14ac:dyDescent="0.3">
      <c r="A60" s="9" t="s">
        <v>97</v>
      </c>
      <c r="B60" s="9" t="s">
        <v>54</v>
      </c>
      <c r="C60" s="9">
        <v>118</v>
      </c>
      <c r="D60" s="10" t="s">
        <v>27</v>
      </c>
      <c r="E60" s="11">
        <v>44949</v>
      </c>
      <c r="F60" s="9">
        <v>126</v>
      </c>
      <c r="G60" s="9">
        <v>2.2999999999999998</v>
      </c>
      <c r="H60" s="9">
        <f>IF(MONTH(Call_Table_Data[[#This Row],[Date of Call]])&lt;=3,YEAR(Call_Table_Data[[#This Row],[Date of Call]]),YEAR(Call_Table_Data[[#This Row],[Date of Call]])+1)</f>
        <v>2023</v>
      </c>
      <c r="I60" s="9" t="str">
        <f>TEXT(Call_Table_Data[[#This Row],[Date of Call]],"DDDD")</f>
        <v>Monday</v>
      </c>
      <c r="J60" s="9" t="str" cm="1">
        <f t="array" ref="J60">_xlfn.IFS(Call_Table_Data[[#This Row],[Duration]]&lt;=10,"Under 10 Mins",Call_Table_Data[[#This Row],[Duration]]&lt;=30,"10 to 30 Mins",Call_Table_Data[[#This Row],[Duration]]&lt;=60,"30 to 60 Mins",Call_Table_Data[[#This Row],[Duration]]&lt;=120,"1 to 2 Hours",TRUE,"More Than 2 Hours")</f>
        <v>1 to 2 Hours</v>
      </c>
      <c r="K60" s="9">
        <f>ROUND(Call_Table_Data[[#This Row],[Satisfaction Rating]],0)</f>
        <v>2</v>
      </c>
    </row>
    <row r="61" spans="1:11" x14ac:dyDescent="0.3">
      <c r="A61" s="9" t="s">
        <v>98</v>
      </c>
      <c r="B61" s="9" t="s">
        <v>32</v>
      </c>
      <c r="C61" s="9">
        <v>63</v>
      </c>
      <c r="D61" s="10" t="s">
        <v>17</v>
      </c>
      <c r="E61" s="11">
        <v>44949</v>
      </c>
      <c r="F61" s="9">
        <v>160</v>
      </c>
      <c r="G61" s="9">
        <v>4.3</v>
      </c>
      <c r="H61" s="9">
        <f>IF(MONTH(Call_Table_Data[[#This Row],[Date of Call]])&lt;=3,YEAR(Call_Table_Data[[#This Row],[Date of Call]]),YEAR(Call_Table_Data[[#This Row],[Date of Call]])+1)</f>
        <v>2023</v>
      </c>
      <c r="I61" s="9" t="str">
        <f>TEXT(Call_Table_Data[[#This Row],[Date of Call]],"DDDD")</f>
        <v>Monday</v>
      </c>
      <c r="J61" s="9" t="str" cm="1">
        <f t="array" ref="J61">_xlfn.IFS(Call_Table_Data[[#This Row],[Duration]]&lt;=10,"Under 10 Mins",Call_Table_Data[[#This Row],[Duration]]&lt;=30,"10 to 30 Mins",Call_Table_Data[[#This Row],[Duration]]&lt;=60,"30 to 60 Mins",Call_Table_Data[[#This Row],[Duration]]&lt;=120,"1 to 2 Hours",TRUE,"More Than 2 Hours")</f>
        <v>1 to 2 Hours</v>
      </c>
      <c r="K61" s="9">
        <f>ROUND(Call_Table_Data[[#This Row],[Satisfaction Rating]],0)</f>
        <v>4</v>
      </c>
    </row>
    <row r="62" spans="1:11" x14ac:dyDescent="0.3">
      <c r="A62" s="9" t="s">
        <v>99</v>
      </c>
      <c r="B62" s="9" t="s">
        <v>41</v>
      </c>
      <c r="C62" s="9">
        <v>95</v>
      </c>
      <c r="D62" s="10" t="s">
        <v>27</v>
      </c>
      <c r="E62" s="11">
        <v>44950</v>
      </c>
      <c r="F62" s="9">
        <v>48</v>
      </c>
      <c r="G62" s="9">
        <v>4.5999999999999996</v>
      </c>
      <c r="H62" s="9">
        <f>IF(MONTH(Call_Table_Data[[#This Row],[Date of Call]])&lt;=3,YEAR(Call_Table_Data[[#This Row],[Date of Call]]),YEAR(Call_Table_Data[[#This Row],[Date of Call]])+1)</f>
        <v>2023</v>
      </c>
      <c r="I62" s="9" t="str">
        <f>TEXT(Call_Table_Data[[#This Row],[Date of Call]],"DDDD")</f>
        <v>Tuesday</v>
      </c>
      <c r="J62" s="9" t="str" cm="1">
        <f t="array" ref="J62">_xlfn.IFS(Call_Table_Data[[#This Row],[Duration]]&lt;=10,"Under 10 Mins",Call_Table_Data[[#This Row],[Duration]]&lt;=30,"10 to 30 Mins",Call_Table_Data[[#This Row],[Duration]]&lt;=60,"30 to 60 Mins",Call_Table_Data[[#This Row],[Duration]]&lt;=120,"1 to 2 Hours",TRUE,"More Than 2 Hours")</f>
        <v>1 to 2 Hours</v>
      </c>
      <c r="K62" s="9">
        <f>ROUND(Call_Table_Data[[#This Row],[Satisfaction Rating]],0)</f>
        <v>5</v>
      </c>
    </row>
    <row r="63" spans="1:11" x14ac:dyDescent="0.3">
      <c r="A63" s="9" t="s">
        <v>100</v>
      </c>
      <c r="B63" s="9" t="s">
        <v>49</v>
      </c>
      <c r="C63" s="9">
        <v>74</v>
      </c>
      <c r="D63" s="10" t="s">
        <v>33</v>
      </c>
      <c r="E63" s="11">
        <v>44950</v>
      </c>
      <c r="F63" s="9">
        <v>66</v>
      </c>
      <c r="G63" s="9">
        <v>4</v>
      </c>
      <c r="H63" s="9">
        <f>IF(MONTH(Call_Table_Data[[#This Row],[Date of Call]])&lt;=3,YEAR(Call_Table_Data[[#This Row],[Date of Call]]),YEAR(Call_Table_Data[[#This Row],[Date of Call]])+1)</f>
        <v>2023</v>
      </c>
      <c r="I63" s="9" t="str">
        <f>TEXT(Call_Table_Data[[#This Row],[Date of Call]],"DDDD")</f>
        <v>Tuesday</v>
      </c>
      <c r="J63" s="9" t="str" cm="1">
        <f t="array" ref="J63">_xlfn.IFS(Call_Table_Data[[#This Row],[Duration]]&lt;=10,"Under 10 Mins",Call_Table_Data[[#This Row],[Duration]]&lt;=30,"10 to 30 Mins",Call_Table_Data[[#This Row],[Duration]]&lt;=60,"30 to 60 Mins",Call_Table_Data[[#This Row],[Duration]]&lt;=120,"1 to 2 Hours",TRUE,"More Than 2 Hours")</f>
        <v>1 to 2 Hours</v>
      </c>
      <c r="K63" s="9">
        <f>ROUND(Call_Table_Data[[#This Row],[Satisfaction Rating]],0)</f>
        <v>4</v>
      </c>
    </row>
    <row r="64" spans="1:11" x14ac:dyDescent="0.3">
      <c r="A64" s="9" t="s">
        <v>101</v>
      </c>
      <c r="B64" s="9" t="s">
        <v>45</v>
      </c>
      <c r="C64" s="9">
        <v>130</v>
      </c>
      <c r="D64" s="10" t="s">
        <v>40</v>
      </c>
      <c r="E64" s="11">
        <v>44950</v>
      </c>
      <c r="F64" s="9">
        <v>126</v>
      </c>
      <c r="G64" s="9">
        <v>2.5</v>
      </c>
      <c r="H64" s="9">
        <f>IF(MONTH(Call_Table_Data[[#This Row],[Date of Call]])&lt;=3,YEAR(Call_Table_Data[[#This Row],[Date of Call]]),YEAR(Call_Table_Data[[#This Row],[Date of Call]])+1)</f>
        <v>2023</v>
      </c>
      <c r="I64" s="9" t="str">
        <f>TEXT(Call_Table_Data[[#This Row],[Date of Call]],"DDDD")</f>
        <v>Tuesday</v>
      </c>
      <c r="J64" s="9" t="str" cm="1">
        <f t="array" ref="J64">_xlfn.IFS(Call_Table_Data[[#This Row],[Duration]]&lt;=10,"Under 10 Mins",Call_Table_Data[[#This Row],[Duration]]&lt;=30,"10 to 30 Mins",Call_Table_Data[[#This Row],[Duration]]&lt;=60,"30 to 60 Mins",Call_Table_Data[[#This Row],[Duration]]&lt;=120,"1 to 2 Hours",TRUE,"More Than 2 Hours")</f>
        <v>More Than 2 Hours</v>
      </c>
      <c r="K64" s="9">
        <f>ROUND(Call_Table_Data[[#This Row],[Satisfaction Rating]],0)</f>
        <v>3</v>
      </c>
    </row>
    <row r="65" spans="1:11" x14ac:dyDescent="0.3">
      <c r="A65" s="9" t="s">
        <v>102</v>
      </c>
      <c r="B65" s="9" t="s">
        <v>54</v>
      </c>
      <c r="C65" s="9">
        <v>110</v>
      </c>
      <c r="D65" s="10" t="s">
        <v>46</v>
      </c>
      <c r="E65" s="11">
        <v>44950</v>
      </c>
      <c r="F65" s="9">
        <v>96</v>
      </c>
      <c r="G65" s="9">
        <v>5</v>
      </c>
      <c r="H65" s="9">
        <f>IF(MONTH(Call_Table_Data[[#This Row],[Date of Call]])&lt;=3,YEAR(Call_Table_Data[[#This Row],[Date of Call]]),YEAR(Call_Table_Data[[#This Row],[Date of Call]])+1)</f>
        <v>2023</v>
      </c>
      <c r="I65" s="9" t="str">
        <f>TEXT(Call_Table_Data[[#This Row],[Date of Call]],"DDDD")</f>
        <v>Tuesday</v>
      </c>
      <c r="J65" s="9" t="str" cm="1">
        <f t="array" ref="J65">_xlfn.IFS(Call_Table_Data[[#This Row],[Duration]]&lt;=10,"Under 10 Mins",Call_Table_Data[[#This Row],[Duration]]&lt;=30,"10 to 30 Mins",Call_Table_Data[[#This Row],[Duration]]&lt;=60,"30 to 60 Mins",Call_Table_Data[[#This Row],[Duration]]&lt;=120,"1 to 2 Hours",TRUE,"More Than 2 Hours")</f>
        <v>1 to 2 Hours</v>
      </c>
      <c r="K65" s="9">
        <f>ROUND(Call_Table_Data[[#This Row],[Satisfaction Rating]],0)</f>
        <v>5</v>
      </c>
    </row>
    <row r="66" spans="1:11" x14ac:dyDescent="0.3">
      <c r="A66" s="9" t="s">
        <v>103</v>
      </c>
      <c r="B66" s="9" t="s">
        <v>49</v>
      </c>
      <c r="C66" s="9">
        <v>71</v>
      </c>
      <c r="D66" s="10" t="s">
        <v>17</v>
      </c>
      <c r="E66" s="11">
        <v>44951</v>
      </c>
      <c r="F66" s="9">
        <v>90</v>
      </c>
      <c r="G66" s="9">
        <v>3.8</v>
      </c>
      <c r="H66" s="9">
        <f>IF(MONTH(Call_Table_Data[[#This Row],[Date of Call]])&lt;=3,YEAR(Call_Table_Data[[#This Row],[Date of Call]]),YEAR(Call_Table_Data[[#This Row],[Date of Call]])+1)</f>
        <v>2023</v>
      </c>
      <c r="I66" s="9" t="str">
        <f>TEXT(Call_Table_Data[[#This Row],[Date of Call]],"DDDD")</f>
        <v>Wednesday</v>
      </c>
      <c r="J66" s="9" t="str" cm="1">
        <f t="array" ref="J66">_xlfn.IFS(Call_Table_Data[[#This Row],[Duration]]&lt;=10,"Under 10 Mins",Call_Table_Data[[#This Row],[Duration]]&lt;=30,"10 to 30 Mins",Call_Table_Data[[#This Row],[Duration]]&lt;=60,"30 to 60 Mins",Call_Table_Data[[#This Row],[Duration]]&lt;=120,"1 to 2 Hours",TRUE,"More Than 2 Hours")</f>
        <v>1 to 2 Hours</v>
      </c>
      <c r="K66" s="9">
        <f>ROUND(Call_Table_Data[[#This Row],[Satisfaction Rating]],0)</f>
        <v>4</v>
      </c>
    </row>
    <row r="67" spans="1:11" x14ac:dyDescent="0.3">
      <c r="A67" s="9" t="s">
        <v>104</v>
      </c>
      <c r="B67" s="9" t="s">
        <v>18</v>
      </c>
      <c r="C67" s="9">
        <v>147</v>
      </c>
      <c r="D67" s="10" t="s">
        <v>40</v>
      </c>
      <c r="E67" s="11">
        <v>44951</v>
      </c>
      <c r="F67" s="9">
        <v>105</v>
      </c>
      <c r="G67" s="9">
        <v>4.4000000000000004</v>
      </c>
      <c r="H67" s="9">
        <f>IF(MONTH(Call_Table_Data[[#This Row],[Date of Call]])&lt;=3,YEAR(Call_Table_Data[[#This Row],[Date of Call]]),YEAR(Call_Table_Data[[#This Row],[Date of Call]])+1)</f>
        <v>2023</v>
      </c>
      <c r="I67" s="9" t="str">
        <f>TEXT(Call_Table_Data[[#This Row],[Date of Call]],"DDDD")</f>
        <v>Wednesday</v>
      </c>
      <c r="J67" s="9" t="str" cm="1">
        <f t="array" ref="J67">_xlfn.IFS(Call_Table_Data[[#This Row],[Duration]]&lt;=10,"Under 10 Mins",Call_Table_Data[[#This Row],[Duration]]&lt;=30,"10 to 30 Mins",Call_Table_Data[[#This Row],[Duration]]&lt;=60,"30 to 60 Mins",Call_Table_Data[[#This Row],[Duration]]&lt;=120,"1 to 2 Hours",TRUE,"More Than 2 Hours")</f>
        <v>More Than 2 Hours</v>
      </c>
      <c r="K67" s="9">
        <f>ROUND(Call_Table_Data[[#This Row],[Satisfaction Rating]],0)</f>
        <v>4</v>
      </c>
    </row>
    <row r="68" spans="1:11" x14ac:dyDescent="0.3">
      <c r="A68" s="9" t="s">
        <v>105</v>
      </c>
      <c r="B68" s="9" t="s">
        <v>22</v>
      </c>
      <c r="C68" s="9">
        <v>69</v>
      </c>
      <c r="D68" s="10" t="s">
        <v>27</v>
      </c>
      <c r="E68" s="11">
        <v>44952</v>
      </c>
      <c r="F68" s="9">
        <v>40</v>
      </c>
      <c r="G68" s="9">
        <v>3.8</v>
      </c>
      <c r="H68" s="9">
        <f>IF(MONTH(Call_Table_Data[[#This Row],[Date of Call]])&lt;=3,YEAR(Call_Table_Data[[#This Row],[Date of Call]]),YEAR(Call_Table_Data[[#This Row],[Date of Call]])+1)</f>
        <v>2023</v>
      </c>
      <c r="I68" s="9" t="str">
        <f>TEXT(Call_Table_Data[[#This Row],[Date of Call]],"DDDD")</f>
        <v>Thursday</v>
      </c>
      <c r="J68" s="9" t="str" cm="1">
        <f t="array" ref="J68">_xlfn.IFS(Call_Table_Data[[#This Row],[Duration]]&lt;=10,"Under 10 Mins",Call_Table_Data[[#This Row],[Duration]]&lt;=30,"10 to 30 Mins",Call_Table_Data[[#This Row],[Duration]]&lt;=60,"30 to 60 Mins",Call_Table_Data[[#This Row],[Duration]]&lt;=120,"1 to 2 Hours",TRUE,"More Than 2 Hours")</f>
        <v>1 to 2 Hours</v>
      </c>
      <c r="K68" s="9">
        <f>ROUND(Call_Table_Data[[#This Row],[Satisfaction Rating]],0)</f>
        <v>4</v>
      </c>
    </row>
    <row r="69" spans="1:11" x14ac:dyDescent="0.3">
      <c r="A69" s="9" t="s">
        <v>106</v>
      </c>
      <c r="B69" s="9" t="s">
        <v>54</v>
      </c>
      <c r="C69" s="9">
        <v>50</v>
      </c>
      <c r="D69" s="10" t="s">
        <v>17</v>
      </c>
      <c r="E69" s="11">
        <v>44952</v>
      </c>
      <c r="F69" s="9">
        <v>60</v>
      </c>
      <c r="G69" s="9">
        <v>2</v>
      </c>
      <c r="H69" s="9">
        <f>IF(MONTH(Call_Table_Data[[#This Row],[Date of Call]])&lt;=3,YEAR(Call_Table_Data[[#This Row],[Date of Call]]),YEAR(Call_Table_Data[[#This Row],[Date of Call]])+1)</f>
        <v>2023</v>
      </c>
      <c r="I69" s="9" t="str">
        <f>TEXT(Call_Table_Data[[#This Row],[Date of Call]],"DDDD")</f>
        <v>Thursday</v>
      </c>
      <c r="J69" s="9" t="str" cm="1">
        <f t="array" ref="J69">_xlfn.IFS(Call_Table_Data[[#This Row],[Duration]]&lt;=10,"Under 10 Mins",Call_Table_Data[[#This Row],[Duration]]&lt;=30,"10 to 30 Mins",Call_Table_Data[[#This Row],[Duration]]&lt;=60,"30 to 60 Mins",Call_Table_Data[[#This Row],[Duration]]&lt;=120,"1 to 2 Hours",TRUE,"More Than 2 Hours")</f>
        <v>30 to 60 Mins</v>
      </c>
      <c r="K69" s="9">
        <f>ROUND(Call_Table_Data[[#This Row],[Satisfaction Rating]],0)</f>
        <v>2</v>
      </c>
    </row>
    <row r="70" spans="1:11" x14ac:dyDescent="0.3">
      <c r="A70" s="9" t="s">
        <v>107</v>
      </c>
      <c r="B70" s="9" t="s">
        <v>45</v>
      </c>
      <c r="C70" s="9">
        <v>124</v>
      </c>
      <c r="D70" s="10" t="s">
        <v>40</v>
      </c>
      <c r="E70" s="11">
        <v>44953</v>
      </c>
      <c r="F70" s="9">
        <v>215</v>
      </c>
      <c r="G70" s="9">
        <v>4.0999999999999996</v>
      </c>
      <c r="H70" s="9">
        <f>IF(MONTH(Call_Table_Data[[#This Row],[Date of Call]])&lt;=3,YEAR(Call_Table_Data[[#This Row],[Date of Call]]),YEAR(Call_Table_Data[[#This Row],[Date of Call]])+1)</f>
        <v>2023</v>
      </c>
      <c r="I70" s="9" t="str">
        <f>TEXT(Call_Table_Data[[#This Row],[Date of Call]],"DDDD")</f>
        <v>Friday</v>
      </c>
      <c r="J70" s="9" t="str" cm="1">
        <f t="array" ref="J70">_xlfn.IFS(Call_Table_Data[[#This Row],[Duration]]&lt;=10,"Under 10 Mins",Call_Table_Data[[#This Row],[Duration]]&lt;=30,"10 to 30 Mins",Call_Table_Data[[#This Row],[Duration]]&lt;=60,"30 to 60 Mins",Call_Table_Data[[#This Row],[Duration]]&lt;=120,"1 to 2 Hours",TRUE,"More Than 2 Hours")</f>
        <v>More Than 2 Hours</v>
      </c>
      <c r="K70" s="9">
        <f>ROUND(Call_Table_Data[[#This Row],[Satisfaction Rating]],0)</f>
        <v>4</v>
      </c>
    </row>
    <row r="71" spans="1:11" x14ac:dyDescent="0.3">
      <c r="A71" s="9" t="s">
        <v>108</v>
      </c>
      <c r="B71" s="9" t="s">
        <v>26</v>
      </c>
      <c r="C71" s="9">
        <v>81</v>
      </c>
      <c r="D71" s="10" t="s">
        <v>33</v>
      </c>
      <c r="E71" s="11">
        <v>44953</v>
      </c>
      <c r="F71" s="9">
        <v>156</v>
      </c>
      <c r="G71" s="9">
        <v>2.6</v>
      </c>
      <c r="H71" s="9">
        <f>IF(MONTH(Call_Table_Data[[#This Row],[Date of Call]])&lt;=3,YEAR(Call_Table_Data[[#This Row],[Date of Call]]),YEAR(Call_Table_Data[[#This Row],[Date of Call]])+1)</f>
        <v>2023</v>
      </c>
      <c r="I71" s="9" t="str">
        <f>TEXT(Call_Table_Data[[#This Row],[Date of Call]],"DDDD")</f>
        <v>Friday</v>
      </c>
      <c r="J71" s="9" t="str" cm="1">
        <f t="array" ref="J71">_xlfn.IFS(Call_Table_Data[[#This Row],[Duration]]&lt;=10,"Under 10 Mins",Call_Table_Data[[#This Row],[Duration]]&lt;=30,"10 to 30 Mins",Call_Table_Data[[#This Row],[Duration]]&lt;=60,"30 to 60 Mins",Call_Table_Data[[#This Row],[Duration]]&lt;=120,"1 to 2 Hours",TRUE,"More Than 2 Hours")</f>
        <v>1 to 2 Hours</v>
      </c>
      <c r="K71" s="9">
        <f>ROUND(Call_Table_Data[[#This Row],[Satisfaction Rating]],0)</f>
        <v>3</v>
      </c>
    </row>
    <row r="72" spans="1:11" x14ac:dyDescent="0.3">
      <c r="A72" s="9" t="s">
        <v>109</v>
      </c>
      <c r="B72" s="9" t="s">
        <v>35</v>
      </c>
      <c r="C72" s="9">
        <v>141</v>
      </c>
      <c r="D72" s="10" t="s">
        <v>46</v>
      </c>
      <c r="E72" s="11">
        <v>44953</v>
      </c>
      <c r="F72" s="9">
        <v>54</v>
      </c>
      <c r="G72" s="9">
        <v>0</v>
      </c>
      <c r="H72" s="9">
        <f>IF(MONTH(Call_Table_Data[[#This Row],[Date of Call]])&lt;=3,YEAR(Call_Table_Data[[#This Row],[Date of Call]]),YEAR(Call_Table_Data[[#This Row],[Date of Call]])+1)</f>
        <v>2023</v>
      </c>
      <c r="I72" s="9" t="str">
        <f>TEXT(Call_Table_Data[[#This Row],[Date of Call]],"DDDD")</f>
        <v>Friday</v>
      </c>
      <c r="J72" s="9" t="str" cm="1">
        <f t="array" ref="J72">_xlfn.IFS(Call_Table_Data[[#This Row],[Duration]]&lt;=10,"Under 10 Mins",Call_Table_Data[[#This Row],[Duration]]&lt;=30,"10 to 30 Mins",Call_Table_Data[[#This Row],[Duration]]&lt;=60,"30 to 60 Mins",Call_Table_Data[[#This Row],[Duration]]&lt;=120,"1 to 2 Hours",TRUE,"More Than 2 Hours")</f>
        <v>More Than 2 Hours</v>
      </c>
      <c r="K72" s="9">
        <f>ROUND(Call_Table_Data[[#This Row],[Satisfaction Rating]],0)</f>
        <v>0</v>
      </c>
    </row>
    <row r="73" spans="1:11" x14ac:dyDescent="0.3">
      <c r="A73" s="9" t="s">
        <v>110</v>
      </c>
      <c r="B73" s="9" t="s">
        <v>35</v>
      </c>
      <c r="C73" s="9">
        <v>168</v>
      </c>
      <c r="D73" s="10" t="s">
        <v>46</v>
      </c>
      <c r="E73" s="11">
        <v>44954</v>
      </c>
      <c r="F73" s="9">
        <v>160</v>
      </c>
      <c r="G73" s="9">
        <v>3.9</v>
      </c>
      <c r="H73" s="9">
        <f>IF(MONTH(Call_Table_Data[[#This Row],[Date of Call]])&lt;=3,YEAR(Call_Table_Data[[#This Row],[Date of Call]]),YEAR(Call_Table_Data[[#This Row],[Date of Call]])+1)</f>
        <v>2023</v>
      </c>
      <c r="I73" s="9" t="str">
        <f>TEXT(Call_Table_Data[[#This Row],[Date of Call]],"DDDD")</f>
        <v>Saturday</v>
      </c>
      <c r="J73" s="9" t="str" cm="1">
        <f t="array" ref="J73">_xlfn.IFS(Call_Table_Data[[#This Row],[Duration]]&lt;=10,"Under 10 Mins",Call_Table_Data[[#This Row],[Duration]]&lt;=30,"10 to 30 Mins",Call_Table_Data[[#This Row],[Duration]]&lt;=60,"30 to 60 Mins",Call_Table_Data[[#This Row],[Duration]]&lt;=120,"1 to 2 Hours",TRUE,"More Than 2 Hours")</f>
        <v>More Than 2 Hours</v>
      </c>
      <c r="K73" s="9">
        <f>ROUND(Call_Table_Data[[#This Row],[Satisfaction Rating]],0)</f>
        <v>4</v>
      </c>
    </row>
    <row r="74" spans="1:11" x14ac:dyDescent="0.3">
      <c r="A74" s="9" t="s">
        <v>111</v>
      </c>
      <c r="B74" s="9" t="s">
        <v>18</v>
      </c>
      <c r="C74" s="9">
        <v>101</v>
      </c>
      <c r="D74" s="10" t="s">
        <v>33</v>
      </c>
      <c r="E74" s="11">
        <v>44954</v>
      </c>
      <c r="F74" s="9">
        <v>80</v>
      </c>
      <c r="G74" s="9">
        <v>4.8</v>
      </c>
      <c r="H74" s="9">
        <f>IF(MONTH(Call_Table_Data[[#This Row],[Date of Call]])&lt;=3,YEAR(Call_Table_Data[[#This Row],[Date of Call]]),YEAR(Call_Table_Data[[#This Row],[Date of Call]])+1)</f>
        <v>2023</v>
      </c>
      <c r="I74" s="9" t="str">
        <f>TEXT(Call_Table_Data[[#This Row],[Date of Call]],"DDDD")</f>
        <v>Saturday</v>
      </c>
      <c r="J74" s="9" t="str" cm="1">
        <f t="array" ref="J74">_xlfn.IFS(Call_Table_Data[[#This Row],[Duration]]&lt;=10,"Under 10 Mins",Call_Table_Data[[#This Row],[Duration]]&lt;=30,"10 to 30 Mins",Call_Table_Data[[#This Row],[Duration]]&lt;=60,"30 to 60 Mins",Call_Table_Data[[#This Row],[Duration]]&lt;=120,"1 to 2 Hours",TRUE,"More Than 2 Hours")</f>
        <v>1 to 2 Hours</v>
      </c>
      <c r="K74" s="9">
        <f>ROUND(Call_Table_Data[[#This Row],[Satisfaction Rating]],0)</f>
        <v>5</v>
      </c>
    </row>
    <row r="75" spans="1:11" x14ac:dyDescent="0.3">
      <c r="A75" s="9" t="s">
        <v>112</v>
      </c>
      <c r="B75" s="9" t="s">
        <v>49</v>
      </c>
      <c r="C75" s="9">
        <v>67</v>
      </c>
      <c r="D75" s="10" t="s">
        <v>33</v>
      </c>
      <c r="E75" s="11">
        <v>44954</v>
      </c>
      <c r="F75" s="9">
        <v>168</v>
      </c>
      <c r="G75" s="9">
        <v>2.6</v>
      </c>
      <c r="H75" s="9">
        <f>IF(MONTH(Call_Table_Data[[#This Row],[Date of Call]])&lt;=3,YEAR(Call_Table_Data[[#This Row],[Date of Call]]),YEAR(Call_Table_Data[[#This Row],[Date of Call]])+1)</f>
        <v>2023</v>
      </c>
      <c r="I75" s="9" t="str">
        <f>TEXT(Call_Table_Data[[#This Row],[Date of Call]],"DDDD")</f>
        <v>Saturday</v>
      </c>
      <c r="J75" s="9" t="str" cm="1">
        <f t="array" ref="J75">_xlfn.IFS(Call_Table_Data[[#This Row],[Duration]]&lt;=10,"Under 10 Mins",Call_Table_Data[[#This Row],[Duration]]&lt;=30,"10 to 30 Mins",Call_Table_Data[[#This Row],[Duration]]&lt;=60,"30 to 60 Mins",Call_Table_Data[[#This Row],[Duration]]&lt;=120,"1 to 2 Hours",TRUE,"More Than 2 Hours")</f>
        <v>1 to 2 Hours</v>
      </c>
      <c r="K75" s="9">
        <f>ROUND(Call_Table_Data[[#This Row],[Satisfaction Rating]],0)</f>
        <v>3</v>
      </c>
    </row>
    <row r="76" spans="1:11" x14ac:dyDescent="0.3">
      <c r="A76" s="9" t="s">
        <v>113</v>
      </c>
      <c r="B76" s="9" t="s">
        <v>41</v>
      </c>
      <c r="C76" s="9">
        <v>114</v>
      </c>
      <c r="D76" s="10" t="s">
        <v>46</v>
      </c>
      <c r="E76" s="11">
        <v>44956</v>
      </c>
      <c r="F76" s="9">
        <v>42</v>
      </c>
      <c r="G76" s="9">
        <v>2.6</v>
      </c>
      <c r="H76" s="9">
        <f>IF(MONTH(Call_Table_Data[[#This Row],[Date of Call]])&lt;=3,YEAR(Call_Table_Data[[#This Row],[Date of Call]]),YEAR(Call_Table_Data[[#This Row],[Date of Call]])+1)</f>
        <v>2023</v>
      </c>
      <c r="I76" s="9" t="str">
        <f>TEXT(Call_Table_Data[[#This Row],[Date of Call]],"DDDD")</f>
        <v>Monday</v>
      </c>
      <c r="J76" s="9" t="str" cm="1">
        <f t="array" ref="J76">_xlfn.IFS(Call_Table_Data[[#This Row],[Duration]]&lt;=10,"Under 10 Mins",Call_Table_Data[[#This Row],[Duration]]&lt;=30,"10 to 30 Mins",Call_Table_Data[[#This Row],[Duration]]&lt;=60,"30 to 60 Mins",Call_Table_Data[[#This Row],[Duration]]&lt;=120,"1 to 2 Hours",TRUE,"More Than 2 Hours")</f>
        <v>1 to 2 Hours</v>
      </c>
      <c r="K76" s="9">
        <f>ROUND(Call_Table_Data[[#This Row],[Satisfaction Rating]],0)</f>
        <v>3</v>
      </c>
    </row>
    <row r="77" spans="1:11" x14ac:dyDescent="0.3">
      <c r="A77" s="9" t="s">
        <v>114</v>
      </c>
      <c r="B77" s="9" t="s">
        <v>26</v>
      </c>
      <c r="C77" s="9">
        <v>42</v>
      </c>
      <c r="D77" s="10" t="s">
        <v>33</v>
      </c>
      <c r="E77" s="11">
        <v>44956</v>
      </c>
      <c r="F77" s="9">
        <v>205</v>
      </c>
      <c r="G77" s="9">
        <v>3.6</v>
      </c>
      <c r="H77" s="9">
        <f>IF(MONTH(Call_Table_Data[[#This Row],[Date of Call]])&lt;=3,YEAR(Call_Table_Data[[#This Row],[Date of Call]]),YEAR(Call_Table_Data[[#This Row],[Date of Call]])+1)</f>
        <v>2023</v>
      </c>
      <c r="I77" s="9" t="str">
        <f>TEXT(Call_Table_Data[[#This Row],[Date of Call]],"DDDD")</f>
        <v>Monday</v>
      </c>
      <c r="J77" s="9" t="str" cm="1">
        <f t="array" ref="J77">_xlfn.IFS(Call_Table_Data[[#This Row],[Duration]]&lt;=10,"Under 10 Mins",Call_Table_Data[[#This Row],[Duration]]&lt;=30,"10 to 30 Mins",Call_Table_Data[[#This Row],[Duration]]&lt;=60,"30 to 60 Mins",Call_Table_Data[[#This Row],[Duration]]&lt;=120,"1 to 2 Hours",TRUE,"More Than 2 Hours")</f>
        <v>30 to 60 Mins</v>
      </c>
      <c r="K77" s="9">
        <f>ROUND(Call_Table_Data[[#This Row],[Satisfaction Rating]],0)</f>
        <v>4</v>
      </c>
    </row>
    <row r="78" spans="1:11" x14ac:dyDescent="0.3">
      <c r="A78" s="9" t="s">
        <v>115</v>
      </c>
      <c r="B78" s="9" t="s">
        <v>32</v>
      </c>
      <c r="C78" s="9">
        <v>69</v>
      </c>
      <c r="D78" s="10" t="s">
        <v>46</v>
      </c>
      <c r="E78" s="11">
        <v>44956</v>
      </c>
      <c r="F78" s="9">
        <v>108</v>
      </c>
      <c r="G78" s="9">
        <v>3.3</v>
      </c>
      <c r="H78" s="9">
        <f>IF(MONTH(Call_Table_Data[[#This Row],[Date of Call]])&lt;=3,YEAR(Call_Table_Data[[#This Row],[Date of Call]]),YEAR(Call_Table_Data[[#This Row],[Date of Call]])+1)</f>
        <v>2023</v>
      </c>
      <c r="I78" s="9" t="str">
        <f>TEXT(Call_Table_Data[[#This Row],[Date of Call]],"DDDD")</f>
        <v>Monday</v>
      </c>
      <c r="J78" s="9" t="str" cm="1">
        <f t="array" ref="J78">_xlfn.IFS(Call_Table_Data[[#This Row],[Duration]]&lt;=10,"Under 10 Mins",Call_Table_Data[[#This Row],[Duration]]&lt;=30,"10 to 30 Mins",Call_Table_Data[[#This Row],[Duration]]&lt;=60,"30 to 60 Mins",Call_Table_Data[[#This Row],[Duration]]&lt;=120,"1 to 2 Hours",TRUE,"More Than 2 Hours")</f>
        <v>1 to 2 Hours</v>
      </c>
      <c r="K78" s="9">
        <f>ROUND(Call_Table_Data[[#This Row],[Satisfaction Rating]],0)</f>
        <v>3</v>
      </c>
    </row>
    <row r="79" spans="1:11" x14ac:dyDescent="0.3">
      <c r="A79" s="9" t="s">
        <v>116</v>
      </c>
      <c r="B79" s="9" t="s">
        <v>45</v>
      </c>
      <c r="C79" s="9">
        <v>145</v>
      </c>
      <c r="D79" s="10" t="s">
        <v>27</v>
      </c>
      <c r="E79" s="11">
        <v>44956</v>
      </c>
      <c r="F79" s="9">
        <v>78</v>
      </c>
      <c r="G79" s="9">
        <v>1.9</v>
      </c>
      <c r="H79" s="9">
        <f>IF(MONTH(Call_Table_Data[[#This Row],[Date of Call]])&lt;=3,YEAR(Call_Table_Data[[#This Row],[Date of Call]]),YEAR(Call_Table_Data[[#This Row],[Date of Call]])+1)</f>
        <v>2023</v>
      </c>
      <c r="I79" s="9" t="str">
        <f>TEXT(Call_Table_Data[[#This Row],[Date of Call]],"DDDD")</f>
        <v>Monday</v>
      </c>
      <c r="J79" s="9" t="str" cm="1">
        <f t="array" ref="J79">_xlfn.IFS(Call_Table_Data[[#This Row],[Duration]]&lt;=10,"Under 10 Mins",Call_Table_Data[[#This Row],[Duration]]&lt;=30,"10 to 30 Mins",Call_Table_Data[[#This Row],[Duration]]&lt;=60,"30 to 60 Mins",Call_Table_Data[[#This Row],[Duration]]&lt;=120,"1 to 2 Hours",TRUE,"More Than 2 Hours")</f>
        <v>More Than 2 Hours</v>
      </c>
      <c r="K79" s="9">
        <f>ROUND(Call_Table_Data[[#This Row],[Satisfaction Rating]],0)</f>
        <v>2</v>
      </c>
    </row>
    <row r="80" spans="1:11" x14ac:dyDescent="0.3">
      <c r="A80" s="9" t="s">
        <v>117</v>
      </c>
      <c r="B80" s="9" t="s">
        <v>22</v>
      </c>
      <c r="C80" s="9">
        <v>43</v>
      </c>
      <c r="D80" s="10" t="s">
        <v>46</v>
      </c>
      <c r="E80" s="11">
        <v>44956</v>
      </c>
      <c r="F80" s="9">
        <v>23</v>
      </c>
      <c r="G80" s="9">
        <v>4.9000000000000004</v>
      </c>
      <c r="H80" s="9">
        <f>IF(MONTH(Call_Table_Data[[#This Row],[Date of Call]])&lt;=3,YEAR(Call_Table_Data[[#This Row],[Date of Call]]),YEAR(Call_Table_Data[[#This Row],[Date of Call]])+1)</f>
        <v>2023</v>
      </c>
      <c r="I80" s="9" t="str">
        <f>TEXT(Call_Table_Data[[#This Row],[Date of Call]],"DDDD")</f>
        <v>Monday</v>
      </c>
      <c r="J80" s="9" t="str" cm="1">
        <f t="array" ref="J80">_xlfn.IFS(Call_Table_Data[[#This Row],[Duration]]&lt;=10,"Under 10 Mins",Call_Table_Data[[#This Row],[Duration]]&lt;=30,"10 to 30 Mins",Call_Table_Data[[#This Row],[Duration]]&lt;=60,"30 to 60 Mins",Call_Table_Data[[#This Row],[Duration]]&lt;=120,"1 to 2 Hours",TRUE,"More Than 2 Hours")</f>
        <v>30 to 60 Mins</v>
      </c>
      <c r="K80" s="9">
        <f>ROUND(Call_Table_Data[[#This Row],[Satisfaction Rating]],0)</f>
        <v>5</v>
      </c>
    </row>
    <row r="81" spans="1:11" x14ac:dyDescent="0.3">
      <c r="A81" s="9" t="s">
        <v>118</v>
      </c>
      <c r="B81" s="9" t="s">
        <v>32</v>
      </c>
      <c r="C81" s="9">
        <v>62</v>
      </c>
      <c r="D81" s="10" t="s">
        <v>17</v>
      </c>
      <c r="E81" s="11">
        <v>44957</v>
      </c>
      <c r="F81" s="9">
        <v>99</v>
      </c>
      <c r="G81" s="9">
        <v>3.6</v>
      </c>
      <c r="H81" s="9">
        <f>IF(MONTH(Call_Table_Data[[#This Row],[Date of Call]])&lt;=3,YEAR(Call_Table_Data[[#This Row],[Date of Call]]),YEAR(Call_Table_Data[[#This Row],[Date of Call]])+1)</f>
        <v>2023</v>
      </c>
      <c r="I81" s="9" t="str">
        <f>TEXT(Call_Table_Data[[#This Row],[Date of Call]],"DDDD")</f>
        <v>Tuesday</v>
      </c>
      <c r="J81" s="9" t="str" cm="1">
        <f t="array" ref="J81">_xlfn.IFS(Call_Table_Data[[#This Row],[Duration]]&lt;=10,"Under 10 Mins",Call_Table_Data[[#This Row],[Duration]]&lt;=30,"10 to 30 Mins",Call_Table_Data[[#This Row],[Duration]]&lt;=60,"30 to 60 Mins",Call_Table_Data[[#This Row],[Duration]]&lt;=120,"1 to 2 Hours",TRUE,"More Than 2 Hours")</f>
        <v>1 to 2 Hours</v>
      </c>
      <c r="K81" s="9">
        <f>ROUND(Call_Table_Data[[#This Row],[Satisfaction Rating]],0)</f>
        <v>4</v>
      </c>
    </row>
    <row r="82" spans="1:11" x14ac:dyDescent="0.3">
      <c r="A82" s="9" t="s">
        <v>119</v>
      </c>
      <c r="B82" s="9" t="s">
        <v>43</v>
      </c>
      <c r="C82" s="9">
        <v>79</v>
      </c>
      <c r="D82" s="10" t="s">
        <v>46</v>
      </c>
      <c r="E82" s="11">
        <v>44958</v>
      </c>
      <c r="F82" s="9">
        <v>148</v>
      </c>
      <c r="G82" s="9">
        <v>4.5</v>
      </c>
      <c r="H82" s="9">
        <f>IF(MONTH(Call_Table_Data[[#This Row],[Date of Call]])&lt;=3,YEAR(Call_Table_Data[[#This Row],[Date of Call]]),YEAR(Call_Table_Data[[#This Row],[Date of Call]])+1)</f>
        <v>2023</v>
      </c>
      <c r="I82" s="9" t="str">
        <f>TEXT(Call_Table_Data[[#This Row],[Date of Call]],"DDDD")</f>
        <v>Wednesday</v>
      </c>
      <c r="J82" s="9" t="str" cm="1">
        <f t="array" ref="J82">_xlfn.IFS(Call_Table_Data[[#This Row],[Duration]]&lt;=10,"Under 10 Mins",Call_Table_Data[[#This Row],[Duration]]&lt;=30,"10 to 30 Mins",Call_Table_Data[[#This Row],[Duration]]&lt;=60,"30 to 60 Mins",Call_Table_Data[[#This Row],[Duration]]&lt;=120,"1 to 2 Hours",TRUE,"More Than 2 Hours")</f>
        <v>1 to 2 Hours</v>
      </c>
      <c r="K82" s="9">
        <f>ROUND(Call_Table_Data[[#This Row],[Satisfaction Rating]],0)</f>
        <v>5</v>
      </c>
    </row>
    <row r="83" spans="1:11" x14ac:dyDescent="0.3">
      <c r="A83" s="9" t="s">
        <v>120</v>
      </c>
      <c r="B83" s="9" t="s">
        <v>45</v>
      </c>
      <c r="C83" s="9">
        <v>45</v>
      </c>
      <c r="D83" s="10" t="s">
        <v>40</v>
      </c>
      <c r="E83" s="11">
        <v>44958</v>
      </c>
      <c r="F83" s="9">
        <v>34</v>
      </c>
      <c r="G83" s="9">
        <v>3.7</v>
      </c>
      <c r="H83" s="9">
        <f>IF(MONTH(Call_Table_Data[[#This Row],[Date of Call]])&lt;=3,YEAR(Call_Table_Data[[#This Row],[Date of Call]]),YEAR(Call_Table_Data[[#This Row],[Date of Call]])+1)</f>
        <v>2023</v>
      </c>
      <c r="I83" s="9" t="str">
        <f>TEXT(Call_Table_Data[[#This Row],[Date of Call]],"DDDD")</f>
        <v>Wednesday</v>
      </c>
      <c r="J83" s="9" t="str" cm="1">
        <f t="array" ref="J83">_xlfn.IFS(Call_Table_Data[[#This Row],[Duration]]&lt;=10,"Under 10 Mins",Call_Table_Data[[#This Row],[Duration]]&lt;=30,"10 to 30 Mins",Call_Table_Data[[#This Row],[Duration]]&lt;=60,"30 to 60 Mins",Call_Table_Data[[#This Row],[Duration]]&lt;=120,"1 to 2 Hours",TRUE,"More Than 2 Hours")</f>
        <v>30 to 60 Mins</v>
      </c>
      <c r="K83" s="9">
        <f>ROUND(Call_Table_Data[[#This Row],[Satisfaction Rating]],0)</f>
        <v>4</v>
      </c>
    </row>
    <row r="84" spans="1:11" x14ac:dyDescent="0.3">
      <c r="A84" s="9" t="s">
        <v>121</v>
      </c>
      <c r="B84" s="9" t="s">
        <v>32</v>
      </c>
      <c r="C84" s="9">
        <v>137</v>
      </c>
      <c r="D84" s="10" t="s">
        <v>46</v>
      </c>
      <c r="E84" s="11">
        <v>44958</v>
      </c>
      <c r="F84" s="9">
        <v>86</v>
      </c>
      <c r="G84" s="9">
        <v>4.8</v>
      </c>
      <c r="H84" s="9">
        <f>IF(MONTH(Call_Table_Data[[#This Row],[Date of Call]])&lt;=3,YEAR(Call_Table_Data[[#This Row],[Date of Call]]),YEAR(Call_Table_Data[[#This Row],[Date of Call]])+1)</f>
        <v>2023</v>
      </c>
      <c r="I84" s="9" t="str">
        <f>TEXT(Call_Table_Data[[#This Row],[Date of Call]],"DDDD")</f>
        <v>Wednesday</v>
      </c>
      <c r="J84" s="9" t="str" cm="1">
        <f t="array" ref="J84">_xlfn.IFS(Call_Table_Data[[#This Row],[Duration]]&lt;=10,"Under 10 Mins",Call_Table_Data[[#This Row],[Duration]]&lt;=30,"10 to 30 Mins",Call_Table_Data[[#This Row],[Duration]]&lt;=60,"30 to 60 Mins",Call_Table_Data[[#This Row],[Duration]]&lt;=120,"1 to 2 Hours",TRUE,"More Than 2 Hours")</f>
        <v>More Than 2 Hours</v>
      </c>
      <c r="K84" s="9">
        <f>ROUND(Call_Table_Data[[#This Row],[Satisfaction Rating]],0)</f>
        <v>5</v>
      </c>
    </row>
    <row r="85" spans="1:11" x14ac:dyDescent="0.3">
      <c r="A85" s="9" t="s">
        <v>122</v>
      </c>
      <c r="B85" s="9" t="s">
        <v>41</v>
      </c>
      <c r="C85" s="9">
        <v>109</v>
      </c>
      <c r="D85" s="10" t="s">
        <v>17</v>
      </c>
      <c r="E85" s="11">
        <v>44958</v>
      </c>
      <c r="F85" s="9">
        <v>105</v>
      </c>
      <c r="G85" s="9">
        <v>3.3</v>
      </c>
      <c r="H85" s="9">
        <f>IF(MONTH(Call_Table_Data[[#This Row],[Date of Call]])&lt;=3,YEAR(Call_Table_Data[[#This Row],[Date of Call]]),YEAR(Call_Table_Data[[#This Row],[Date of Call]])+1)</f>
        <v>2023</v>
      </c>
      <c r="I85" s="9" t="str">
        <f>TEXT(Call_Table_Data[[#This Row],[Date of Call]],"DDDD")</f>
        <v>Wednesday</v>
      </c>
      <c r="J85" s="9" t="str" cm="1">
        <f t="array" ref="J85">_xlfn.IFS(Call_Table_Data[[#This Row],[Duration]]&lt;=10,"Under 10 Mins",Call_Table_Data[[#This Row],[Duration]]&lt;=30,"10 to 30 Mins",Call_Table_Data[[#This Row],[Duration]]&lt;=60,"30 to 60 Mins",Call_Table_Data[[#This Row],[Duration]]&lt;=120,"1 to 2 Hours",TRUE,"More Than 2 Hours")</f>
        <v>1 to 2 Hours</v>
      </c>
      <c r="K85" s="9">
        <f>ROUND(Call_Table_Data[[#This Row],[Satisfaction Rating]],0)</f>
        <v>3</v>
      </c>
    </row>
    <row r="86" spans="1:11" x14ac:dyDescent="0.3">
      <c r="A86" s="9" t="s">
        <v>123</v>
      </c>
      <c r="B86" s="9" t="s">
        <v>22</v>
      </c>
      <c r="C86" s="9">
        <v>78</v>
      </c>
      <c r="D86" s="10" t="s">
        <v>17</v>
      </c>
      <c r="E86" s="11">
        <v>44958</v>
      </c>
      <c r="F86" s="9">
        <v>62</v>
      </c>
      <c r="G86" s="9">
        <v>3.1</v>
      </c>
      <c r="H86" s="9">
        <f>IF(MONTH(Call_Table_Data[[#This Row],[Date of Call]])&lt;=3,YEAR(Call_Table_Data[[#This Row],[Date of Call]]),YEAR(Call_Table_Data[[#This Row],[Date of Call]])+1)</f>
        <v>2023</v>
      </c>
      <c r="I86" s="9" t="str">
        <f>TEXT(Call_Table_Data[[#This Row],[Date of Call]],"DDDD")</f>
        <v>Wednesday</v>
      </c>
      <c r="J86" s="9" t="str" cm="1">
        <f t="array" ref="J86">_xlfn.IFS(Call_Table_Data[[#This Row],[Duration]]&lt;=10,"Under 10 Mins",Call_Table_Data[[#This Row],[Duration]]&lt;=30,"10 to 30 Mins",Call_Table_Data[[#This Row],[Duration]]&lt;=60,"30 to 60 Mins",Call_Table_Data[[#This Row],[Duration]]&lt;=120,"1 to 2 Hours",TRUE,"More Than 2 Hours")</f>
        <v>1 to 2 Hours</v>
      </c>
      <c r="K86" s="9">
        <f>ROUND(Call_Table_Data[[#This Row],[Satisfaction Rating]],0)</f>
        <v>3</v>
      </c>
    </row>
    <row r="87" spans="1:11" x14ac:dyDescent="0.3">
      <c r="A87" s="9" t="s">
        <v>124</v>
      </c>
      <c r="B87" s="9" t="s">
        <v>32</v>
      </c>
      <c r="C87" s="9">
        <v>137</v>
      </c>
      <c r="D87" s="10" t="s">
        <v>40</v>
      </c>
      <c r="E87" s="11">
        <v>44958</v>
      </c>
      <c r="F87" s="9">
        <v>90</v>
      </c>
      <c r="G87" s="9">
        <v>4.0999999999999996</v>
      </c>
      <c r="H87" s="9">
        <f>IF(MONTH(Call_Table_Data[[#This Row],[Date of Call]])&lt;=3,YEAR(Call_Table_Data[[#This Row],[Date of Call]]),YEAR(Call_Table_Data[[#This Row],[Date of Call]])+1)</f>
        <v>2023</v>
      </c>
      <c r="I87" s="9" t="str">
        <f>TEXT(Call_Table_Data[[#This Row],[Date of Call]],"DDDD")</f>
        <v>Wednesday</v>
      </c>
      <c r="J87" s="9" t="str" cm="1">
        <f t="array" ref="J87">_xlfn.IFS(Call_Table_Data[[#This Row],[Duration]]&lt;=10,"Under 10 Mins",Call_Table_Data[[#This Row],[Duration]]&lt;=30,"10 to 30 Mins",Call_Table_Data[[#This Row],[Duration]]&lt;=60,"30 to 60 Mins",Call_Table_Data[[#This Row],[Duration]]&lt;=120,"1 to 2 Hours",TRUE,"More Than 2 Hours")</f>
        <v>More Than 2 Hours</v>
      </c>
      <c r="K87" s="9">
        <f>ROUND(Call_Table_Data[[#This Row],[Satisfaction Rating]],0)</f>
        <v>4</v>
      </c>
    </row>
    <row r="88" spans="1:11" x14ac:dyDescent="0.3">
      <c r="A88" s="9" t="s">
        <v>125</v>
      </c>
      <c r="B88" s="9" t="s">
        <v>30</v>
      </c>
      <c r="C88" s="9">
        <v>99</v>
      </c>
      <c r="D88" s="10" t="s">
        <v>17</v>
      </c>
      <c r="E88" s="11">
        <v>44959</v>
      </c>
      <c r="F88" s="9">
        <v>112</v>
      </c>
      <c r="G88" s="9">
        <v>4.9000000000000004</v>
      </c>
      <c r="H88" s="9">
        <f>IF(MONTH(Call_Table_Data[[#This Row],[Date of Call]])&lt;=3,YEAR(Call_Table_Data[[#This Row],[Date of Call]]),YEAR(Call_Table_Data[[#This Row],[Date of Call]])+1)</f>
        <v>2023</v>
      </c>
      <c r="I88" s="9" t="str">
        <f>TEXT(Call_Table_Data[[#This Row],[Date of Call]],"DDDD")</f>
        <v>Thursday</v>
      </c>
      <c r="J88" s="9" t="str" cm="1">
        <f t="array" ref="J88">_xlfn.IFS(Call_Table_Data[[#This Row],[Duration]]&lt;=10,"Under 10 Mins",Call_Table_Data[[#This Row],[Duration]]&lt;=30,"10 to 30 Mins",Call_Table_Data[[#This Row],[Duration]]&lt;=60,"30 to 60 Mins",Call_Table_Data[[#This Row],[Duration]]&lt;=120,"1 to 2 Hours",TRUE,"More Than 2 Hours")</f>
        <v>1 to 2 Hours</v>
      </c>
      <c r="K88" s="9">
        <f>ROUND(Call_Table_Data[[#This Row],[Satisfaction Rating]],0)</f>
        <v>5</v>
      </c>
    </row>
    <row r="89" spans="1:11" x14ac:dyDescent="0.3">
      <c r="A89" s="9" t="s">
        <v>126</v>
      </c>
      <c r="B89" s="9" t="s">
        <v>54</v>
      </c>
      <c r="C89" s="9">
        <v>100</v>
      </c>
      <c r="D89" s="10" t="s">
        <v>17</v>
      </c>
      <c r="E89" s="11">
        <v>44959</v>
      </c>
      <c r="F89" s="9">
        <v>135</v>
      </c>
      <c r="G89" s="9">
        <v>4</v>
      </c>
      <c r="H89" s="9">
        <f>IF(MONTH(Call_Table_Data[[#This Row],[Date of Call]])&lt;=3,YEAR(Call_Table_Data[[#This Row],[Date of Call]]),YEAR(Call_Table_Data[[#This Row],[Date of Call]])+1)</f>
        <v>2023</v>
      </c>
      <c r="I89" s="9" t="str">
        <f>TEXT(Call_Table_Data[[#This Row],[Date of Call]],"DDDD")</f>
        <v>Thursday</v>
      </c>
      <c r="J89" s="9" t="str" cm="1">
        <f t="array" ref="J89">_xlfn.IFS(Call_Table_Data[[#This Row],[Duration]]&lt;=10,"Under 10 Mins",Call_Table_Data[[#This Row],[Duration]]&lt;=30,"10 to 30 Mins",Call_Table_Data[[#This Row],[Duration]]&lt;=60,"30 to 60 Mins",Call_Table_Data[[#This Row],[Duration]]&lt;=120,"1 to 2 Hours",TRUE,"More Than 2 Hours")</f>
        <v>1 to 2 Hours</v>
      </c>
      <c r="K89" s="9">
        <f>ROUND(Call_Table_Data[[#This Row],[Satisfaction Rating]],0)</f>
        <v>4</v>
      </c>
    </row>
    <row r="90" spans="1:11" x14ac:dyDescent="0.3">
      <c r="A90" s="9" t="s">
        <v>127</v>
      </c>
      <c r="B90" s="9" t="s">
        <v>22</v>
      </c>
      <c r="C90" s="9">
        <v>47</v>
      </c>
      <c r="D90" s="10" t="s">
        <v>27</v>
      </c>
      <c r="E90" s="11">
        <v>44959</v>
      </c>
      <c r="F90" s="9">
        <v>34</v>
      </c>
      <c r="G90" s="9">
        <v>2.1</v>
      </c>
      <c r="H90" s="9">
        <f>IF(MONTH(Call_Table_Data[[#This Row],[Date of Call]])&lt;=3,YEAR(Call_Table_Data[[#This Row],[Date of Call]]),YEAR(Call_Table_Data[[#This Row],[Date of Call]])+1)</f>
        <v>2023</v>
      </c>
      <c r="I90" s="9" t="str">
        <f>TEXT(Call_Table_Data[[#This Row],[Date of Call]],"DDDD")</f>
        <v>Thursday</v>
      </c>
      <c r="J90" s="9" t="str" cm="1">
        <f t="array" ref="J90">_xlfn.IFS(Call_Table_Data[[#This Row],[Duration]]&lt;=10,"Under 10 Mins",Call_Table_Data[[#This Row],[Duration]]&lt;=30,"10 to 30 Mins",Call_Table_Data[[#This Row],[Duration]]&lt;=60,"30 to 60 Mins",Call_Table_Data[[#This Row],[Duration]]&lt;=120,"1 to 2 Hours",TRUE,"More Than 2 Hours")</f>
        <v>30 to 60 Mins</v>
      </c>
      <c r="K90" s="9">
        <f>ROUND(Call_Table_Data[[#This Row],[Satisfaction Rating]],0)</f>
        <v>2</v>
      </c>
    </row>
    <row r="91" spans="1:11" x14ac:dyDescent="0.3">
      <c r="A91" s="9" t="s">
        <v>128</v>
      </c>
      <c r="B91" s="9" t="s">
        <v>41</v>
      </c>
      <c r="C91" s="9">
        <v>87</v>
      </c>
      <c r="D91" s="10" t="s">
        <v>33</v>
      </c>
      <c r="E91" s="11">
        <v>44959</v>
      </c>
      <c r="F91" s="9">
        <v>155</v>
      </c>
      <c r="G91" s="9">
        <v>4.5</v>
      </c>
      <c r="H91" s="9">
        <f>IF(MONTH(Call_Table_Data[[#This Row],[Date of Call]])&lt;=3,YEAR(Call_Table_Data[[#This Row],[Date of Call]]),YEAR(Call_Table_Data[[#This Row],[Date of Call]])+1)</f>
        <v>2023</v>
      </c>
      <c r="I91" s="9" t="str">
        <f>TEXT(Call_Table_Data[[#This Row],[Date of Call]],"DDDD")</f>
        <v>Thursday</v>
      </c>
      <c r="J91" s="9" t="str" cm="1">
        <f t="array" ref="J91">_xlfn.IFS(Call_Table_Data[[#This Row],[Duration]]&lt;=10,"Under 10 Mins",Call_Table_Data[[#This Row],[Duration]]&lt;=30,"10 to 30 Mins",Call_Table_Data[[#This Row],[Duration]]&lt;=60,"30 to 60 Mins",Call_Table_Data[[#This Row],[Duration]]&lt;=120,"1 to 2 Hours",TRUE,"More Than 2 Hours")</f>
        <v>1 to 2 Hours</v>
      </c>
      <c r="K91" s="9">
        <f>ROUND(Call_Table_Data[[#This Row],[Satisfaction Rating]],0)</f>
        <v>5</v>
      </c>
    </row>
    <row r="92" spans="1:11" x14ac:dyDescent="0.3">
      <c r="A92" s="9" t="s">
        <v>129</v>
      </c>
      <c r="B92" s="9" t="s">
        <v>30</v>
      </c>
      <c r="C92" s="9">
        <v>143</v>
      </c>
      <c r="D92" s="10" t="s">
        <v>33</v>
      </c>
      <c r="E92" s="11">
        <v>44961</v>
      </c>
      <c r="F92" s="9">
        <v>124</v>
      </c>
      <c r="G92" s="9">
        <v>4.9000000000000004</v>
      </c>
      <c r="H92" s="9">
        <f>IF(MONTH(Call_Table_Data[[#This Row],[Date of Call]])&lt;=3,YEAR(Call_Table_Data[[#This Row],[Date of Call]]),YEAR(Call_Table_Data[[#This Row],[Date of Call]])+1)</f>
        <v>2023</v>
      </c>
      <c r="I92" s="9" t="str">
        <f>TEXT(Call_Table_Data[[#This Row],[Date of Call]],"DDDD")</f>
        <v>Saturday</v>
      </c>
      <c r="J92" s="9" t="str" cm="1">
        <f t="array" ref="J92">_xlfn.IFS(Call_Table_Data[[#This Row],[Duration]]&lt;=10,"Under 10 Mins",Call_Table_Data[[#This Row],[Duration]]&lt;=30,"10 to 30 Mins",Call_Table_Data[[#This Row],[Duration]]&lt;=60,"30 to 60 Mins",Call_Table_Data[[#This Row],[Duration]]&lt;=120,"1 to 2 Hours",TRUE,"More Than 2 Hours")</f>
        <v>More Than 2 Hours</v>
      </c>
      <c r="K92" s="9">
        <f>ROUND(Call_Table_Data[[#This Row],[Satisfaction Rating]],0)</f>
        <v>5</v>
      </c>
    </row>
    <row r="93" spans="1:11" x14ac:dyDescent="0.3">
      <c r="A93" s="9" t="s">
        <v>130</v>
      </c>
      <c r="B93" s="9" t="s">
        <v>54</v>
      </c>
      <c r="C93" s="9">
        <v>84</v>
      </c>
      <c r="D93" s="10" t="s">
        <v>17</v>
      </c>
      <c r="E93" s="11">
        <v>44961</v>
      </c>
      <c r="F93" s="9">
        <v>195</v>
      </c>
      <c r="G93" s="9">
        <v>4.0999999999999996</v>
      </c>
      <c r="H93" s="9">
        <f>IF(MONTH(Call_Table_Data[[#This Row],[Date of Call]])&lt;=3,YEAR(Call_Table_Data[[#This Row],[Date of Call]]),YEAR(Call_Table_Data[[#This Row],[Date of Call]])+1)</f>
        <v>2023</v>
      </c>
      <c r="I93" s="9" t="str">
        <f>TEXT(Call_Table_Data[[#This Row],[Date of Call]],"DDDD")</f>
        <v>Saturday</v>
      </c>
      <c r="J93" s="9" t="str" cm="1">
        <f t="array" ref="J93">_xlfn.IFS(Call_Table_Data[[#This Row],[Duration]]&lt;=10,"Under 10 Mins",Call_Table_Data[[#This Row],[Duration]]&lt;=30,"10 to 30 Mins",Call_Table_Data[[#This Row],[Duration]]&lt;=60,"30 to 60 Mins",Call_Table_Data[[#This Row],[Duration]]&lt;=120,"1 to 2 Hours",TRUE,"More Than 2 Hours")</f>
        <v>1 to 2 Hours</v>
      </c>
      <c r="K93" s="9">
        <f>ROUND(Call_Table_Data[[#This Row],[Satisfaction Rating]],0)</f>
        <v>4</v>
      </c>
    </row>
    <row r="94" spans="1:11" x14ac:dyDescent="0.3">
      <c r="A94" s="9" t="s">
        <v>131</v>
      </c>
      <c r="B94" s="9" t="s">
        <v>18</v>
      </c>
      <c r="C94" s="9">
        <v>55</v>
      </c>
      <c r="D94" s="10" t="s">
        <v>33</v>
      </c>
      <c r="E94" s="11">
        <v>44962</v>
      </c>
      <c r="F94" s="9">
        <v>78</v>
      </c>
      <c r="G94" s="9">
        <v>4.5</v>
      </c>
      <c r="H94" s="9">
        <f>IF(MONTH(Call_Table_Data[[#This Row],[Date of Call]])&lt;=3,YEAR(Call_Table_Data[[#This Row],[Date of Call]]),YEAR(Call_Table_Data[[#This Row],[Date of Call]])+1)</f>
        <v>2023</v>
      </c>
      <c r="I94" s="9" t="str">
        <f>TEXT(Call_Table_Data[[#This Row],[Date of Call]],"DDDD")</f>
        <v>Sunday</v>
      </c>
      <c r="J94" s="9" t="str" cm="1">
        <f t="array" ref="J94">_xlfn.IFS(Call_Table_Data[[#This Row],[Duration]]&lt;=10,"Under 10 Mins",Call_Table_Data[[#This Row],[Duration]]&lt;=30,"10 to 30 Mins",Call_Table_Data[[#This Row],[Duration]]&lt;=60,"30 to 60 Mins",Call_Table_Data[[#This Row],[Duration]]&lt;=120,"1 to 2 Hours",TRUE,"More Than 2 Hours")</f>
        <v>30 to 60 Mins</v>
      </c>
      <c r="K94" s="9">
        <f>ROUND(Call_Table_Data[[#This Row],[Satisfaction Rating]],0)</f>
        <v>5</v>
      </c>
    </row>
    <row r="95" spans="1:11" x14ac:dyDescent="0.3">
      <c r="A95" s="9" t="s">
        <v>132</v>
      </c>
      <c r="B95" s="9" t="s">
        <v>37</v>
      </c>
      <c r="C95" s="9">
        <v>135</v>
      </c>
      <c r="D95" s="10" t="s">
        <v>40</v>
      </c>
      <c r="E95" s="11">
        <v>44964</v>
      </c>
      <c r="F95" s="9">
        <v>35</v>
      </c>
      <c r="G95" s="9">
        <v>4.8</v>
      </c>
      <c r="H95" s="9">
        <f>IF(MONTH(Call_Table_Data[[#This Row],[Date of Call]])&lt;=3,YEAR(Call_Table_Data[[#This Row],[Date of Call]]),YEAR(Call_Table_Data[[#This Row],[Date of Call]])+1)</f>
        <v>2023</v>
      </c>
      <c r="I95" s="9" t="str">
        <f>TEXT(Call_Table_Data[[#This Row],[Date of Call]],"DDDD")</f>
        <v>Tuesday</v>
      </c>
      <c r="J95" s="9" t="str" cm="1">
        <f t="array" ref="J95">_xlfn.IFS(Call_Table_Data[[#This Row],[Duration]]&lt;=10,"Under 10 Mins",Call_Table_Data[[#This Row],[Duration]]&lt;=30,"10 to 30 Mins",Call_Table_Data[[#This Row],[Duration]]&lt;=60,"30 to 60 Mins",Call_Table_Data[[#This Row],[Duration]]&lt;=120,"1 to 2 Hours",TRUE,"More Than 2 Hours")</f>
        <v>More Than 2 Hours</v>
      </c>
      <c r="K95" s="9">
        <f>ROUND(Call_Table_Data[[#This Row],[Satisfaction Rating]],0)</f>
        <v>5</v>
      </c>
    </row>
    <row r="96" spans="1:11" x14ac:dyDescent="0.3">
      <c r="A96" s="9" t="s">
        <v>133</v>
      </c>
      <c r="B96" s="9" t="s">
        <v>50</v>
      </c>
      <c r="C96" s="9">
        <v>152</v>
      </c>
      <c r="D96" s="10" t="s">
        <v>27</v>
      </c>
      <c r="E96" s="11">
        <v>44964</v>
      </c>
      <c r="F96" s="9">
        <v>123</v>
      </c>
      <c r="G96" s="9">
        <v>4.5999999999999996</v>
      </c>
      <c r="H96" s="9">
        <f>IF(MONTH(Call_Table_Data[[#This Row],[Date of Call]])&lt;=3,YEAR(Call_Table_Data[[#This Row],[Date of Call]]),YEAR(Call_Table_Data[[#This Row],[Date of Call]])+1)</f>
        <v>2023</v>
      </c>
      <c r="I96" s="9" t="str">
        <f>TEXT(Call_Table_Data[[#This Row],[Date of Call]],"DDDD")</f>
        <v>Tuesday</v>
      </c>
      <c r="J96" s="9" t="str" cm="1">
        <f t="array" ref="J96">_xlfn.IFS(Call_Table_Data[[#This Row],[Duration]]&lt;=10,"Under 10 Mins",Call_Table_Data[[#This Row],[Duration]]&lt;=30,"10 to 30 Mins",Call_Table_Data[[#This Row],[Duration]]&lt;=60,"30 to 60 Mins",Call_Table_Data[[#This Row],[Duration]]&lt;=120,"1 to 2 Hours",TRUE,"More Than 2 Hours")</f>
        <v>More Than 2 Hours</v>
      </c>
      <c r="K96" s="9">
        <f>ROUND(Call_Table_Data[[#This Row],[Satisfaction Rating]],0)</f>
        <v>5</v>
      </c>
    </row>
    <row r="97" spans="1:11" x14ac:dyDescent="0.3">
      <c r="A97" s="9" t="s">
        <v>134</v>
      </c>
      <c r="B97" s="9" t="s">
        <v>26</v>
      </c>
      <c r="C97" s="9">
        <v>132</v>
      </c>
      <c r="D97" s="10" t="s">
        <v>27</v>
      </c>
      <c r="E97" s="11">
        <v>44964</v>
      </c>
      <c r="F97" s="9">
        <v>43</v>
      </c>
      <c r="G97" s="9">
        <v>4.5999999999999996</v>
      </c>
      <c r="H97" s="9">
        <f>IF(MONTH(Call_Table_Data[[#This Row],[Date of Call]])&lt;=3,YEAR(Call_Table_Data[[#This Row],[Date of Call]]),YEAR(Call_Table_Data[[#This Row],[Date of Call]])+1)</f>
        <v>2023</v>
      </c>
      <c r="I97" s="9" t="str">
        <f>TEXT(Call_Table_Data[[#This Row],[Date of Call]],"DDDD")</f>
        <v>Tuesday</v>
      </c>
      <c r="J97" s="9" t="str" cm="1">
        <f t="array" ref="J97">_xlfn.IFS(Call_Table_Data[[#This Row],[Duration]]&lt;=10,"Under 10 Mins",Call_Table_Data[[#This Row],[Duration]]&lt;=30,"10 to 30 Mins",Call_Table_Data[[#This Row],[Duration]]&lt;=60,"30 to 60 Mins",Call_Table_Data[[#This Row],[Duration]]&lt;=120,"1 to 2 Hours",TRUE,"More Than 2 Hours")</f>
        <v>More Than 2 Hours</v>
      </c>
      <c r="K97" s="9">
        <f>ROUND(Call_Table_Data[[#This Row],[Satisfaction Rating]],0)</f>
        <v>5</v>
      </c>
    </row>
    <row r="98" spans="1:11" x14ac:dyDescent="0.3">
      <c r="A98" s="9" t="s">
        <v>135</v>
      </c>
      <c r="B98" s="9" t="s">
        <v>35</v>
      </c>
      <c r="C98" s="9">
        <v>60</v>
      </c>
      <c r="D98" s="10" t="s">
        <v>17</v>
      </c>
      <c r="E98" s="11">
        <v>44965</v>
      </c>
      <c r="F98" s="9">
        <v>69</v>
      </c>
      <c r="G98" s="9">
        <v>4.3</v>
      </c>
      <c r="H98" s="9">
        <f>IF(MONTH(Call_Table_Data[[#This Row],[Date of Call]])&lt;=3,YEAR(Call_Table_Data[[#This Row],[Date of Call]]),YEAR(Call_Table_Data[[#This Row],[Date of Call]])+1)</f>
        <v>2023</v>
      </c>
      <c r="I98" s="9" t="str">
        <f>TEXT(Call_Table_Data[[#This Row],[Date of Call]],"DDDD")</f>
        <v>Wednesday</v>
      </c>
      <c r="J98" s="9" t="str" cm="1">
        <f t="array" ref="J98">_xlfn.IFS(Call_Table_Data[[#This Row],[Duration]]&lt;=10,"Under 10 Mins",Call_Table_Data[[#This Row],[Duration]]&lt;=30,"10 to 30 Mins",Call_Table_Data[[#This Row],[Duration]]&lt;=60,"30 to 60 Mins",Call_Table_Data[[#This Row],[Duration]]&lt;=120,"1 to 2 Hours",TRUE,"More Than 2 Hours")</f>
        <v>30 to 60 Mins</v>
      </c>
      <c r="K98" s="9">
        <f>ROUND(Call_Table_Data[[#This Row],[Satisfaction Rating]],0)</f>
        <v>4</v>
      </c>
    </row>
    <row r="99" spans="1:11" x14ac:dyDescent="0.3">
      <c r="A99" s="9" t="s">
        <v>136</v>
      </c>
      <c r="B99" s="9" t="s">
        <v>50</v>
      </c>
      <c r="C99" s="9">
        <v>95</v>
      </c>
      <c r="D99" s="10" t="s">
        <v>27</v>
      </c>
      <c r="E99" s="11">
        <v>44965</v>
      </c>
      <c r="F99" s="9">
        <v>130</v>
      </c>
      <c r="G99" s="9">
        <v>5</v>
      </c>
      <c r="H99" s="9">
        <f>IF(MONTH(Call_Table_Data[[#This Row],[Date of Call]])&lt;=3,YEAR(Call_Table_Data[[#This Row],[Date of Call]]),YEAR(Call_Table_Data[[#This Row],[Date of Call]])+1)</f>
        <v>2023</v>
      </c>
      <c r="I99" s="9" t="str">
        <f>TEXT(Call_Table_Data[[#This Row],[Date of Call]],"DDDD")</f>
        <v>Wednesday</v>
      </c>
      <c r="J99" s="9" t="str" cm="1">
        <f t="array" ref="J99">_xlfn.IFS(Call_Table_Data[[#This Row],[Duration]]&lt;=10,"Under 10 Mins",Call_Table_Data[[#This Row],[Duration]]&lt;=30,"10 to 30 Mins",Call_Table_Data[[#This Row],[Duration]]&lt;=60,"30 to 60 Mins",Call_Table_Data[[#This Row],[Duration]]&lt;=120,"1 to 2 Hours",TRUE,"More Than 2 Hours")</f>
        <v>1 to 2 Hours</v>
      </c>
      <c r="K99" s="9">
        <f>ROUND(Call_Table_Data[[#This Row],[Satisfaction Rating]],0)</f>
        <v>5</v>
      </c>
    </row>
    <row r="100" spans="1:11" x14ac:dyDescent="0.3">
      <c r="A100" s="9" t="s">
        <v>137</v>
      </c>
      <c r="B100" s="9" t="s">
        <v>16</v>
      </c>
      <c r="C100" s="9">
        <v>96</v>
      </c>
      <c r="D100" s="10" t="s">
        <v>46</v>
      </c>
      <c r="E100" s="11">
        <v>44965</v>
      </c>
      <c r="F100" s="9">
        <v>120</v>
      </c>
      <c r="G100" s="9">
        <v>4</v>
      </c>
      <c r="H100" s="9">
        <f>IF(MONTH(Call_Table_Data[[#This Row],[Date of Call]])&lt;=3,YEAR(Call_Table_Data[[#This Row],[Date of Call]]),YEAR(Call_Table_Data[[#This Row],[Date of Call]])+1)</f>
        <v>2023</v>
      </c>
      <c r="I100" s="9" t="str">
        <f>TEXT(Call_Table_Data[[#This Row],[Date of Call]],"DDDD")</f>
        <v>Wednesday</v>
      </c>
      <c r="J100" s="9" t="str" cm="1">
        <f t="array" ref="J100">_xlfn.IFS(Call_Table_Data[[#This Row],[Duration]]&lt;=10,"Under 10 Mins",Call_Table_Data[[#This Row],[Duration]]&lt;=30,"10 to 30 Mins",Call_Table_Data[[#This Row],[Duration]]&lt;=60,"30 to 60 Mins",Call_Table_Data[[#This Row],[Duration]]&lt;=120,"1 to 2 Hours",TRUE,"More Than 2 Hours")</f>
        <v>1 to 2 Hours</v>
      </c>
      <c r="K100" s="9">
        <f>ROUND(Call_Table_Data[[#This Row],[Satisfaction Rating]],0)</f>
        <v>4</v>
      </c>
    </row>
    <row r="101" spans="1:11" x14ac:dyDescent="0.3">
      <c r="A101" s="9" t="s">
        <v>138</v>
      </c>
      <c r="B101" s="9" t="s">
        <v>18</v>
      </c>
      <c r="C101" s="9">
        <v>45</v>
      </c>
      <c r="D101" s="10" t="s">
        <v>17</v>
      </c>
      <c r="E101" s="11">
        <v>44966</v>
      </c>
      <c r="F101" s="9">
        <v>84</v>
      </c>
      <c r="G101" s="9">
        <v>4.5999999999999996</v>
      </c>
      <c r="H101" s="9">
        <f>IF(MONTH(Call_Table_Data[[#This Row],[Date of Call]])&lt;=3,YEAR(Call_Table_Data[[#This Row],[Date of Call]]),YEAR(Call_Table_Data[[#This Row],[Date of Call]])+1)</f>
        <v>2023</v>
      </c>
      <c r="I101" s="9" t="str">
        <f>TEXT(Call_Table_Data[[#This Row],[Date of Call]],"DDDD")</f>
        <v>Thursday</v>
      </c>
      <c r="J101" s="9" t="str" cm="1">
        <f t="array" ref="J101">_xlfn.IFS(Call_Table_Data[[#This Row],[Duration]]&lt;=10,"Under 10 Mins",Call_Table_Data[[#This Row],[Duration]]&lt;=30,"10 to 30 Mins",Call_Table_Data[[#This Row],[Duration]]&lt;=60,"30 to 60 Mins",Call_Table_Data[[#This Row],[Duration]]&lt;=120,"1 to 2 Hours",TRUE,"More Than 2 Hours")</f>
        <v>30 to 60 Mins</v>
      </c>
      <c r="K101" s="9">
        <f>ROUND(Call_Table_Data[[#This Row],[Satisfaction Rating]],0)</f>
        <v>5</v>
      </c>
    </row>
    <row r="102" spans="1:11" x14ac:dyDescent="0.3">
      <c r="A102" s="9" t="s">
        <v>139</v>
      </c>
      <c r="B102" s="9" t="s">
        <v>16</v>
      </c>
      <c r="C102" s="9">
        <v>132</v>
      </c>
      <c r="D102" s="10" t="s">
        <v>46</v>
      </c>
      <c r="E102" s="11">
        <v>44967</v>
      </c>
      <c r="F102" s="9">
        <v>112</v>
      </c>
      <c r="G102" s="9">
        <v>4.5</v>
      </c>
      <c r="H102" s="9">
        <f>IF(MONTH(Call_Table_Data[[#This Row],[Date of Call]])&lt;=3,YEAR(Call_Table_Data[[#This Row],[Date of Call]]),YEAR(Call_Table_Data[[#This Row],[Date of Call]])+1)</f>
        <v>2023</v>
      </c>
      <c r="I102" s="9" t="str">
        <f>TEXT(Call_Table_Data[[#This Row],[Date of Call]],"DDDD")</f>
        <v>Friday</v>
      </c>
      <c r="J102" s="9" t="str" cm="1">
        <f t="array" ref="J102">_xlfn.IFS(Call_Table_Data[[#This Row],[Duration]]&lt;=10,"Under 10 Mins",Call_Table_Data[[#This Row],[Duration]]&lt;=30,"10 to 30 Mins",Call_Table_Data[[#This Row],[Duration]]&lt;=60,"30 to 60 Mins",Call_Table_Data[[#This Row],[Duration]]&lt;=120,"1 to 2 Hours",TRUE,"More Than 2 Hours")</f>
        <v>More Than 2 Hours</v>
      </c>
      <c r="K102" s="9">
        <f>ROUND(Call_Table_Data[[#This Row],[Satisfaction Rating]],0)</f>
        <v>5</v>
      </c>
    </row>
    <row r="103" spans="1:11" x14ac:dyDescent="0.3">
      <c r="A103" s="9" t="s">
        <v>140</v>
      </c>
      <c r="B103" s="9" t="s">
        <v>49</v>
      </c>
      <c r="C103" s="9">
        <v>95</v>
      </c>
      <c r="D103" s="10" t="s">
        <v>17</v>
      </c>
      <c r="E103" s="11">
        <v>44967</v>
      </c>
      <c r="F103" s="9">
        <v>66</v>
      </c>
      <c r="G103" s="9">
        <v>4.5999999999999996</v>
      </c>
      <c r="H103" s="9">
        <f>IF(MONTH(Call_Table_Data[[#This Row],[Date of Call]])&lt;=3,YEAR(Call_Table_Data[[#This Row],[Date of Call]]),YEAR(Call_Table_Data[[#This Row],[Date of Call]])+1)</f>
        <v>2023</v>
      </c>
      <c r="I103" s="9" t="str">
        <f>TEXT(Call_Table_Data[[#This Row],[Date of Call]],"DDDD")</f>
        <v>Friday</v>
      </c>
      <c r="J103" s="9" t="str" cm="1">
        <f t="array" ref="J103">_xlfn.IFS(Call_Table_Data[[#This Row],[Duration]]&lt;=10,"Under 10 Mins",Call_Table_Data[[#This Row],[Duration]]&lt;=30,"10 to 30 Mins",Call_Table_Data[[#This Row],[Duration]]&lt;=60,"30 to 60 Mins",Call_Table_Data[[#This Row],[Duration]]&lt;=120,"1 to 2 Hours",TRUE,"More Than 2 Hours")</f>
        <v>1 to 2 Hours</v>
      </c>
      <c r="K103" s="9">
        <f>ROUND(Call_Table_Data[[#This Row],[Satisfaction Rating]],0)</f>
        <v>5</v>
      </c>
    </row>
    <row r="104" spans="1:11" x14ac:dyDescent="0.3">
      <c r="A104" s="9" t="s">
        <v>141</v>
      </c>
      <c r="B104" s="9" t="s">
        <v>50</v>
      </c>
      <c r="C104" s="9">
        <v>131</v>
      </c>
      <c r="D104" s="10" t="s">
        <v>33</v>
      </c>
      <c r="E104" s="11">
        <v>44967</v>
      </c>
      <c r="F104" s="9">
        <v>172</v>
      </c>
      <c r="G104" s="9">
        <v>2.6</v>
      </c>
      <c r="H104" s="9">
        <f>IF(MONTH(Call_Table_Data[[#This Row],[Date of Call]])&lt;=3,YEAR(Call_Table_Data[[#This Row],[Date of Call]]),YEAR(Call_Table_Data[[#This Row],[Date of Call]])+1)</f>
        <v>2023</v>
      </c>
      <c r="I104" s="9" t="str">
        <f>TEXT(Call_Table_Data[[#This Row],[Date of Call]],"DDDD")</f>
        <v>Friday</v>
      </c>
      <c r="J104" s="9" t="str" cm="1">
        <f t="array" ref="J104">_xlfn.IFS(Call_Table_Data[[#This Row],[Duration]]&lt;=10,"Under 10 Mins",Call_Table_Data[[#This Row],[Duration]]&lt;=30,"10 to 30 Mins",Call_Table_Data[[#This Row],[Duration]]&lt;=60,"30 to 60 Mins",Call_Table_Data[[#This Row],[Duration]]&lt;=120,"1 to 2 Hours",TRUE,"More Than 2 Hours")</f>
        <v>More Than 2 Hours</v>
      </c>
      <c r="K104" s="9">
        <f>ROUND(Call_Table_Data[[#This Row],[Satisfaction Rating]],0)</f>
        <v>3</v>
      </c>
    </row>
    <row r="105" spans="1:11" x14ac:dyDescent="0.3">
      <c r="A105" s="9" t="s">
        <v>142</v>
      </c>
      <c r="B105" s="9" t="s">
        <v>43</v>
      </c>
      <c r="C105" s="9">
        <v>67</v>
      </c>
      <c r="D105" s="10" t="s">
        <v>40</v>
      </c>
      <c r="E105" s="11">
        <v>44968</v>
      </c>
      <c r="F105" s="9">
        <v>24</v>
      </c>
      <c r="G105" s="9">
        <v>4.3</v>
      </c>
      <c r="H105" s="9">
        <f>IF(MONTH(Call_Table_Data[[#This Row],[Date of Call]])&lt;=3,YEAR(Call_Table_Data[[#This Row],[Date of Call]]),YEAR(Call_Table_Data[[#This Row],[Date of Call]])+1)</f>
        <v>2023</v>
      </c>
      <c r="I105" s="9" t="str">
        <f>TEXT(Call_Table_Data[[#This Row],[Date of Call]],"DDDD")</f>
        <v>Saturday</v>
      </c>
      <c r="J105" s="9" t="str" cm="1">
        <f t="array" ref="J105">_xlfn.IFS(Call_Table_Data[[#This Row],[Duration]]&lt;=10,"Under 10 Mins",Call_Table_Data[[#This Row],[Duration]]&lt;=30,"10 to 30 Mins",Call_Table_Data[[#This Row],[Duration]]&lt;=60,"30 to 60 Mins",Call_Table_Data[[#This Row],[Duration]]&lt;=120,"1 to 2 Hours",TRUE,"More Than 2 Hours")</f>
        <v>1 to 2 Hours</v>
      </c>
      <c r="K105" s="9">
        <f>ROUND(Call_Table_Data[[#This Row],[Satisfaction Rating]],0)</f>
        <v>4</v>
      </c>
    </row>
    <row r="106" spans="1:11" x14ac:dyDescent="0.3">
      <c r="A106" s="9" t="s">
        <v>143</v>
      </c>
      <c r="B106" s="9" t="s">
        <v>30</v>
      </c>
      <c r="C106" s="9">
        <v>111</v>
      </c>
      <c r="D106" s="10" t="s">
        <v>33</v>
      </c>
      <c r="E106" s="11">
        <v>44969</v>
      </c>
      <c r="F106" s="9">
        <v>43</v>
      </c>
      <c r="G106" s="9">
        <v>3.9</v>
      </c>
      <c r="H106" s="9">
        <f>IF(MONTH(Call_Table_Data[[#This Row],[Date of Call]])&lt;=3,YEAR(Call_Table_Data[[#This Row],[Date of Call]]),YEAR(Call_Table_Data[[#This Row],[Date of Call]])+1)</f>
        <v>2023</v>
      </c>
      <c r="I106" s="9" t="str">
        <f>TEXT(Call_Table_Data[[#This Row],[Date of Call]],"DDDD")</f>
        <v>Sunday</v>
      </c>
      <c r="J106" s="9" t="str" cm="1">
        <f t="array" ref="J106">_xlfn.IFS(Call_Table_Data[[#This Row],[Duration]]&lt;=10,"Under 10 Mins",Call_Table_Data[[#This Row],[Duration]]&lt;=30,"10 to 30 Mins",Call_Table_Data[[#This Row],[Duration]]&lt;=60,"30 to 60 Mins",Call_Table_Data[[#This Row],[Duration]]&lt;=120,"1 to 2 Hours",TRUE,"More Than 2 Hours")</f>
        <v>1 to 2 Hours</v>
      </c>
      <c r="K106" s="9">
        <f>ROUND(Call_Table_Data[[#This Row],[Satisfaction Rating]],0)</f>
        <v>4</v>
      </c>
    </row>
    <row r="107" spans="1:11" x14ac:dyDescent="0.3">
      <c r="A107" s="9" t="s">
        <v>144</v>
      </c>
      <c r="B107" s="9" t="s">
        <v>26</v>
      </c>
      <c r="C107" s="9">
        <v>78</v>
      </c>
      <c r="D107" s="10" t="s">
        <v>27</v>
      </c>
      <c r="E107" s="11">
        <v>44969</v>
      </c>
      <c r="F107" s="9">
        <v>23</v>
      </c>
      <c r="G107" s="9">
        <v>5</v>
      </c>
      <c r="H107" s="9">
        <f>IF(MONTH(Call_Table_Data[[#This Row],[Date of Call]])&lt;=3,YEAR(Call_Table_Data[[#This Row],[Date of Call]]),YEAR(Call_Table_Data[[#This Row],[Date of Call]])+1)</f>
        <v>2023</v>
      </c>
      <c r="I107" s="9" t="str">
        <f>TEXT(Call_Table_Data[[#This Row],[Date of Call]],"DDDD")</f>
        <v>Sunday</v>
      </c>
      <c r="J107" s="9" t="str" cm="1">
        <f t="array" ref="J107">_xlfn.IFS(Call_Table_Data[[#This Row],[Duration]]&lt;=10,"Under 10 Mins",Call_Table_Data[[#This Row],[Duration]]&lt;=30,"10 to 30 Mins",Call_Table_Data[[#This Row],[Duration]]&lt;=60,"30 to 60 Mins",Call_Table_Data[[#This Row],[Duration]]&lt;=120,"1 to 2 Hours",TRUE,"More Than 2 Hours")</f>
        <v>1 to 2 Hours</v>
      </c>
      <c r="K107" s="9">
        <f>ROUND(Call_Table_Data[[#This Row],[Satisfaction Rating]],0)</f>
        <v>5</v>
      </c>
    </row>
    <row r="108" spans="1:11" x14ac:dyDescent="0.3">
      <c r="A108" s="9" t="s">
        <v>145</v>
      </c>
      <c r="B108" s="9" t="s">
        <v>23</v>
      </c>
      <c r="C108" s="9">
        <v>28</v>
      </c>
      <c r="D108" s="10" t="s">
        <v>46</v>
      </c>
      <c r="E108" s="11">
        <v>44969</v>
      </c>
      <c r="F108" s="9">
        <v>74</v>
      </c>
      <c r="G108" s="9">
        <v>3.5</v>
      </c>
      <c r="H108" s="9">
        <f>IF(MONTH(Call_Table_Data[[#This Row],[Date of Call]])&lt;=3,YEAR(Call_Table_Data[[#This Row],[Date of Call]]),YEAR(Call_Table_Data[[#This Row],[Date of Call]])+1)</f>
        <v>2023</v>
      </c>
      <c r="I108" s="9" t="str">
        <f>TEXT(Call_Table_Data[[#This Row],[Date of Call]],"DDDD")</f>
        <v>Sunday</v>
      </c>
      <c r="J108" s="9" t="str" cm="1">
        <f t="array" ref="J108">_xlfn.IFS(Call_Table_Data[[#This Row],[Duration]]&lt;=10,"Under 10 Mins",Call_Table_Data[[#This Row],[Duration]]&lt;=30,"10 to 30 Mins",Call_Table_Data[[#This Row],[Duration]]&lt;=60,"30 to 60 Mins",Call_Table_Data[[#This Row],[Duration]]&lt;=120,"1 to 2 Hours",TRUE,"More Than 2 Hours")</f>
        <v>10 to 30 Mins</v>
      </c>
      <c r="K108" s="9">
        <f>ROUND(Call_Table_Data[[#This Row],[Satisfaction Rating]],0)</f>
        <v>4</v>
      </c>
    </row>
    <row r="109" spans="1:11" x14ac:dyDescent="0.3">
      <c r="A109" s="9" t="s">
        <v>146</v>
      </c>
      <c r="B109" s="9" t="s">
        <v>22</v>
      </c>
      <c r="C109" s="9">
        <v>127</v>
      </c>
      <c r="D109" s="10" t="s">
        <v>40</v>
      </c>
      <c r="E109" s="11">
        <v>44970</v>
      </c>
      <c r="F109" s="9">
        <v>165</v>
      </c>
      <c r="G109" s="9">
        <v>4.7</v>
      </c>
      <c r="H109" s="9">
        <f>IF(MONTH(Call_Table_Data[[#This Row],[Date of Call]])&lt;=3,YEAR(Call_Table_Data[[#This Row],[Date of Call]]),YEAR(Call_Table_Data[[#This Row],[Date of Call]])+1)</f>
        <v>2023</v>
      </c>
      <c r="I109" s="9" t="str">
        <f>TEXT(Call_Table_Data[[#This Row],[Date of Call]],"DDDD")</f>
        <v>Monday</v>
      </c>
      <c r="J109" s="9" t="str" cm="1">
        <f t="array" ref="J109">_xlfn.IFS(Call_Table_Data[[#This Row],[Duration]]&lt;=10,"Under 10 Mins",Call_Table_Data[[#This Row],[Duration]]&lt;=30,"10 to 30 Mins",Call_Table_Data[[#This Row],[Duration]]&lt;=60,"30 to 60 Mins",Call_Table_Data[[#This Row],[Duration]]&lt;=120,"1 to 2 Hours",TRUE,"More Than 2 Hours")</f>
        <v>More Than 2 Hours</v>
      </c>
      <c r="K109" s="9">
        <f>ROUND(Call_Table_Data[[#This Row],[Satisfaction Rating]],0)</f>
        <v>5</v>
      </c>
    </row>
    <row r="110" spans="1:11" x14ac:dyDescent="0.3">
      <c r="A110" s="9" t="s">
        <v>147</v>
      </c>
      <c r="B110" s="9" t="s">
        <v>54</v>
      </c>
      <c r="C110" s="9">
        <v>137</v>
      </c>
      <c r="D110" s="10" t="s">
        <v>33</v>
      </c>
      <c r="E110" s="11">
        <v>44970</v>
      </c>
      <c r="F110" s="9">
        <v>34</v>
      </c>
      <c r="G110" s="9">
        <v>2.9</v>
      </c>
      <c r="H110" s="9">
        <f>IF(MONTH(Call_Table_Data[[#This Row],[Date of Call]])&lt;=3,YEAR(Call_Table_Data[[#This Row],[Date of Call]]),YEAR(Call_Table_Data[[#This Row],[Date of Call]])+1)</f>
        <v>2023</v>
      </c>
      <c r="I110" s="9" t="str">
        <f>TEXT(Call_Table_Data[[#This Row],[Date of Call]],"DDDD")</f>
        <v>Monday</v>
      </c>
      <c r="J110" s="9" t="str" cm="1">
        <f t="array" ref="J110">_xlfn.IFS(Call_Table_Data[[#This Row],[Duration]]&lt;=10,"Under 10 Mins",Call_Table_Data[[#This Row],[Duration]]&lt;=30,"10 to 30 Mins",Call_Table_Data[[#This Row],[Duration]]&lt;=60,"30 to 60 Mins",Call_Table_Data[[#This Row],[Duration]]&lt;=120,"1 to 2 Hours",TRUE,"More Than 2 Hours")</f>
        <v>More Than 2 Hours</v>
      </c>
      <c r="K110" s="9">
        <f>ROUND(Call_Table_Data[[#This Row],[Satisfaction Rating]],0)</f>
        <v>3</v>
      </c>
    </row>
    <row r="111" spans="1:11" x14ac:dyDescent="0.3">
      <c r="A111" s="9" t="s">
        <v>148</v>
      </c>
      <c r="B111" s="9" t="s">
        <v>22</v>
      </c>
      <c r="C111" s="9">
        <v>76</v>
      </c>
      <c r="D111" s="10" t="s">
        <v>46</v>
      </c>
      <c r="E111" s="11">
        <v>44970</v>
      </c>
      <c r="F111" s="9">
        <v>64</v>
      </c>
      <c r="G111" s="9">
        <v>3.4</v>
      </c>
      <c r="H111" s="9">
        <f>IF(MONTH(Call_Table_Data[[#This Row],[Date of Call]])&lt;=3,YEAR(Call_Table_Data[[#This Row],[Date of Call]]),YEAR(Call_Table_Data[[#This Row],[Date of Call]])+1)</f>
        <v>2023</v>
      </c>
      <c r="I111" s="9" t="str">
        <f>TEXT(Call_Table_Data[[#This Row],[Date of Call]],"DDDD")</f>
        <v>Monday</v>
      </c>
      <c r="J111" s="9" t="str" cm="1">
        <f t="array" ref="J111">_xlfn.IFS(Call_Table_Data[[#This Row],[Duration]]&lt;=10,"Under 10 Mins",Call_Table_Data[[#This Row],[Duration]]&lt;=30,"10 to 30 Mins",Call_Table_Data[[#This Row],[Duration]]&lt;=60,"30 to 60 Mins",Call_Table_Data[[#This Row],[Duration]]&lt;=120,"1 to 2 Hours",TRUE,"More Than 2 Hours")</f>
        <v>1 to 2 Hours</v>
      </c>
      <c r="K111" s="9">
        <f>ROUND(Call_Table_Data[[#This Row],[Satisfaction Rating]],0)</f>
        <v>3</v>
      </c>
    </row>
    <row r="112" spans="1:11" x14ac:dyDescent="0.3">
      <c r="A112" s="9" t="s">
        <v>149</v>
      </c>
      <c r="B112" s="9" t="s">
        <v>26</v>
      </c>
      <c r="C112" s="9">
        <v>80</v>
      </c>
      <c r="D112" s="10" t="s">
        <v>40</v>
      </c>
      <c r="E112" s="11">
        <v>44971</v>
      </c>
      <c r="F112" s="9">
        <v>155</v>
      </c>
      <c r="G112" s="9">
        <v>3.2</v>
      </c>
      <c r="H112" s="9">
        <f>IF(MONTH(Call_Table_Data[[#This Row],[Date of Call]])&lt;=3,YEAR(Call_Table_Data[[#This Row],[Date of Call]]),YEAR(Call_Table_Data[[#This Row],[Date of Call]])+1)</f>
        <v>2023</v>
      </c>
      <c r="I112" s="9" t="str">
        <f>TEXT(Call_Table_Data[[#This Row],[Date of Call]],"DDDD")</f>
        <v>Tuesday</v>
      </c>
      <c r="J112" s="9" t="str" cm="1">
        <f t="array" ref="J112">_xlfn.IFS(Call_Table_Data[[#This Row],[Duration]]&lt;=10,"Under 10 Mins",Call_Table_Data[[#This Row],[Duration]]&lt;=30,"10 to 30 Mins",Call_Table_Data[[#This Row],[Duration]]&lt;=60,"30 to 60 Mins",Call_Table_Data[[#This Row],[Duration]]&lt;=120,"1 to 2 Hours",TRUE,"More Than 2 Hours")</f>
        <v>1 to 2 Hours</v>
      </c>
      <c r="K112" s="9">
        <f>ROUND(Call_Table_Data[[#This Row],[Satisfaction Rating]],0)</f>
        <v>3</v>
      </c>
    </row>
    <row r="113" spans="1:11" x14ac:dyDescent="0.3">
      <c r="A113" s="9" t="s">
        <v>150</v>
      </c>
      <c r="B113" s="9" t="s">
        <v>22</v>
      </c>
      <c r="C113" s="9">
        <v>95</v>
      </c>
      <c r="D113" s="10" t="s">
        <v>27</v>
      </c>
      <c r="E113" s="11">
        <v>44972</v>
      </c>
      <c r="F113" s="9">
        <v>120</v>
      </c>
      <c r="G113" s="9">
        <v>4.8</v>
      </c>
      <c r="H113" s="9">
        <f>IF(MONTH(Call_Table_Data[[#This Row],[Date of Call]])&lt;=3,YEAR(Call_Table_Data[[#This Row],[Date of Call]]),YEAR(Call_Table_Data[[#This Row],[Date of Call]])+1)</f>
        <v>2023</v>
      </c>
      <c r="I113" s="9" t="str">
        <f>TEXT(Call_Table_Data[[#This Row],[Date of Call]],"DDDD")</f>
        <v>Wednesday</v>
      </c>
      <c r="J113" s="9" t="str" cm="1">
        <f t="array" ref="J113">_xlfn.IFS(Call_Table_Data[[#This Row],[Duration]]&lt;=10,"Under 10 Mins",Call_Table_Data[[#This Row],[Duration]]&lt;=30,"10 to 30 Mins",Call_Table_Data[[#This Row],[Duration]]&lt;=60,"30 to 60 Mins",Call_Table_Data[[#This Row],[Duration]]&lt;=120,"1 to 2 Hours",TRUE,"More Than 2 Hours")</f>
        <v>1 to 2 Hours</v>
      </c>
      <c r="K113" s="9">
        <f>ROUND(Call_Table_Data[[#This Row],[Satisfaction Rating]],0)</f>
        <v>5</v>
      </c>
    </row>
    <row r="114" spans="1:11" x14ac:dyDescent="0.3">
      <c r="A114" s="9" t="s">
        <v>151</v>
      </c>
      <c r="B114" s="9" t="s">
        <v>35</v>
      </c>
      <c r="C114" s="9">
        <v>30</v>
      </c>
      <c r="D114" s="10" t="s">
        <v>46</v>
      </c>
      <c r="E114" s="11">
        <v>44972</v>
      </c>
      <c r="F114" s="9">
        <v>105</v>
      </c>
      <c r="G114" s="9">
        <v>3.6</v>
      </c>
      <c r="H114" s="9">
        <f>IF(MONTH(Call_Table_Data[[#This Row],[Date of Call]])&lt;=3,YEAR(Call_Table_Data[[#This Row],[Date of Call]]),YEAR(Call_Table_Data[[#This Row],[Date of Call]])+1)</f>
        <v>2023</v>
      </c>
      <c r="I114" s="9" t="str">
        <f>TEXT(Call_Table_Data[[#This Row],[Date of Call]],"DDDD")</f>
        <v>Wednesday</v>
      </c>
      <c r="J114" s="9" t="str" cm="1">
        <f t="array" ref="J114">_xlfn.IFS(Call_Table_Data[[#This Row],[Duration]]&lt;=10,"Under 10 Mins",Call_Table_Data[[#This Row],[Duration]]&lt;=30,"10 to 30 Mins",Call_Table_Data[[#This Row],[Duration]]&lt;=60,"30 to 60 Mins",Call_Table_Data[[#This Row],[Duration]]&lt;=120,"1 to 2 Hours",TRUE,"More Than 2 Hours")</f>
        <v>10 to 30 Mins</v>
      </c>
      <c r="K114" s="9">
        <f>ROUND(Call_Table_Data[[#This Row],[Satisfaction Rating]],0)</f>
        <v>4</v>
      </c>
    </row>
    <row r="115" spans="1:11" x14ac:dyDescent="0.3">
      <c r="A115" s="9" t="s">
        <v>152</v>
      </c>
      <c r="B115" s="9" t="s">
        <v>32</v>
      </c>
      <c r="C115" s="9">
        <v>19</v>
      </c>
      <c r="D115" s="10" t="s">
        <v>33</v>
      </c>
      <c r="E115" s="11">
        <v>44972</v>
      </c>
      <c r="F115" s="9">
        <v>28</v>
      </c>
      <c r="G115" s="9">
        <v>4.9000000000000004</v>
      </c>
      <c r="H115" s="9">
        <f>IF(MONTH(Call_Table_Data[[#This Row],[Date of Call]])&lt;=3,YEAR(Call_Table_Data[[#This Row],[Date of Call]]),YEAR(Call_Table_Data[[#This Row],[Date of Call]])+1)</f>
        <v>2023</v>
      </c>
      <c r="I115" s="9" t="str">
        <f>TEXT(Call_Table_Data[[#This Row],[Date of Call]],"DDDD")</f>
        <v>Wednesday</v>
      </c>
      <c r="J115" s="9" t="str" cm="1">
        <f t="array" ref="J115">_xlfn.IFS(Call_Table_Data[[#This Row],[Duration]]&lt;=10,"Under 10 Mins",Call_Table_Data[[#This Row],[Duration]]&lt;=30,"10 to 30 Mins",Call_Table_Data[[#This Row],[Duration]]&lt;=60,"30 to 60 Mins",Call_Table_Data[[#This Row],[Duration]]&lt;=120,"1 to 2 Hours",TRUE,"More Than 2 Hours")</f>
        <v>10 to 30 Mins</v>
      </c>
      <c r="K115" s="9">
        <f>ROUND(Call_Table_Data[[#This Row],[Satisfaction Rating]],0)</f>
        <v>5</v>
      </c>
    </row>
    <row r="116" spans="1:11" x14ac:dyDescent="0.3">
      <c r="A116" s="9" t="s">
        <v>153</v>
      </c>
      <c r="B116" s="9" t="s">
        <v>45</v>
      </c>
      <c r="C116" s="9">
        <v>38</v>
      </c>
      <c r="D116" s="10" t="s">
        <v>40</v>
      </c>
      <c r="E116" s="11">
        <v>44972</v>
      </c>
      <c r="F116" s="9">
        <v>100</v>
      </c>
      <c r="G116" s="9">
        <v>4.8</v>
      </c>
      <c r="H116" s="9">
        <f>IF(MONTH(Call_Table_Data[[#This Row],[Date of Call]])&lt;=3,YEAR(Call_Table_Data[[#This Row],[Date of Call]]),YEAR(Call_Table_Data[[#This Row],[Date of Call]])+1)</f>
        <v>2023</v>
      </c>
      <c r="I116" s="9" t="str">
        <f>TEXT(Call_Table_Data[[#This Row],[Date of Call]],"DDDD")</f>
        <v>Wednesday</v>
      </c>
      <c r="J116" s="9" t="str" cm="1">
        <f t="array" ref="J116">_xlfn.IFS(Call_Table_Data[[#This Row],[Duration]]&lt;=10,"Under 10 Mins",Call_Table_Data[[#This Row],[Duration]]&lt;=30,"10 to 30 Mins",Call_Table_Data[[#This Row],[Duration]]&lt;=60,"30 to 60 Mins",Call_Table_Data[[#This Row],[Duration]]&lt;=120,"1 to 2 Hours",TRUE,"More Than 2 Hours")</f>
        <v>30 to 60 Mins</v>
      </c>
      <c r="K116" s="9">
        <f>ROUND(Call_Table_Data[[#This Row],[Satisfaction Rating]],0)</f>
        <v>5</v>
      </c>
    </row>
    <row r="117" spans="1:11" x14ac:dyDescent="0.3">
      <c r="A117" s="9" t="s">
        <v>154</v>
      </c>
      <c r="B117" s="9" t="s">
        <v>49</v>
      </c>
      <c r="C117" s="9">
        <v>55</v>
      </c>
      <c r="D117" s="10" t="s">
        <v>33</v>
      </c>
      <c r="E117" s="11">
        <v>44972</v>
      </c>
      <c r="F117" s="9">
        <v>23</v>
      </c>
      <c r="G117" s="9">
        <v>3.6</v>
      </c>
      <c r="H117" s="9">
        <f>IF(MONTH(Call_Table_Data[[#This Row],[Date of Call]])&lt;=3,YEAR(Call_Table_Data[[#This Row],[Date of Call]]),YEAR(Call_Table_Data[[#This Row],[Date of Call]])+1)</f>
        <v>2023</v>
      </c>
      <c r="I117" s="9" t="str">
        <f>TEXT(Call_Table_Data[[#This Row],[Date of Call]],"DDDD")</f>
        <v>Wednesday</v>
      </c>
      <c r="J117" s="9" t="str" cm="1">
        <f t="array" ref="J117">_xlfn.IFS(Call_Table_Data[[#This Row],[Duration]]&lt;=10,"Under 10 Mins",Call_Table_Data[[#This Row],[Duration]]&lt;=30,"10 to 30 Mins",Call_Table_Data[[#This Row],[Duration]]&lt;=60,"30 to 60 Mins",Call_Table_Data[[#This Row],[Duration]]&lt;=120,"1 to 2 Hours",TRUE,"More Than 2 Hours")</f>
        <v>30 to 60 Mins</v>
      </c>
      <c r="K117" s="9">
        <f>ROUND(Call_Table_Data[[#This Row],[Satisfaction Rating]],0)</f>
        <v>4</v>
      </c>
    </row>
    <row r="118" spans="1:11" x14ac:dyDescent="0.3">
      <c r="A118" s="9" t="s">
        <v>155</v>
      </c>
      <c r="B118" s="9" t="s">
        <v>43</v>
      </c>
      <c r="C118" s="9">
        <v>27</v>
      </c>
      <c r="D118" s="10" t="s">
        <v>46</v>
      </c>
      <c r="E118" s="11">
        <v>44973</v>
      </c>
      <c r="F118" s="9">
        <v>70</v>
      </c>
      <c r="G118" s="9">
        <v>3.9</v>
      </c>
      <c r="H118" s="9">
        <f>IF(MONTH(Call_Table_Data[[#This Row],[Date of Call]])&lt;=3,YEAR(Call_Table_Data[[#This Row],[Date of Call]]),YEAR(Call_Table_Data[[#This Row],[Date of Call]])+1)</f>
        <v>2023</v>
      </c>
      <c r="I118" s="9" t="str">
        <f>TEXT(Call_Table_Data[[#This Row],[Date of Call]],"DDDD")</f>
        <v>Thursday</v>
      </c>
      <c r="J118" s="9" t="str" cm="1">
        <f t="array" ref="J118">_xlfn.IFS(Call_Table_Data[[#This Row],[Duration]]&lt;=10,"Under 10 Mins",Call_Table_Data[[#This Row],[Duration]]&lt;=30,"10 to 30 Mins",Call_Table_Data[[#This Row],[Duration]]&lt;=60,"30 to 60 Mins",Call_Table_Data[[#This Row],[Duration]]&lt;=120,"1 to 2 Hours",TRUE,"More Than 2 Hours")</f>
        <v>10 to 30 Mins</v>
      </c>
      <c r="K118" s="9">
        <f>ROUND(Call_Table_Data[[#This Row],[Satisfaction Rating]],0)</f>
        <v>4</v>
      </c>
    </row>
    <row r="119" spans="1:11" x14ac:dyDescent="0.3">
      <c r="A119" s="9" t="s">
        <v>156</v>
      </c>
      <c r="B119" s="9" t="s">
        <v>43</v>
      </c>
      <c r="C119" s="9">
        <v>32</v>
      </c>
      <c r="D119" s="10" t="s">
        <v>46</v>
      </c>
      <c r="E119" s="11">
        <v>44973</v>
      </c>
      <c r="F119" s="9">
        <v>37</v>
      </c>
      <c r="G119" s="9">
        <v>1.9</v>
      </c>
      <c r="H119" s="9">
        <f>IF(MONTH(Call_Table_Data[[#This Row],[Date of Call]])&lt;=3,YEAR(Call_Table_Data[[#This Row],[Date of Call]]),YEAR(Call_Table_Data[[#This Row],[Date of Call]])+1)</f>
        <v>2023</v>
      </c>
      <c r="I119" s="9" t="str">
        <f>TEXT(Call_Table_Data[[#This Row],[Date of Call]],"DDDD")</f>
        <v>Thursday</v>
      </c>
      <c r="J119" s="9" t="str" cm="1">
        <f t="array" ref="J119">_xlfn.IFS(Call_Table_Data[[#This Row],[Duration]]&lt;=10,"Under 10 Mins",Call_Table_Data[[#This Row],[Duration]]&lt;=30,"10 to 30 Mins",Call_Table_Data[[#This Row],[Duration]]&lt;=60,"30 to 60 Mins",Call_Table_Data[[#This Row],[Duration]]&lt;=120,"1 to 2 Hours",TRUE,"More Than 2 Hours")</f>
        <v>30 to 60 Mins</v>
      </c>
      <c r="K119" s="9">
        <f>ROUND(Call_Table_Data[[#This Row],[Satisfaction Rating]],0)</f>
        <v>2</v>
      </c>
    </row>
    <row r="120" spans="1:11" x14ac:dyDescent="0.3">
      <c r="A120" s="9" t="s">
        <v>157</v>
      </c>
      <c r="B120" s="9" t="s">
        <v>23</v>
      </c>
      <c r="C120" s="9">
        <v>116</v>
      </c>
      <c r="D120" s="10" t="s">
        <v>17</v>
      </c>
      <c r="E120" s="11">
        <v>44973</v>
      </c>
      <c r="F120" s="9">
        <v>140</v>
      </c>
      <c r="G120" s="9">
        <v>3.6</v>
      </c>
      <c r="H120" s="9">
        <f>IF(MONTH(Call_Table_Data[[#This Row],[Date of Call]])&lt;=3,YEAR(Call_Table_Data[[#This Row],[Date of Call]]),YEAR(Call_Table_Data[[#This Row],[Date of Call]])+1)</f>
        <v>2023</v>
      </c>
      <c r="I120" s="9" t="str">
        <f>TEXT(Call_Table_Data[[#This Row],[Date of Call]],"DDDD")</f>
        <v>Thursday</v>
      </c>
      <c r="J120" s="9" t="str" cm="1">
        <f t="array" ref="J120">_xlfn.IFS(Call_Table_Data[[#This Row],[Duration]]&lt;=10,"Under 10 Mins",Call_Table_Data[[#This Row],[Duration]]&lt;=30,"10 to 30 Mins",Call_Table_Data[[#This Row],[Duration]]&lt;=60,"30 to 60 Mins",Call_Table_Data[[#This Row],[Duration]]&lt;=120,"1 to 2 Hours",TRUE,"More Than 2 Hours")</f>
        <v>1 to 2 Hours</v>
      </c>
      <c r="K120" s="9">
        <f>ROUND(Call_Table_Data[[#This Row],[Satisfaction Rating]],0)</f>
        <v>4</v>
      </c>
    </row>
    <row r="121" spans="1:11" x14ac:dyDescent="0.3">
      <c r="A121" s="9" t="s">
        <v>158</v>
      </c>
      <c r="B121" s="9" t="s">
        <v>16</v>
      </c>
      <c r="C121" s="9">
        <v>99</v>
      </c>
      <c r="D121" s="10" t="s">
        <v>27</v>
      </c>
      <c r="E121" s="11">
        <v>44973</v>
      </c>
      <c r="F121" s="9">
        <v>78</v>
      </c>
      <c r="G121" s="9">
        <v>4.0999999999999996</v>
      </c>
      <c r="H121" s="9">
        <f>IF(MONTH(Call_Table_Data[[#This Row],[Date of Call]])&lt;=3,YEAR(Call_Table_Data[[#This Row],[Date of Call]]),YEAR(Call_Table_Data[[#This Row],[Date of Call]])+1)</f>
        <v>2023</v>
      </c>
      <c r="I121" s="9" t="str">
        <f>TEXT(Call_Table_Data[[#This Row],[Date of Call]],"DDDD")</f>
        <v>Thursday</v>
      </c>
      <c r="J121" s="9" t="str" cm="1">
        <f t="array" ref="J121">_xlfn.IFS(Call_Table_Data[[#This Row],[Duration]]&lt;=10,"Under 10 Mins",Call_Table_Data[[#This Row],[Duration]]&lt;=30,"10 to 30 Mins",Call_Table_Data[[#This Row],[Duration]]&lt;=60,"30 to 60 Mins",Call_Table_Data[[#This Row],[Duration]]&lt;=120,"1 to 2 Hours",TRUE,"More Than 2 Hours")</f>
        <v>1 to 2 Hours</v>
      </c>
      <c r="K121" s="9">
        <f>ROUND(Call_Table_Data[[#This Row],[Satisfaction Rating]],0)</f>
        <v>4</v>
      </c>
    </row>
    <row r="122" spans="1:11" x14ac:dyDescent="0.3">
      <c r="A122" s="9" t="s">
        <v>159</v>
      </c>
      <c r="B122" s="9" t="s">
        <v>22</v>
      </c>
      <c r="C122" s="9">
        <v>75</v>
      </c>
      <c r="D122" s="10" t="s">
        <v>46</v>
      </c>
      <c r="E122" s="11">
        <v>44974</v>
      </c>
      <c r="F122" s="9">
        <v>21</v>
      </c>
      <c r="G122" s="9">
        <v>4.2</v>
      </c>
      <c r="H122" s="9">
        <f>IF(MONTH(Call_Table_Data[[#This Row],[Date of Call]])&lt;=3,YEAR(Call_Table_Data[[#This Row],[Date of Call]]),YEAR(Call_Table_Data[[#This Row],[Date of Call]])+1)</f>
        <v>2023</v>
      </c>
      <c r="I122" s="9" t="str">
        <f>TEXT(Call_Table_Data[[#This Row],[Date of Call]],"DDDD")</f>
        <v>Friday</v>
      </c>
      <c r="J122" s="9" t="str" cm="1">
        <f t="array" ref="J122">_xlfn.IFS(Call_Table_Data[[#This Row],[Duration]]&lt;=10,"Under 10 Mins",Call_Table_Data[[#This Row],[Duration]]&lt;=30,"10 to 30 Mins",Call_Table_Data[[#This Row],[Duration]]&lt;=60,"30 to 60 Mins",Call_Table_Data[[#This Row],[Duration]]&lt;=120,"1 to 2 Hours",TRUE,"More Than 2 Hours")</f>
        <v>1 to 2 Hours</v>
      </c>
      <c r="K122" s="9">
        <f>ROUND(Call_Table_Data[[#This Row],[Satisfaction Rating]],0)</f>
        <v>4</v>
      </c>
    </row>
    <row r="123" spans="1:11" x14ac:dyDescent="0.3">
      <c r="A123" s="9" t="s">
        <v>160</v>
      </c>
      <c r="B123" s="9" t="s">
        <v>26</v>
      </c>
      <c r="C123" s="9">
        <v>57</v>
      </c>
      <c r="D123" s="10" t="s">
        <v>17</v>
      </c>
      <c r="E123" s="11">
        <v>44974</v>
      </c>
      <c r="F123" s="9">
        <v>88</v>
      </c>
      <c r="G123" s="9">
        <v>4.3</v>
      </c>
      <c r="H123" s="9">
        <f>IF(MONTH(Call_Table_Data[[#This Row],[Date of Call]])&lt;=3,YEAR(Call_Table_Data[[#This Row],[Date of Call]]),YEAR(Call_Table_Data[[#This Row],[Date of Call]])+1)</f>
        <v>2023</v>
      </c>
      <c r="I123" s="9" t="str">
        <f>TEXT(Call_Table_Data[[#This Row],[Date of Call]],"DDDD")</f>
        <v>Friday</v>
      </c>
      <c r="J123" s="9" t="str" cm="1">
        <f t="array" ref="J123">_xlfn.IFS(Call_Table_Data[[#This Row],[Duration]]&lt;=10,"Under 10 Mins",Call_Table_Data[[#This Row],[Duration]]&lt;=30,"10 to 30 Mins",Call_Table_Data[[#This Row],[Duration]]&lt;=60,"30 to 60 Mins",Call_Table_Data[[#This Row],[Duration]]&lt;=120,"1 to 2 Hours",TRUE,"More Than 2 Hours")</f>
        <v>30 to 60 Mins</v>
      </c>
      <c r="K123" s="9">
        <f>ROUND(Call_Table_Data[[#This Row],[Satisfaction Rating]],0)</f>
        <v>4</v>
      </c>
    </row>
    <row r="124" spans="1:11" x14ac:dyDescent="0.3">
      <c r="A124" s="9" t="s">
        <v>161</v>
      </c>
      <c r="B124" s="9" t="s">
        <v>37</v>
      </c>
      <c r="C124" s="9">
        <v>155</v>
      </c>
      <c r="D124" s="10" t="s">
        <v>17</v>
      </c>
      <c r="E124" s="11">
        <v>44975</v>
      </c>
      <c r="F124" s="9">
        <v>180</v>
      </c>
      <c r="G124" s="9">
        <v>2.2000000000000002</v>
      </c>
      <c r="H124" s="9">
        <f>IF(MONTH(Call_Table_Data[[#This Row],[Date of Call]])&lt;=3,YEAR(Call_Table_Data[[#This Row],[Date of Call]]),YEAR(Call_Table_Data[[#This Row],[Date of Call]])+1)</f>
        <v>2023</v>
      </c>
      <c r="I124" s="9" t="str">
        <f>TEXT(Call_Table_Data[[#This Row],[Date of Call]],"DDDD")</f>
        <v>Saturday</v>
      </c>
      <c r="J124" s="9" t="str" cm="1">
        <f t="array" ref="J124">_xlfn.IFS(Call_Table_Data[[#This Row],[Duration]]&lt;=10,"Under 10 Mins",Call_Table_Data[[#This Row],[Duration]]&lt;=30,"10 to 30 Mins",Call_Table_Data[[#This Row],[Duration]]&lt;=60,"30 to 60 Mins",Call_Table_Data[[#This Row],[Duration]]&lt;=120,"1 to 2 Hours",TRUE,"More Than 2 Hours")</f>
        <v>More Than 2 Hours</v>
      </c>
      <c r="K124" s="9">
        <f>ROUND(Call_Table_Data[[#This Row],[Satisfaction Rating]],0)</f>
        <v>2</v>
      </c>
    </row>
    <row r="125" spans="1:11" x14ac:dyDescent="0.3">
      <c r="A125" s="9" t="s">
        <v>162</v>
      </c>
      <c r="B125" s="9" t="s">
        <v>16</v>
      </c>
      <c r="C125" s="9">
        <v>68</v>
      </c>
      <c r="D125" s="10" t="s">
        <v>27</v>
      </c>
      <c r="E125" s="11">
        <v>44975</v>
      </c>
      <c r="F125" s="9">
        <v>22</v>
      </c>
      <c r="G125" s="9">
        <v>3.3</v>
      </c>
      <c r="H125" s="9">
        <f>IF(MONTH(Call_Table_Data[[#This Row],[Date of Call]])&lt;=3,YEAR(Call_Table_Data[[#This Row],[Date of Call]]),YEAR(Call_Table_Data[[#This Row],[Date of Call]])+1)</f>
        <v>2023</v>
      </c>
      <c r="I125" s="9" t="str">
        <f>TEXT(Call_Table_Data[[#This Row],[Date of Call]],"DDDD")</f>
        <v>Saturday</v>
      </c>
      <c r="J125" s="9" t="str" cm="1">
        <f t="array" ref="J125">_xlfn.IFS(Call_Table_Data[[#This Row],[Duration]]&lt;=10,"Under 10 Mins",Call_Table_Data[[#This Row],[Duration]]&lt;=30,"10 to 30 Mins",Call_Table_Data[[#This Row],[Duration]]&lt;=60,"30 to 60 Mins",Call_Table_Data[[#This Row],[Duration]]&lt;=120,"1 to 2 Hours",TRUE,"More Than 2 Hours")</f>
        <v>1 to 2 Hours</v>
      </c>
      <c r="K125" s="9">
        <f>ROUND(Call_Table_Data[[#This Row],[Satisfaction Rating]],0)</f>
        <v>3</v>
      </c>
    </row>
    <row r="126" spans="1:11" x14ac:dyDescent="0.3">
      <c r="A126" s="9" t="s">
        <v>163</v>
      </c>
      <c r="B126" s="9" t="s">
        <v>45</v>
      </c>
      <c r="C126" s="9">
        <v>95</v>
      </c>
      <c r="D126" s="10" t="s">
        <v>27</v>
      </c>
      <c r="E126" s="11">
        <v>44975</v>
      </c>
      <c r="F126" s="9">
        <v>52</v>
      </c>
      <c r="G126" s="9">
        <v>4.8</v>
      </c>
      <c r="H126" s="9">
        <f>IF(MONTH(Call_Table_Data[[#This Row],[Date of Call]])&lt;=3,YEAR(Call_Table_Data[[#This Row],[Date of Call]]),YEAR(Call_Table_Data[[#This Row],[Date of Call]])+1)</f>
        <v>2023</v>
      </c>
      <c r="I126" s="9" t="str">
        <f>TEXT(Call_Table_Data[[#This Row],[Date of Call]],"DDDD")</f>
        <v>Saturday</v>
      </c>
      <c r="J126" s="9" t="str" cm="1">
        <f t="array" ref="J126">_xlfn.IFS(Call_Table_Data[[#This Row],[Duration]]&lt;=10,"Under 10 Mins",Call_Table_Data[[#This Row],[Duration]]&lt;=30,"10 to 30 Mins",Call_Table_Data[[#This Row],[Duration]]&lt;=60,"30 to 60 Mins",Call_Table_Data[[#This Row],[Duration]]&lt;=120,"1 to 2 Hours",TRUE,"More Than 2 Hours")</f>
        <v>1 to 2 Hours</v>
      </c>
      <c r="K126" s="9">
        <f>ROUND(Call_Table_Data[[#This Row],[Satisfaction Rating]],0)</f>
        <v>5</v>
      </c>
    </row>
    <row r="127" spans="1:11" x14ac:dyDescent="0.3">
      <c r="A127" s="9" t="s">
        <v>164</v>
      </c>
      <c r="B127" s="9" t="s">
        <v>54</v>
      </c>
      <c r="C127" s="9">
        <v>65</v>
      </c>
      <c r="D127" s="10" t="s">
        <v>17</v>
      </c>
      <c r="E127" s="11">
        <v>44976</v>
      </c>
      <c r="F127" s="9">
        <v>80</v>
      </c>
      <c r="G127" s="9">
        <v>4</v>
      </c>
      <c r="H127" s="9">
        <f>IF(MONTH(Call_Table_Data[[#This Row],[Date of Call]])&lt;=3,YEAR(Call_Table_Data[[#This Row],[Date of Call]]),YEAR(Call_Table_Data[[#This Row],[Date of Call]])+1)</f>
        <v>2023</v>
      </c>
      <c r="I127" s="9" t="str">
        <f>TEXT(Call_Table_Data[[#This Row],[Date of Call]],"DDDD")</f>
        <v>Sunday</v>
      </c>
      <c r="J127" s="9" t="str" cm="1">
        <f t="array" ref="J127">_xlfn.IFS(Call_Table_Data[[#This Row],[Duration]]&lt;=10,"Under 10 Mins",Call_Table_Data[[#This Row],[Duration]]&lt;=30,"10 to 30 Mins",Call_Table_Data[[#This Row],[Duration]]&lt;=60,"30 to 60 Mins",Call_Table_Data[[#This Row],[Duration]]&lt;=120,"1 to 2 Hours",TRUE,"More Than 2 Hours")</f>
        <v>1 to 2 Hours</v>
      </c>
      <c r="K127" s="9">
        <f>ROUND(Call_Table_Data[[#This Row],[Satisfaction Rating]],0)</f>
        <v>4</v>
      </c>
    </row>
    <row r="128" spans="1:11" x14ac:dyDescent="0.3">
      <c r="A128" s="9" t="s">
        <v>165</v>
      </c>
      <c r="B128" s="9" t="s">
        <v>32</v>
      </c>
      <c r="C128" s="9">
        <v>114</v>
      </c>
      <c r="D128" s="10" t="s">
        <v>33</v>
      </c>
      <c r="E128" s="11">
        <v>44976</v>
      </c>
      <c r="F128" s="9">
        <v>54</v>
      </c>
      <c r="G128" s="9">
        <v>1.1000000000000001</v>
      </c>
      <c r="H128" s="9">
        <f>IF(MONTH(Call_Table_Data[[#This Row],[Date of Call]])&lt;=3,YEAR(Call_Table_Data[[#This Row],[Date of Call]]),YEAR(Call_Table_Data[[#This Row],[Date of Call]])+1)</f>
        <v>2023</v>
      </c>
      <c r="I128" s="9" t="str">
        <f>TEXT(Call_Table_Data[[#This Row],[Date of Call]],"DDDD")</f>
        <v>Sunday</v>
      </c>
      <c r="J128" s="9" t="str" cm="1">
        <f t="array" ref="J128">_xlfn.IFS(Call_Table_Data[[#This Row],[Duration]]&lt;=10,"Under 10 Mins",Call_Table_Data[[#This Row],[Duration]]&lt;=30,"10 to 30 Mins",Call_Table_Data[[#This Row],[Duration]]&lt;=60,"30 to 60 Mins",Call_Table_Data[[#This Row],[Duration]]&lt;=120,"1 to 2 Hours",TRUE,"More Than 2 Hours")</f>
        <v>1 to 2 Hours</v>
      </c>
      <c r="K128" s="9">
        <f>ROUND(Call_Table_Data[[#This Row],[Satisfaction Rating]],0)</f>
        <v>1</v>
      </c>
    </row>
    <row r="129" spans="1:11" x14ac:dyDescent="0.3">
      <c r="A129" s="9" t="s">
        <v>166</v>
      </c>
      <c r="B129" s="9" t="s">
        <v>22</v>
      </c>
      <c r="C129" s="9">
        <v>155</v>
      </c>
      <c r="D129" s="10" t="s">
        <v>33</v>
      </c>
      <c r="E129" s="11">
        <v>44977</v>
      </c>
      <c r="F129" s="9">
        <v>80</v>
      </c>
      <c r="G129" s="9">
        <v>3.9</v>
      </c>
      <c r="H129" s="9">
        <f>IF(MONTH(Call_Table_Data[[#This Row],[Date of Call]])&lt;=3,YEAR(Call_Table_Data[[#This Row],[Date of Call]]),YEAR(Call_Table_Data[[#This Row],[Date of Call]])+1)</f>
        <v>2023</v>
      </c>
      <c r="I129" s="9" t="str">
        <f>TEXT(Call_Table_Data[[#This Row],[Date of Call]],"DDDD")</f>
        <v>Monday</v>
      </c>
      <c r="J129" s="9" t="str" cm="1">
        <f t="array" ref="J129">_xlfn.IFS(Call_Table_Data[[#This Row],[Duration]]&lt;=10,"Under 10 Mins",Call_Table_Data[[#This Row],[Duration]]&lt;=30,"10 to 30 Mins",Call_Table_Data[[#This Row],[Duration]]&lt;=60,"30 to 60 Mins",Call_Table_Data[[#This Row],[Duration]]&lt;=120,"1 to 2 Hours",TRUE,"More Than 2 Hours")</f>
        <v>More Than 2 Hours</v>
      </c>
      <c r="K129" s="9">
        <f>ROUND(Call_Table_Data[[#This Row],[Satisfaction Rating]],0)</f>
        <v>4</v>
      </c>
    </row>
    <row r="130" spans="1:11" x14ac:dyDescent="0.3">
      <c r="A130" s="9" t="s">
        <v>167</v>
      </c>
      <c r="B130" s="9" t="s">
        <v>54</v>
      </c>
      <c r="C130" s="9">
        <v>114</v>
      </c>
      <c r="D130" s="10" t="s">
        <v>17</v>
      </c>
      <c r="E130" s="11">
        <v>44978</v>
      </c>
      <c r="F130" s="9">
        <v>120</v>
      </c>
      <c r="G130" s="9">
        <v>1.8</v>
      </c>
      <c r="H130" s="9">
        <f>IF(MONTH(Call_Table_Data[[#This Row],[Date of Call]])&lt;=3,YEAR(Call_Table_Data[[#This Row],[Date of Call]]),YEAR(Call_Table_Data[[#This Row],[Date of Call]])+1)</f>
        <v>2023</v>
      </c>
      <c r="I130" s="9" t="str">
        <f>TEXT(Call_Table_Data[[#This Row],[Date of Call]],"DDDD")</f>
        <v>Tuesday</v>
      </c>
      <c r="J130" s="9" t="str" cm="1">
        <f t="array" ref="J130">_xlfn.IFS(Call_Table_Data[[#This Row],[Duration]]&lt;=10,"Under 10 Mins",Call_Table_Data[[#This Row],[Duration]]&lt;=30,"10 to 30 Mins",Call_Table_Data[[#This Row],[Duration]]&lt;=60,"30 to 60 Mins",Call_Table_Data[[#This Row],[Duration]]&lt;=120,"1 to 2 Hours",TRUE,"More Than 2 Hours")</f>
        <v>1 to 2 Hours</v>
      </c>
      <c r="K130" s="9">
        <f>ROUND(Call_Table_Data[[#This Row],[Satisfaction Rating]],0)</f>
        <v>2</v>
      </c>
    </row>
    <row r="131" spans="1:11" x14ac:dyDescent="0.3">
      <c r="A131" s="9" t="s">
        <v>168</v>
      </c>
      <c r="B131" s="9" t="s">
        <v>37</v>
      </c>
      <c r="C131" s="9">
        <v>130</v>
      </c>
      <c r="D131" s="10" t="s">
        <v>40</v>
      </c>
      <c r="E131" s="11">
        <v>44978</v>
      </c>
      <c r="F131" s="9">
        <v>150</v>
      </c>
      <c r="G131" s="9">
        <v>1</v>
      </c>
      <c r="H131" s="9">
        <f>IF(MONTH(Call_Table_Data[[#This Row],[Date of Call]])&lt;=3,YEAR(Call_Table_Data[[#This Row],[Date of Call]]),YEAR(Call_Table_Data[[#This Row],[Date of Call]])+1)</f>
        <v>2023</v>
      </c>
      <c r="I131" s="9" t="str">
        <f>TEXT(Call_Table_Data[[#This Row],[Date of Call]],"DDDD")</f>
        <v>Tuesday</v>
      </c>
      <c r="J131" s="9" t="str" cm="1">
        <f t="array" ref="J131">_xlfn.IFS(Call_Table_Data[[#This Row],[Duration]]&lt;=10,"Under 10 Mins",Call_Table_Data[[#This Row],[Duration]]&lt;=30,"10 to 30 Mins",Call_Table_Data[[#This Row],[Duration]]&lt;=60,"30 to 60 Mins",Call_Table_Data[[#This Row],[Duration]]&lt;=120,"1 to 2 Hours",TRUE,"More Than 2 Hours")</f>
        <v>More Than 2 Hours</v>
      </c>
      <c r="K131" s="9">
        <f>ROUND(Call_Table_Data[[#This Row],[Satisfaction Rating]],0)</f>
        <v>1</v>
      </c>
    </row>
    <row r="132" spans="1:11" x14ac:dyDescent="0.3">
      <c r="A132" s="9" t="s">
        <v>169</v>
      </c>
      <c r="B132" s="9" t="s">
        <v>22</v>
      </c>
      <c r="C132" s="9">
        <v>89</v>
      </c>
      <c r="D132" s="10" t="s">
        <v>17</v>
      </c>
      <c r="E132" s="11">
        <v>44978</v>
      </c>
      <c r="F132" s="9">
        <v>90</v>
      </c>
      <c r="G132" s="9">
        <v>4.3</v>
      </c>
      <c r="H132" s="9">
        <f>IF(MONTH(Call_Table_Data[[#This Row],[Date of Call]])&lt;=3,YEAR(Call_Table_Data[[#This Row],[Date of Call]]),YEAR(Call_Table_Data[[#This Row],[Date of Call]])+1)</f>
        <v>2023</v>
      </c>
      <c r="I132" s="9" t="str">
        <f>TEXT(Call_Table_Data[[#This Row],[Date of Call]],"DDDD")</f>
        <v>Tuesday</v>
      </c>
      <c r="J132" s="9" t="str" cm="1">
        <f t="array" ref="J132">_xlfn.IFS(Call_Table_Data[[#This Row],[Duration]]&lt;=10,"Under 10 Mins",Call_Table_Data[[#This Row],[Duration]]&lt;=30,"10 to 30 Mins",Call_Table_Data[[#This Row],[Duration]]&lt;=60,"30 to 60 Mins",Call_Table_Data[[#This Row],[Duration]]&lt;=120,"1 to 2 Hours",TRUE,"More Than 2 Hours")</f>
        <v>1 to 2 Hours</v>
      </c>
      <c r="K132" s="9">
        <f>ROUND(Call_Table_Data[[#This Row],[Satisfaction Rating]],0)</f>
        <v>4</v>
      </c>
    </row>
    <row r="133" spans="1:11" x14ac:dyDescent="0.3">
      <c r="A133" s="9" t="s">
        <v>170</v>
      </c>
      <c r="B133" s="9" t="s">
        <v>18</v>
      </c>
      <c r="C133" s="9">
        <v>61</v>
      </c>
      <c r="D133" s="10" t="s">
        <v>46</v>
      </c>
      <c r="E133" s="11">
        <v>44979</v>
      </c>
      <c r="F133" s="9">
        <v>140</v>
      </c>
      <c r="G133" s="9">
        <v>3.4</v>
      </c>
      <c r="H133" s="9">
        <f>IF(MONTH(Call_Table_Data[[#This Row],[Date of Call]])&lt;=3,YEAR(Call_Table_Data[[#This Row],[Date of Call]]),YEAR(Call_Table_Data[[#This Row],[Date of Call]])+1)</f>
        <v>2023</v>
      </c>
      <c r="I133" s="9" t="str">
        <f>TEXT(Call_Table_Data[[#This Row],[Date of Call]],"DDDD")</f>
        <v>Wednesday</v>
      </c>
      <c r="J133" s="9" t="str" cm="1">
        <f t="array" ref="J133">_xlfn.IFS(Call_Table_Data[[#This Row],[Duration]]&lt;=10,"Under 10 Mins",Call_Table_Data[[#This Row],[Duration]]&lt;=30,"10 to 30 Mins",Call_Table_Data[[#This Row],[Duration]]&lt;=60,"30 to 60 Mins",Call_Table_Data[[#This Row],[Duration]]&lt;=120,"1 to 2 Hours",TRUE,"More Than 2 Hours")</f>
        <v>1 to 2 Hours</v>
      </c>
      <c r="K133" s="9">
        <f>ROUND(Call_Table_Data[[#This Row],[Satisfaction Rating]],0)</f>
        <v>3</v>
      </c>
    </row>
    <row r="134" spans="1:11" x14ac:dyDescent="0.3">
      <c r="A134" s="9" t="s">
        <v>171</v>
      </c>
      <c r="B134" s="9" t="s">
        <v>45</v>
      </c>
      <c r="C134" s="9">
        <v>154</v>
      </c>
      <c r="D134" s="10" t="s">
        <v>33</v>
      </c>
      <c r="E134" s="11">
        <v>44979</v>
      </c>
      <c r="F134" s="9">
        <v>22</v>
      </c>
      <c r="G134" s="9">
        <v>3.4</v>
      </c>
      <c r="H134" s="9">
        <f>IF(MONTH(Call_Table_Data[[#This Row],[Date of Call]])&lt;=3,YEAR(Call_Table_Data[[#This Row],[Date of Call]]),YEAR(Call_Table_Data[[#This Row],[Date of Call]])+1)</f>
        <v>2023</v>
      </c>
      <c r="I134" s="9" t="str">
        <f>TEXT(Call_Table_Data[[#This Row],[Date of Call]],"DDDD")</f>
        <v>Wednesday</v>
      </c>
      <c r="J134" s="9" t="str" cm="1">
        <f t="array" ref="J134">_xlfn.IFS(Call_Table_Data[[#This Row],[Duration]]&lt;=10,"Under 10 Mins",Call_Table_Data[[#This Row],[Duration]]&lt;=30,"10 to 30 Mins",Call_Table_Data[[#This Row],[Duration]]&lt;=60,"30 to 60 Mins",Call_Table_Data[[#This Row],[Duration]]&lt;=120,"1 to 2 Hours",TRUE,"More Than 2 Hours")</f>
        <v>More Than 2 Hours</v>
      </c>
      <c r="K134" s="9">
        <f>ROUND(Call_Table_Data[[#This Row],[Satisfaction Rating]],0)</f>
        <v>3</v>
      </c>
    </row>
    <row r="135" spans="1:11" x14ac:dyDescent="0.3">
      <c r="A135" s="9" t="s">
        <v>172</v>
      </c>
      <c r="B135" s="9" t="s">
        <v>54</v>
      </c>
      <c r="C135" s="9">
        <v>115</v>
      </c>
      <c r="D135" s="10" t="s">
        <v>40</v>
      </c>
      <c r="E135" s="11">
        <v>44980</v>
      </c>
      <c r="F135" s="9">
        <v>150</v>
      </c>
      <c r="G135" s="9">
        <v>4.0999999999999996</v>
      </c>
      <c r="H135" s="9">
        <f>IF(MONTH(Call_Table_Data[[#This Row],[Date of Call]])&lt;=3,YEAR(Call_Table_Data[[#This Row],[Date of Call]]),YEAR(Call_Table_Data[[#This Row],[Date of Call]])+1)</f>
        <v>2023</v>
      </c>
      <c r="I135" s="9" t="str">
        <f>TEXT(Call_Table_Data[[#This Row],[Date of Call]],"DDDD")</f>
        <v>Thursday</v>
      </c>
      <c r="J135" s="9" t="str" cm="1">
        <f t="array" ref="J135">_xlfn.IFS(Call_Table_Data[[#This Row],[Duration]]&lt;=10,"Under 10 Mins",Call_Table_Data[[#This Row],[Duration]]&lt;=30,"10 to 30 Mins",Call_Table_Data[[#This Row],[Duration]]&lt;=60,"30 to 60 Mins",Call_Table_Data[[#This Row],[Duration]]&lt;=120,"1 to 2 Hours",TRUE,"More Than 2 Hours")</f>
        <v>1 to 2 Hours</v>
      </c>
      <c r="K135" s="9">
        <f>ROUND(Call_Table_Data[[#This Row],[Satisfaction Rating]],0)</f>
        <v>4</v>
      </c>
    </row>
    <row r="136" spans="1:11" x14ac:dyDescent="0.3">
      <c r="A136" s="9" t="s">
        <v>173</v>
      </c>
      <c r="B136" s="9" t="s">
        <v>41</v>
      </c>
      <c r="C136" s="9">
        <v>138</v>
      </c>
      <c r="D136" s="10" t="s">
        <v>27</v>
      </c>
      <c r="E136" s="11">
        <v>44981</v>
      </c>
      <c r="F136" s="9">
        <v>35</v>
      </c>
      <c r="G136" s="9">
        <v>4.8</v>
      </c>
      <c r="H136" s="9">
        <f>IF(MONTH(Call_Table_Data[[#This Row],[Date of Call]])&lt;=3,YEAR(Call_Table_Data[[#This Row],[Date of Call]]),YEAR(Call_Table_Data[[#This Row],[Date of Call]])+1)</f>
        <v>2023</v>
      </c>
      <c r="I136" s="9" t="str">
        <f>TEXT(Call_Table_Data[[#This Row],[Date of Call]],"DDDD")</f>
        <v>Friday</v>
      </c>
      <c r="J136" s="9" t="str" cm="1">
        <f t="array" ref="J136">_xlfn.IFS(Call_Table_Data[[#This Row],[Duration]]&lt;=10,"Under 10 Mins",Call_Table_Data[[#This Row],[Duration]]&lt;=30,"10 to 30 Mins",Call_Table_Data[[#This Row],[Duration]]&lt;=60,"30 to 60 Mins",Call_Table_Data[[#This Row],[Duration]]&lt;=120,"1 to 2 Hours",TRUE,"More Than 2 Hours")</f>
        <v>More Than 2 Hours</v>
      </c>
      <c r="K136" s="9">
        <f>ROUND(Call_Table_Data[[#This Row],[Satisfaction Rating]],0)</f>
        <v>5</v>
      </c>
    </row>
    <row r="137" spans="1:11" x14ac:dyDescent="0.3">
      <c r="A137" s="9" t="s">
        <v>174</v>
      </c>
      <c r="B137" s="9" t="s">
        <v>30</v>
      </c>
      <c r="C137" s="9">
        <v>153</v>
      </c>
      <c r="D137" s="10" t="s">
        <v>17</v>
      </c>
      <c r="E137" s="11">
        <v>44981</v>
      </c>
      <c r="F137" s="9">
        <v>200</v>
      </c>
      <c r="G137" s="9">
        <v>2</v>
      </c>
      <c r="H137" s="9">
        <f>IF(MONTH(Call_Table_Data[[#This Row],[Date of Call]])&lt;=3,YEAR(Call_Table_Data[[#This Row],[Date of Call]]),YEAR(Call_Table_Data[[#This Row],[Date of Call]])+1)</f>
        <v>2023</v>
      </c>
      <c r="I137" s="9" t="str">
        <f>TEXT(Call_Table_Data[[#This Row],[Date of Call]],"DDDD")</f>
        <v>Friday</v>
      </c>
      <c r="J137" s="9" t="str" cm="1">
        <f t="array" ref="J137">_xlfn.IFS(Call_Table_Data[[#This Row],[Duration]]&lt;=10,"Under 10 Mins",Call_Table_Data[[#This Row],[Duration]]&lt;=30,"10 to 30 Mins",Call_Table_Data[[#This Row],[Duration]]&lt;=60,"30 to 60 Mins",Call_Table_Data[[#This Row],[Duration]]&lt;=120,"1 to 2 Hours",TRUE,"More Than 2 Hours")</f>
        <v>More Than 2 Hours</v>
      </c>
      <c r="K137" s="9">
        <f>ROUND(Call_Table_Data[[#This Row],[Satisfaction Rating]],0)</f>
        <v>2</v>
      </c>
    </row>
    <row r="138" spans="1:11" x14ac:dyDescent="0.3">
      <c r="A138" s="9" t="s">
        <v>175</v>
      </c>
      <c r="B138" s="9" t="s">
        <v>54</v>
      </c>
      <c r="C138" s="9">
        <v>61</v>
      </c>
      <c r="D138" s="10" t="s">
        <v>46</v>
      </c>
      <c r="E138" s="11">
        <v>44982</v>
      </c>
      <c r="F138" s="9">
        <v>150</v>
      </c>
      <c r="G138" s="9">
        <v>4.5999999999999996</v>
      </c>
      <c r="H138" s="9">
        <f>IF(MONTH(Call_Table_Data[[#This Row],[Date of Call]])&lt;=3,YEAR(Call_Table_Data[[#This Row],[Date of Call]]),YEAR(Call_Table_Data[[#This Row],[Date of Call]])+1)</f>
        <v>2023</v>
      </c>
      <c r="I138" s="9" t="str">
        <f>TEXT(Call_Table_Data[[#This Row],[Date of Call]],"DDDD")</f>
        <v>Saturday</v>
      </c>
      <c r="J138" s="9" t="str" cm="1">
        <f t="array" ref="J138">_xlfn.IFS(Call_Table_Data[[#This Row],[Duration]]&lt;=10,"Under 10 Mins",Call_Table_Data[[#This Row],[Duration]]&lt;=30,"10 to 30 Mins",Call_Table_Data[[#This Row],[Duration]]&lt;=60,"30 to 60 Mins",Call_Table_Data[[#This Row],[Duration]]&lt;=120,"1 to 2 Hours",TRUE,"More Than 2 Hours")</f>
        <v>1 to 2 Hours</v>
      </c>
      <c r="K138" s="9">
        <f>ROUND(Call_Table_Data[[#This Row],[Satisfaction Rating]],0)</f>
        <v>5</v>
      </c>
    </row>
    <row r="139" spans="1:11" x14ac:dyDescent="0.3">
      <c r="A139" s="9" t="s">
        <v>176</v>
      </c>
      <c r="B139" s="9" t="s">
        <v>43</v>
      </c>
      <c r="C139" s="9">
        <v>62</v>
      </c>
      <c r="D139" s="10" t="s">
        <v>17</v>
      </c>
      <c r="E139" s="11">
        <v>44982</v>
      </c>
      <c r="F139" s="9">
        <v>21</v>
      </c>
      <c r="G139" s="9">
        <v>2.6</v>
      </c>
      <c r="H139" s="9">
        <f>IF(MONTH(Call_Table_Data[[#This Row],[Date of Call]])&lt;=3,YEAR(Call_Table_Data[[#This Row],[Date of Call]]),YEAR(Call_Table_Data[[#This Row],[Date of Call]])+1)</f>
        <v>2023</v>
      </c>
      <c r="I139" s="9" t="str">
        <f>TEXT(Call_Table_Data[[#This Row],[Date of Call]],"DDDD")</f>
        <v>Saturday</v>
      </c>
      <c r="J139" s="9" t="str" cm="1">
        <f t="array" ref="J139">_xlfn.IFS(Call_Table_Data[[#This Row],[Duration]]&lt;=10,"Under 10 Mins",Call_Table_Data[[#This Row],[Duration]]&lt;=30,"10 to 30 Mins",Call_Table_Data[[#This Row],[Duration]]&lt;=60,"30 to 60 Mins",Call_Table_Data[[#This Row],[Duration]]&lt;=120,"1 to 2 Hours",TRUE,"More Than 2 Hours")</f>
        <v>1 to 2 Hours</v>
      </c>
      <c r="K139" s="9">
        <f>ROUND(Call_Table_Data[[#This Row],[Satisfaction Rating]],0)</f>
        <v>3</v>
      </c>
    </row>
    <row r="140" spans="1:11" x14ac:dyDescent="0.3">
      <c r="A140" s="9" t="s">
        <v>177</v>
      </c>
      <c r="B140" s="9" t="s">
        <v>18</v>
      </c>
      <c r="C140" s="9">
        <v>151</v>
      </c>
      <c r="D140" s="10" t="s">
        <v>40</v>
      </c>
      <c r="E140" s="11">
        <v>44983</v>
      </c>
      <c r="F140" s="9">
        <v>46</v>
      </c>
      <c r="G140" s="9">
        <v>4.9000000000000004</v>
      </c>
      <c r="H140" s="9">
        <f>IF(MONTH(Call_Table_Data[[#This Row],[Date of Call]])&lt;=3,YEAR(Call_Table_Data[[#This Row],[Date of Call]]),YEAR(Call_Table_Data[[#This Row],[Date of Call]])+1)</f>
        <v>2023</v>
      </c>
      <c r="I140" s="9" t="str">
        <f>TEXT(Call_Table_Data[[#This Row],[Date of Call]],"DDDD")</f>
        <v>Sunday</v>
      </c>
      <c r="J140" s="9" t="str" cm="1">
        <f t="array" ref="J140">_xlfn.IFS(Call_Table_Data[[#This Row],[Duration]]&lt;=10,"Under 10 Mins",Call_Table_Data[[#This Row],[Duration]]&lt;=30,"10 to 30 Mins",Call_Table_Data[[#This Row],[Duration]]&lt;=60,"30 to 60 Mins",Call_Table_Data[[#This Row],[Duration]]&lt;=120,"1 to 2 Hours",TRUE,"More Than 2 Hours")</f>
        <v>More Than 2 Hours</v>
      </c>
      <c r="K140" s="9">
        <f>ROUND(Call_Table_Data[[#This Row],[Satisfaction Rating]],0)</f>
        <v>5</v>
      </c>
    </row>
    <row r="141" spans="1:11" x14ac:dyDescent="0.3">
      <c r="A141" s="9" t="s">
        <v>178</v>
      </c>
      <c r="B141" s="9" t="s">
        <v>50</v>
      </c>
      <c r="C141" s="9">
        <v>102</v>
      </c>
      <c r="D141" s="10" t="s">
        <v>33</v>
      </c>
      <c r="E141" s="11">
        <v>44983</v>
      </c>
      <c r="F141" s="9">
        <v>165</v>
      </c>
      <c r="G141" s="9">
        <v>2.7</v>
      </c>
      <c r="H141" s="9">
        <f>IF(MONTH(Call_Table_Data[[#This Row],[Date of Call]])&lt;=3,YEAR(Call_Table_Data[[#This Row],[Date of Call]]),YEAR(Call_Table_Data[[#This Row],[Date of Call]])+1)</f>
        <v>2023</v>
      </c>
      <c r="I141" s="9" t="str">
        <f>TEXT(Call_Table_Data[[#This Row],[Date of Call]],"DDDD")</f>
        <v>Sunday</v>
      </c>
      <c r="J141" s="9" t="str" cm="1">
        <f t="array" ref="J141">_xlfn.IFS(Call_Table_Data[[#This Row],[Duration]]&lt;=10,"Under 10 Mins",Call_Table_Data[[#This Row],[Duration]]&lt;=30,"10 to 30 Mins",Call_Table_Data[[#This Row],[Duration]]&lt;=60,"30 to 60 Mins",Call_Table_Data[[#This Row],[Duration]]&lt;=120,"1 to 2 Hours",TRUE,"More Than 2 Hours")</f>
        <v>1 to 2 Hours</v>
      </c>
      <c r="K141" s="9">
        <f>ROUND(Call_Table_Data[[#This Row],[Satisfaction Rating]],0)</f>
        <v>3</v>
      </c>
    </row>
    <row r="142" spans="1:11" x14ac:dyDescent="0.3">
      <c r="A142" s="9" t="s">
        <v>179</v>
      </c>
      <c r="B142" s="9" t="s">
        <v>35</v>
      </c>
      <c r="C142" s="9">
        <v>64</v>
      </c>
      <c r="D142" s="10" t="s">
        <v>17</v>
      </c>
      <c r="E142" s="11">
        <v>44983</v>
      </c>
      <c r="F142" s="9">
        <v>84</v>
      </c>
      <c r="G142" s="9">
        <v>4.0999999999999996</v>
      </c>
      <c r="H142" s="9">
        <f>IF(MONTH(Call_Table_Data[[#This Row],[Date of Call]])&lt;=3,YEAR(Call_Table_Data[[#This Row],[Date of Call]]),YEAR(Call_Table_Data[[#This Row],[Date of Call]])+1)</f>
        <v>2023</v>
      </c>
      <c r="I142" s="9" t="str">
        <f>TEXT(Call_Table_Data[[#This Row],[Date of Call]],"DDDD")</f>
        <v>Sunday</v>
      </c>
      <c r="J142" s="9" t="str" cm="1">
        <f t="array" ref="J142">_xlfn.IFS(Call_Table_Data[[#This Row],[Duration]]&lt;=10,"Under 10 Mins",Call_Table_Data[[#This Row],[Duration]]&lt;=30,"10 to 30 Mins",Call_Table_Data[[#This Row],[Duration]]&lt;=60,"30 to 60 Mins",Call_Table_Data[[#This Row],[Duration]]&lt;=120,"1 to 2 Hours",TRUE,"More Than 2 Hours")</f>
        <v>1 to 2 Hours</v>
      </c>
      <c r="K142" s="9">
        <f>ROUND(Call_Table_Data[[#This Row],[Satisfaction Rating]],0)</f>
        <v>4</v>
      </c>
    </row>
    <row r="143" spans="1:11" x14ac:dyDescent="0.3">
      <c r="A143" s="9" t="s">
        <v>180</v>
      </c>
      <c r="B143" s="9" t="s">
        <v>22</v>
      </c>
      <c r="C143" s="9">
        <v>6</v>
      </c>
      <c r="D143" s="10" t="s">
        <v>33</v>
      </c>
      <c r="E143" s="11">
        <v>44984</v>
      </c>
      <c r="F143" s="9">
        <v>102</v>
      </c>
      <c r="G143" s="9">
        <v>4.4000000000000004</v>
      </c>
      <c r="H143" s="9">
        <f>IF(MONTH(Call_Table_Data[[#This Row],[Date of Call]])&lt;=3,YEAR(Call_Table_Data[[#This Row],[Date of Call]]),YEAR(Call_Table_Data[[#This Row],[Date of Call]])+1)</f>
        <v>2023</v>
      </c>
      <c r="I143" s="9" t="str">
        <f>TEXT(Call_Table_Data[[#This Row],[Date of Call]],"DDDD")</f>
        <v>Monday</v>
      </c>
      <c r="J143" s="9" t="str" cm="1">
        <f t="array" ref="J143">_xlfn.IFS(Call_Table_Data[[#This Row],[Duration]]&lt;=10,"Under 10 Mins",Call_Table_Data[[#This Row],[Duration]]&lt;=30,"10 to 30 Mins",Call_Table_Data[[#This Row],[Duration]]&lt;=60,"30 to 60 Mins",Call_Table_Data[[#This Row],[Duration]]&lt;=120,"1 to 2 Hours",TRUE,"More Than 2 Hours")</f>
        <v>Under 10 Mins</v>
      </c>
      <c r="K143" s="9">
        <f>ROUND(Call_Table_Data[[#This Row],[Satisfaction Rating]],0)</f>
        <v>4</v>
      </c>
    </row>
    <row r="144" spans="1:11" x14ac:dyDescent="0.3">
      <c r="A144" s="9" t="s">
        <v>181</v>
      </c>
      <c r="B144" s="9" t="s">
        <v>35</v>
      </c>
      <c r="C144" s="9">
        <v>129</v>
      </c>
      <c r="D144" s="10" t="s">
        <v>17</v>
      </c>
      <c r="E144" s="11">
        <v>44984</v>
      </c>
      <c r="F144" s="9">
        <v>180</v>
      </c>
      <c r="G144" s="9">
        <v>4.8</v>
      </c>
      <c r="H144" s="9">
        <f>IF(MONTH(Call_Table_Data[[#This Row],[Date of Call]])&lt;=3,YEAR(Call_Table_Data[[#This Row],[Date of Call]]),YEAR(Call_Table_Data[[#This Row],[Date of Call]])+1)</f>
        <v>2023</v>
      </c>
      <c r="I144" s="9" t="str">
        <f>TEXT(Call_Table_Data[[#This Row],[Date of Call]],"DDDD")</f>
        <v>Monday</v>
      </c>
      <c r="J144" s="9" t="str" cm="1">
        <f t="array" ref="J144">_xlfn.IFS(Call_Table_Data[[#This Row],[Duration]]&lt;=10,"Under 10 Mins",Call_Table_Data[[#This Row],[Duration]]&lt;=30,"10 to 30 Mins",Call_Table_Data[[#This Row],[Duration]]&lt;=60,"30 to 60 Mins",Call_Table_Data[[#This Row],[Duration]]&lt;=120,"1 to 2 Hours",TRUE,"More Than 2 Hours")</f>
        <v>More Than 2 Hours</v>
      </c>
      <c r="K144" s="9">
        <f>ROUND(Call_Table_Data[[#This Row],[Satisfaction Rating]],0)</f>
        <v>5</v>
      </c>
    </row>
    <row r="145" spans="1:11" x14ac:dyDescent="0.3">
      <c r="A145" s="9" t="s">
        <v>182</v>
      </c>
      <c r="B145" s="9" t="s">
        <v>43</v>
      </c>
      <c r="C145" s="9">
        <v>42</v>
      </c>
      <c r="D145" s="10" t="s">
        <v>40</v>
      </c>
      <c r="E145" s="11">
        <v>44985</v>
      </c>
      <c r="F145" s="9">
        <v>111</v>
      </c>
      <c r="G145" s="9">
        <v>3</v>
      </c>
      <c r="H145" s="9">
        <f>IF(MONTH(Call_Table_Data[[#This Row],[Date of Call]])&lt;=3,YEAR(Call_Table_Data[[#This Row],[Date of Call]]),YEAR(Call_Table_Data[[#This Row],[Date of Call]])+1)</f>
        <v>2023</v>
      </c>
      <c r="I145" s="9" t="str">
        <f>TEXT(Call_Table_Data[[#This Row],[Date of Call]],"DDDD")</f>
        <v>Tuesday</v>
      </c>
      <c r="J145" s="9" t="str" cm="1">
        <f t="array" ref="J145">_xlfn.IFS(Call_Table_Data[[#This Row],[Duration]]&lt;=10,"Under 10 Mins",Call_Table_Data[[#This Row],[Duration]]&lt;=30,"10 to 30 Mins",Call_Table_Data[[#This Row],[Duration]]&lt;=60,"30 to 60 Mins",Call_Table_Data[[#This Row],[Duration]]&lt;=120,"1 to 2 Hours",TRUE,"More Than 2 Hours")</f>
        <v>30 to 60 Mins</v>
      </c>
      <c r="K145" s="9">
        <f>ROUND(Call_Table_Data[[#This Row],[Satisfaction Rating]],0)</f>
        <v>3</v>
      </c>
    </row>
    <row r="146" spans="1:11" x14ac:dyDescent="0.3">
      <c r="A146" s="9" t="s">
        <v>183</v>
      </c>
      <c r="B146" s="9" t="s">
        <v>43</v>
      </c>
      <c r="C146" s="9">
        <v>71</v>
      </c>
      <c r="D146" s="10" t="s">
        <v>46</v>
      </c>
      <c r="E146" s="11">
        <v>44985</v>
      </c>
      <c r="F146" s="9">
        <v>104</v>
      </c>
      <c r="G146" s="9">
        <v>3.1</v>
      </c>
      <c r="H146" s="9">
        <f>IF(MONTH(Call_Table_Data[[#This Row],[Date of Call]])&lt;=3,YEAR(Call_Table_Data[[#This Row],[Date of Call]]),YEAR(Call_Table_Data[[#This Row],[Date of Call]])+1)</f>
        <v>2023</v>
      </c>
      <c r="I146" s="9" t="str">
        <f>TEXT(Call_Table_Data[[#This Row],[Date of Call]],"DDDD")</f>
        <v>Tuesday</v>
      </c>
      <c r="J146" s="9" t="str" cm="1">
        <f t="array" ref="J146">_xlfn.IFS(Call_Table_Data[[#This Row],[Duration]]&lt;=10,"Under 10 Mins",Call_Table_Data[[#This Row],[Duration]]&lt;=30,"10 to 30 Mins",Call_Table_Data[[#This Row],[Duration]]&lt;=60,"30 to 60 Mins",Call_Table_Data[[#This Row],[Duration]]&lt;=120,"1 to 2 Hours",TRUE,"More Than 2 Hours")</f>
        <v>1 to 2 Hours</v>
      </c>
      <c r="K146" s="9">
        <f>ROUND(Call_Table_Data[[#This Row],[Satisfaction Rating]],0)</f>
        <v>3</v>
      </c>
    </row>
    <row r="147" spans="1:11" x14ac:dyDescent="0.3">
      <c r="A147" s="9" t="s">
        <v>184</v>
      </c>
      <c r="B147" s="9" t="s">
        <v>26</v>
      </c>
      <c r="C147" s="9">
        <v>53</v>
      </c>
      <c r="D147" s="10" t="s">
        <v>33</v>
      </c>
      <c r="E147" s="11">
        <v>44985</v>
      </c>
      <c r="F147" s="9">
        <v>80</v>
      </c>
      <c r="G147" s="9">
        <v>2.6</v>
      </c>
      <c r="H147" s="9">
        <f>IF(MONTH(Call_Table_Data[[#This Row],[Date of Call]])&lt;=3,YEAR(Call_Table_Data[[#This Row],[Date of Call]]),YEAR(Call_Table_Data[[#This Row],[Date of Call]])+1)</f>
        <v>2023</v>
      </c>
      <c r="I147" s="9" t="str">
        <f>TEXT(Call_Table_Data[[#This Row],[Date of Call]],"DDDD")</f>
        <v>Tuesday</v>
      </c>
      <c r="J147" s="9" t="str" cm="1">
        <f t="array" ref="J147">_xlfn.IFS(Call_Table_Data[[#This Row],[Duration]]&lt;=10,"Under 10 Mins",Call_Table_Data[[#This Row],[Duration]]&lt;=30,"10 to 30 Mins",Call_Table_Data[[#This Row],[Duration]]&lt;=60,"30 to 60 Mins",Call_Table_Data[[#This Row],[Duration]]&lt;=120,"1 to 2 Hours",TRUE,"More Than 2 Hours")</f>
        <v>30 to 60 Mins</v>
      </c>
      <c r="K147" s="9">
        <f>ROUND(Call_Table_Data[[#This Row],[Satisfaction Rating]],0)</f>
        <v>3</v>
      </c>
    </row>
    <row r="148" spans="1:11" x14ac:dyDescent="0.3">
      <c r="A148" s="9" t="s">
        <v>185</v>
      </c>
      <c r="B148" s="9" t="s">
        <v>32</v>
      </c>
      <c r="C148" s="9">
        <v>155</v>
      </c>
      <c r="D148" s="10" t="s">
        <v>46</v>
      </c>
      <c r="E148" s="11">
        <v>44986</v>
      </c>
      <c r="F148" s="9">
        <v>132</v>
      </c>
      <c r="G148" s="9">
        <v>4.5999999999999996</v>
      </c>
      <c r="H148" s="9">
        <f>IF(MONTH(Call_Table_Data[[#This Row],[Date of Call]])&lt;=3,YEAR(Call_Table_Data[[#This Row],[Date of Call]]),YEAR(Call_Table_Data[[#This Row],[Date of Call]])+1)</f>
        <v>2023</v>
      </c>
      <c r="I148" s="9" t="str">
        <f>TEXT(Call_Table_Data[[#This Row],[Date of Call]],"DDDD")</f>
        <v>Wednesday</v>
      </c>
      <c r="J148" s="9" t="str" cm="1">
        <f t="array" ref="J148">_xlfn.IFS(Call_Table_Data[[#This Row],[Duration]]&lt;=10,"Under 10 Mins",Call_Table_Data[[#This Row],[Duration]]&lt;=30,"10 to 30 Mins",Call_Table_Data[[#This Row],[Duration]]&lt;=60,"30 to 60 Mins",Call_Table_Data[[#This Row],[Duration]]&lt;=120,"1 to 2 Hours",TRUE,"More Than 2 Hours")</f>
        <v>More Than 2 Hours</v>
      </c>
      <c r="K148" s="9">
        <f>ROUND(Call_Table_Data[[#This Row],[Satisfaction Rating]],0)</f>
        <v>5</v>
      </c>
    </row>
    <row r="149" spans="1:11" x14ac:dyDescent="0.3">
      <c r="A149" s="9" t="s">
        <v>186</v>
      </c>
      <c r="B149" s="9" t="s">
        <v>32</v>
      </c>
      <c r="C149" s="9">
        <v>90</v>
      </c>
      <c r="D149" s="10" t="s">
        <v>40</v>
      </c>
      <c r="E149" s="11">
        <v>44986</v>
      </c>
      <c r="F149" s="9">
        <v>170</v>
      </c>
      <c r="G149" s="9">
        <v>3.7</v>
      </c>
      <c r="H149" s="9">
        <f>IF(MONTH(Call_Table_Data[[#This Row],[Date of Call]])&lt;=3,YEAR(Call_Table_Data[[#This Row],[Date of Call]]),YEAR(Call_Table_Data[[#This Row],[Date of Call]])+1)</f>
        <v>2023</v>
      </c>
      <c r="I149" s="9" t="str">
        <f>TEXT(Call_Table_Data[[#This Row],[Date of Call]],"DDDD")</f>
        <v>Wednesday</v>
      </c>
      <c r="J149" s="9" t="str" cm="1">
        <f t="array" ref="J149">_xlfn.IFS(Call_Table_Data[[#This Row],[Duration]]&lt;=10,"Under 10 Mins",Call_Table_Data[[#This Row],[Duration]]&lt;=30,"10 to 30 Mins",Call_Table_Data[[#This Row],[Duration]]&lt;=60,"30 to 60 Mins",Call_Table_Data[[#This Row],[Duration]]&lt;=120,"1 to 2 Hours",TRUE,"More Than 2 Hours")</f>
        <v>1 to 2 Hours</v>
      </c>
      <c r="K149" s="9">
        <f>ROUND(Call_Table_Data[[#This Row],[Satisfaction Rating]],0)</f>
        <v>4</v>
      </c>
    </row>
    <row r="150" spans="1:11" x14ac:dyDescent="0.3">
      <c r="A150" s="9" t="s">
        <v>187</v>
      </c>
      <c r="B150" s="9" t="s">
        <v>35</v>
      </c>
      <c r="C150" s="9">
        <v>166</v>
      </c>
      <c r="D150" s="10" t="s">
        <v>27</v>
      </c>
      <c r="E150" s="11">
        <v>44986</v>
      </c>
      <c r="F150" s="9">
        <v>36</v>
      </c>
      <c r="G150" s="9">
        <v>3.8</v>
      </c>
      <c r="H150" s="9">
        <f>IF(MONTH(Call_Table_Data[[#This Row],[Date of Call]])&lt;=3,YEAR(Call_Table_Data[[#This Row],[Date of Call]]),YEAR(Call_Table_Data[[#This Row],[Date of Call]])+1)</f>
        <v>2023</v>
      </c>
      <c r="I150" s="9" t="str">
        <f>TEXT(Call_Table_Data[[#This Row],[Date of Call]],"DDDD")</f>
        <v>Wednesday</v>
      </c>
      <c r="J150" s="9" t="str" cm="1">
        <f t="array" ref="J150">_xlfn.IFS(Call_Table_Data[[#This Row],[Duration]]&lt;=10,"Under 10 Mins",Call_Table_Data[[#This Row],[Duration]]&lt;=30,"10 to 30 Mins",Call_Table_Data[[#This Row],[Duration]]&lt;=60,"30 to 60 Mins",Call_Table_Data[[#This Row],[Duration]]&lt;=120,"1 to 2 Hours",TRUE,"More Than 2 Hours")</f>
        <v>More Than 2 Hours</v>
      </c>
      <c r="K150" s="9">
        <f>ROUND(Call_Table_Data[[#This Row],[Satisfaction Rating]],0)</f>
        <v>4</v>
      </c>
    </row>
    <row r="151" spans="1:11" x14ac:dyDescent="0.3">
      <c r="A151" s="9" t="s">
        <v>188</v>
      </c>
      <c r="B151" s="9" t="s">
        <v>23</v>
      </c>
      <c r="C151" s="9">
        <v>89</v>
      </c>
      <c r="D151" s="10" t="s">
        <v>46</v>
      </c>
      <c r="E151" s="11">
        <v>44986</v>
      </c>
      <c r="F151" s="9">
        <v>126</v>
      </c>
      <c r="G151" s="9">
        <v>3.6</v>
      </c>
      <c r="H151" s="9">
        <f>IF(MONTH(Call_Table_Data[[#This Row],[Date of Call]])&lt;=3,YEAR(Call_Table_Data[[#This Row],[Date of Call]]),YEAR(Call_Table_Data[[#This Row],[Date of Call]])+1)</f>
        <v>2023</v>
      </c>
      <c r="I151" s="9" t="str">
        <f>TEXT(Call_Table_Data[[#This Row],[Date of Call]],"DDDD")</f>
        <v>Wednesday</v>
      </c>
      <c r="J151" s="9" t="str" cm="1">
        <f t="array" ref="J151">_xlfn.IFS(Call_Table_Data[[#This Row],[Duration]]&lt;=10,"Under 10 Mins",Call_Table_Data[[#This Row],[Duration]]&lt;=30,"10 to 30 Mins",Call_Table_Data[[#This Row],[Duration]]&lt;=60,"30 to 60 Mins",Call_Table_Data[[#This Row],[Duration]]&lt;=120,"1 to 2 Hours",TRUE,"More Than 2 Hours")</f>
        <v>1 to 2 Hours</v>
      </c>
      <c r="K151" s="9">
        <f>ROUND(Call_Table_Data[[#This Row],[Satisfaction Rating]],0)</f>
        <v>4</v>
      </c>
    </row>
    <row r="152" spans="1:11" x14ac:dyDescent="0.3">
      <c r="A152" s="9" t="s">
        <v>189</v>
      </c>
      <c r="B152" s="9" t="s">
        <v>54</v>
      </c>
      <c r="C152" s="9">
        <v>152</v>
      </c>
      <c r="D152" s="10" t="s">
        <v>33</v>
      </c>
      <c r="E152" s="11">
        <v>44986</v>
      </c>
      <c r="F152" s="9">
        <v>215</v>
      </c>
      <c r="G152" s="9">
        <v>4.4000000000000004</v>
      </c>
      <c r="H152" s="9">
        <f>IF(MONTH(Call_Table_Data[[#This Row],[Date of Call]])&lt;=3,YEAR(Call_Table_Data[[#This Row],[Date of Call]]),YEAR(Call_Table_Data[[#This Row],[Date of Call]])+1)</f>
        <v>2023</v>
      </c>
      <c r="I152" s="9" t="str">
        <f>TEXT(Call_Table_Data[[#This Row],[Date of Call]],"DDDD")</f>
        <v>Wednesday</v>
      </c>
      <c r="J152" s="9" t="str" cm="1">
        <f t="array" ref="J152">_xlfn.IFS(Call_Table_Data[[#This Row],[Duration]]&lt;=10,"Under 10 Mins",Call_Table_Data[[#This Row],[Duration]]&lt;=30,"10 to 30 Mins",Call_Table_Data[[#This Row],[Duration]]&lt;=60,"30 to 60 Mins",Call_Table_Data[[#This Row],[Duration]]&lt;=120,"1 to 2 Hours",TRUE,"More Than 2 Hours")</f>
        <v>More Than 2 Hours</v>
      </c>
      <c r="K152" s="9">
        <f>ROUND(Call_Table_Data[[#This Row],[Satisfaction Rating]],0)</f>
        <v>4</v>
      </c>
    </row>
    <row r="153" spans="1:11" x14ac:dyDescent="0.3">
      <c r="A153" s="9" t="s">
        <v>190</v>
      </c>
      <c r="B153" s="9" t="s">
        <v>23</v>
      </c>
      <c r="C153" s="9">
        <v>137</v>
      </c>
      <c r="D153" s="10" t="s">
        <v>40</v>
      </c>
      <c r="E153" s="11">
        <v>44986</v>
      </c>
      <c r="F153" s="9">
        <v>114</v>
      </c>
      <c r="G153" s="9">
        <v>3.2</v>
      </c>
      <c r="H153" s="9">
        <f>IF(MONTH(Call_Table_Data[[#This Row],[Date of Call]])&lt;=3,YEAR(Call_Table_Data[[#This Row],[Date of Call]]),YEAR(Call_Table_Data[[#This Row],[Date of Call]])+1)</f>
        <v>2023</v>
      </c>
      <c r="I153" s="9" t="str">
        <f>TEXT(Call_Table_Data[[#This Row],[Date of Call]],"DDDD")</f>
        <v>Wednesday</v>
      </c>
      <c r="J153" s="9" t="str" cm="1">
        <f t="array" ref="J153">_xlfn.IFS(Call_Table_Data[[#This Row],[Duration]]&lt;=10,"Under 10 Mins",Call_Table_Data[[#This Row],[Duration]]&lt;=30,"10 to 30 Mins",Call_Table_Data[[#This Row],[Duration]]&lt;=60,"30 to 60 Mins",Call_Table_Data[[#This Row],[Duration]]&lt;=120,"1 to 2 Hours",TRUE,"More Than 2 Hours")</f>
        <v>More Than 2 Hours</v>
      </c>
      <c r="K153" s="9">
        <f>ROUND(Call_Table_Data[[#This Row],[Satisfaction Rating]],0)</f>
        <v>3</v>
      </c>
    </row>
    <row r="154" spans="1:11" x14ac:dyDescent="0.3">
      <c r="A154" s="9" t="s">
        <v>191</v>
      </c>
      <c r="B154" s="9" t="s">
        <v>23</v>
      </c>
      <c r="C154" s="9">
        <v>43</v>
      </c>
      <c r="D154" s="10" t="s">
        <v>40</v>
      </c>
      <c r="E154" s="11">
        <v>44986</v>
      </c>
      <c r="F154" s="9">
        <v>99</v>
      </c>
      <c r="G154" s="9">
        <v>4.7</v>
      </c>
      <c r="H154" s="9">
        <f>IF(MONTH(Call_Table_Data[[#This Row],[Date of Call]])&lt;=3,YEAR(Call_Table_Data[[#This Row],[Date of Call]]),YEAR(Call_Table_Data[[#This Row],[Date of Call]])+1)</f>
        <v>2023</v>
      </c>
      <c r="I154" s="9" t="str">
        <f>TEXT(Call_Table_Data[[#This Row],[Date of Call]],"DDDD")</f>
        <v>Wednesday</v>
      </c>
      <c r="J154" s="9" t="str" cm="1">
        <f t="array" ref="J154">_xlfn.IFS(Call_Table_Data[[#This Row],[Duration]]&lt;=10,"Under 10 Mins",Call_Table_Data[[#This Row],[Duration]]&lt;=30,"10 to 30 Mins",Call_Table_Data[[#This Row],[Duration]]&lt;=60,"30 to 60 Mins",Call_Table_Data[[#This Row],[Duration]]&lt;=120,"1 to 2 Hours",TRUE,"More Than 2 Hours")</f>
        <v>30 to 60 Mins</v>
      </c>
      <c r="K154" s="9">
        <f>ROUND(Call_Table_Data[[#This Row],[Satisfaction Rating]],0)</f>
        <v>5</v>
      </c>
    </row>
    <row r="155" spans="1:11" x14ac:dyDescent="0.3">
      <c r="A155" s="9" t="s">
        <v>192</v>
      </c>
      <c r="B155" s="9" t="s">
        <v>45</v>
      </c>
      <c r="C155" s="9">
        <v>114</v>
      </c>
      <c r="D155" s="10" t="s">
        <v>40</v>
      </c>
      <c r="E155" s="11">
        <v>44987</v>
      </c>
      <c r="F155" s="9">
        <v>23</v>
      </c>
      <c r="G155" s="9">
        <v>4.8</v>
      </c>
      <c r="H155" s="9">
        <f>IF(MONTH(Call_Table_Data[[#This Row],[Date of Call]])&lt;=3,YEAR(Call_Table_Data[[#This Row],[Date of Call]]),YEAR(Call_Table_Data[[#This Row],[Date of Call]])+1)</f>
        <v>2023</v>
      </c>
      <c r="I155" s="9" t="str">
        <f>TEXT(Call_Table_Data[[#This Row],[Date of Call]],"DDDD")</f>
        <v>Thursday</v>
      </c>
      <c r="J155" s="9" t="str" cm="1">
        <f t="array" ref="J155">_xlfn.IFS(Call_Table_Data[[#This Row],[Duration]]&lt;=10,"Under 10 Mins",Call_Table_Data[[#This Row],[Duration]]&lt;=30,"10 to 30 Mins",Call_Table_Data[[#This Row],[Duration]]&lt;=60,"30 to 60 Mins",Call_Table_Data[[#This Row],[Duration]]&lt;=120,"1 to 2 Hours",TRUE,"More Than 2 Hours")</f>
        <v>1 to 2 Hours</v>
      </c>
      <c r="K155" s="9">
        <f>ROUND(Call_Table_Data[[#This Row],[Satisfaction Rating]],0)</f>
        <v>5</v>
      </c>
    </row>
    <row r="156" spans="1:11" x14ac:dyDescent="0.3">
      <c r="A156" s="9" t="s">
        <v>193</v>
      </c>
      <c r="B156" s="9" t="s">
        <v>30</v>
      </c>
      <c r="C156" s="9">
        <v>103</v>
      </c>
      <c r="D156" s="10" t="s">
        <v>46</v>
      </c>
      <c r="E156" s="11">
        <v>44987</v>
      </c>
      <c r="F156" s="9">
        <v>75</v>
      </c>
      <c r="G156" s="9">
        <v>2.7</v>
      </c>
      <c r="H156" s="9">
        <f>IF(MONTH(Call_Table_Data[[#This Row],[Date of Call]])&lt;=3,YEAR(Call_Table_Data[[#This Row],[Date of Call]]),YEAR(Call_Table_Data[[#This Row],[Date of Call]])+1)</f>
        <v>2023</v>
      </c>
      <c r="I156" s="9" t="str">
        <f>TEXT(Call_Table_Data[[#This Row],[Date of Call]],"DDDD")</f>
        <v>Thursday</v>
      </c>
      <c r="J156" s="9" t="str" cm="1">
        <f t="array" ref="J156">_xlfn.IFS(Call_Table_Data[[#This Row],[Duration]]&lt;=10,"Under 10 Mins",Call_Table_Data[[#This Row],[Duration]]&lt;=30,"10 to 30 Mins",Call_Table_Data[[#This Row],[Duration]]&lt;=60,"30 to 60 Mins",Call_Table_Data[[#This Row],[Duration]]&lt;=120,"1 to 2 Hours",TRUE,"More Than 2 Hours")</f>
        <v>1 to 2 Hours</v>
      </c>
      <c r="K156" s="9">
        <f>ROUND(Call_Table_Data[[#This Row],[Satisfaction Rating]],0)</f>
        <v>3</v>
      </c>
    </row>
    <row r="157" spans="1:11" x14ac:dyDescent="0.3">
      <c r="A157" s="9" t="s">
        <v>194</v>
      </c>
      <c r="B157" s="9" t="s">
        <v>23</v>
      </c>
      <c r="C157" s="9">
        <v>98</v>
      </c>
      <c r="D157" s="10" t="s">
        <v>33</v>
      </c>
      <c r="E157" s="11">
        <v>44987</v>
      </c>
      <c r="F157" s="9">
        <v>100</v>
      </c>
      <c r="G157" s="9">
        <v>3.8</v>
      </c>
      <c r="H157" s="9">
        <f>IF(MONTH(Call_Table_Data[[#This Row],[Date of Call]])&lt;=3,YEAR(Call_Table_Data[[#This Row],[Date of Call]]),YEAR(Call_Table_Data[[#This Row],[Date of Call]])+1)</f>
        <v>2023</v>
      </c>
      <c r="I157" s="9" t="str">
        <f>TEXT(Call_Table_Data[[#This Row],[Date of Call]],"DDDD")</f>
        <v>Thursday</v>
      </c>
      <c r="J157" s="9" t="str" cm="1">
        <f t="array" ref="J157">_xlfn.IFS(Call_Table_Data[[#This Row],[Duration]]&lt;=10,"Under 10 Mins",Call_Table_Data[[#This Row],[Duration]]&lt;=30,"10 to 30 Mins",Call_Table_Data[[#This Row],[Duration]]&lt;=60,"30 to 60 Mins",Call_Table_Data[[#This Row],[Duration]]&lt;=120,"1 to 2 Hours",TRUE,"More Than 2 Hours")</f>
        <v>1 to 2 Hours</v>
      </c>
      <c r="K157" s="9">
        <f>ROUND(Call_Table_Data[[#This Row],[Satisfaction Rating]],0)</f>
        <v>4</v>
      </c>
    </row>
    <row r="158" spans="1:11" x14ac:dyDescent="0.3">
      <c r="A158" s="9" t="s">
        <v>195</v>
      </c>
      <c r="B158" s="9" t="s">
        <v>35</v>
      </c>
      <c r="C158" s="9">
        <v>106</v>
      </c>
      <c r="D158" s="10" t="s">
        <v>27</v>
      </c>
      <c r="E158" s="11">
        <v>44987</v>
      </c>
      <c r="F158" s="9">
        <v>108</v>
      </c>
      <c r="G158" s="9">
        <v>4.3</v>
      </c>
      <c r="H158" s="9">
        <f>IF(MONTH(Call_Table_Data[[#This Row],[Date of Call]])&lt;=3,YEAR(Call_Table_Data[[#This Row],[Date of Call]]),YEAR(Call_Table_Data[[#This Row],[Date of Call]])+1)</f>
        <v>2023</v>
      </c>
      <c r="I158" s="9" t="str">
        <f>TEXT(Call_Table_Data[[#This Row],[Date of Call]],"DDDD")</f>
        <v>Thursday</v>
      </c>
      <c r="J158" s="9" t="str" cm="1">
        <f t="array" ref="J158">_xlfn.IFS(Call_Table_Data[[#This Row],[Duration]]&lt;=10,"Under 10 Mins",Call_Table_Data[[#This Row],[Duration]]&lt;=30,"10 to 30 Mins",Call_Table_Data[[#This Row],[Duration]]&lt;=60,"30 to 60 Mins",Call_Table_Data[[#This Row],[Duration]]&lt;=120,"1 to 2 Hours",TRUE,"More Than 2 Hours")</f>
        <v>1 to 2 Hours</v>
      </c>
      <c r="K158" s="9">
        <f>ROUND(Call_Table_Data[[#This Row],[Satisfaction Rating]],0)</f>
        <v>4</v>
      </c>
    </row>
    <row r="159" spans="1:11" x14ac:dyDescent="0.3">
      <c r="A159" s="9" t="s">
        <v>196</v>
      </c>
      <c r="B159" s="9" t="s">
        <v>22</v>
      </c>
      <c r="C159" s="9">
        <v>96</v>
      </c>
      <c r="D159" s="10" t="s">
        <v>27</v>
      </c>
      <c r="E159" s="11">
        <v>44987</v>
      </c>
      <c r="F159" s="9">
        <v>108</v>
      </c>
      <c r="G159" s="9">
        <v>5</v>
      </c>
      <c r="H159" s="9">
        <f>IF(MONTH(Call_Table_Data[[#This Row],[Date of Call]])&lt;=3,YEAR(Call_Table_Data[[#This Row],[Date of Call]]),YEAR(Call_Table_Data[[#This Row],[Date of Call]])+1)</f>
        <v>2023</v>
      </c>
      <c r="I159" s="9" t="str">
        <f>TEXT(Call_Table_Data[[#This Row],[Date of Call]],"DDDD")</f>
        <v>Thursday</v>
      </c>
      <c r="J159" s="9" t="str" cm="1">
        <f t="array" ref="J159">_xlfn.IFS(Call_Table_Data[[#This Row],[Duration]]&lt;=10,"Under 10 Mins",Call_Table_Data[[#This Row],[Duration]]&lt;=30,"10 to 30 Mins",Call_Table_Data[[#This Row],[Duration]]&lt;=60,"30 to 60 Mins",Call_Table_Data[[#This Row],[Duration]]&lt;=120,"1 to 2 Hours",TRUE,"More Than 2 Hours")</f>
        <v>1 to 2 Hours</v>
      </c>
      <c r="K159" s="9">
        <f>ROUND(Call_Table_Data[[#This Row],[Satisfaction Rating]],0)</f>
        <v>5</v>
      </c>
    </row>
    <row r="160" spans="1:11" x14ac:dyDescent="0.3">
      <c r="A160" s="9" t="s">
        <v>197</v>
      </c>
      <c r="B160" s="9" t="s">
        <v>30</v>
      </c>
      <c r="C160" s="9">
        <v>70</v>
      </c>
      <c r="D160" s="10" t="s">
        <v>27</v>
      </c>
      <c r="E160" s="11">
        <v>44987</v>
      </c>
      <c r="F160" s="9">
        <v>28</v>
      </c>
      <c r="G160" s="9">
        <v>4.8</v>
      </c>
      <c r="H160" s="9">
        <f>IF(MONTH(Call_Table_Data[[#This Row],[Date of Call]])&lt;=3,YEAR(Call_Table_Data[[#This Row],[Date of Call]]),YEAR(Call_Table_Data[[#This Row],[Date of Call]])+1)</f>
        <v>2023</v>
      </c>
      <c r="I160" s="9" t="str">
        <f>TEXT(Call_Table_Data[[#This Row],[Date of Call]],"DDDD")</f>
        <v>Thursday</v>
      </c>
      <c r="J160" s="9" t="str" cm="1">
        <f t="array" ref="J160">_xlfn.IFS(Call_Table_Data[[#This Row],[Duration]]&lt;=10,"Under 10 Mins",Call_Table_Data[[#This Row],[Duration]]&lt;=30,"10 to 30 Mins",Call_Table_Data[[#This Row],[Duration]]&lt;=60,"30 to 60 Mins",Call_Table_Data[[#This Row],[Duration]]&lt;=120,"1 to 2 Hours",TRUE,"More Than 2 Hours")</f>
        <v>1 to 2 Hours</v>
      </c>
      <c r="K160" s="9">
        <f>ROUND(Call_Table_Data[[#This Row],[Satisfaction Rating]],0)</f>
        <v>5</v>
      </c>
    </row>
    <row r="161" spans="1:11" x14ac:dyDescent="0.3">
      <c r="A161" s="9" t="s">
        <v>198</v>
      </c>
      <c r="B161" s="9" t="s">
        <v>43</v>
      </c>
      <c r="C161" s="9">
        <v>86</v>
      </c>
      <c r="D161" s="10" t="s">
        <v>17</v>
      </c>
      <c r="E161" s="11">
        <v>44988</v>
      </c>
      <c r="F161" s="9">
        <v>70</v>
      </c>
      <c r="G161" s="9">
        <v>4.9000000000000004</v>
      </c>
      <c r="H161" s="9">
        <f>IF(MONTH(Call_Table_Data[[#This Row],[Date of Call]])&lt;=3,YEAR(Call_Table_Data[[#This Row],[Date of Call]]),YEAR(Call_Table_Data[[#This Row],[Date of Call]])+1)</f>
        <v>2023</v>
      </c>
      <c r="I161" s="9" t="str">
        <f>TEXT(Call_Table_Data[[#This Row],[Date of Call]],"DDDD")</f>
        <v>Friday</v>
      </c>
      <c r="J161" s="9" t="str" cm="1">
        <f t="array" ref="J161">_xlfn.IFS(Call_Table_Data[[#This Row],[Duration]]&lt;=10,"Under 10 Mins",Call_Table_Data[[#This Row],[Duration]]&lt;=30,"10 to 30 Mins",Call_Table_Data[[#This Row],[Duration]]&lt;=60,"30 to 60 Mins",Call_Table_Data[[#This Row],[Duration]]&lt;=120,"1 to 2 Hours",TRUE,"More Than 2 Hours")</f>
        <v>1 to 2 Hours</v>
      </c>
      <c r="K161" s="9">
        <f>ROUND(Call_Table_Data[[#This Row],[Satisfaction Rating]],0)</f>
        <v>5</v>
      </c>
    </row>
    <row r="162" spans="1:11" x14ac:dyDescent="0.3">
      <c r="A162" s="9" t="s">
        <v>199</v>
      </c>
      <c r="B162" s="9" t="s">
        <v>26</v>
      </c>
      <c r="C162" s="9">
        <v>64</v>
      </c>
      <c r="D162" s="10" t="s">
        <v>17</v>
      </c>
      <c r="E162" s="11">
        <v>44988</v>
      </c>
      <c r="F162" s="9">
        <v>172</v>
      </c>
      <c r="G162" s="9">
        <v>4.0999999999999996</v>
      </c>
      <c r="H162" s="9">
        <f>IF(MONTH(Call_Table_Data[[#This Row],[Date of Call]])&lt;=3,YEAR(Call_Table_Data[[#This Row],[Date of Call]]),YEAR(Call_Table_Data[[#This Row],[Date of Call]])+1)</f>
        <v>2023</v>
      </c>
      <c r="I162" s="9" t="str">
        <f>TEXT(Call_Table_Data[[#This Row],[Date of Call]],"DDDD")</f>
        <v>Friday</v>
      </c>
      <c r="J162" s="9" t="str" cm="1">
        <f t="array" ref="J162">_xlfn.IFS(Call_Table_Data[[#This Row],[Duration]]&lt;=10,"Under 10 Mins",Call_Table_Data[[#This Row],[Duration]]&lt;=30,"10 to 30 Mins",Call_Table_Data[[#This Row],[Duration]]&lt;=60,"30 to 60 Mins",Call_Table_Data[[#This Row],[Duration]]&lt;=120,"1 to 2 Hours",TRUE,"More Than 2 Hours")</f>
        <v>1 to 2 Hours</v>
      </c>
      <c r="K162" s="9">
        <f>ROUND(Call_Table_Data[[#This Row],[Satisfaction Rating]],0)</f>
        <v>4</v>
      </c>
    </row>
    <row r="163" spans="1:11" x14ac:dyDescent="0.3">
      <c r="A163" s="9" t="s">
        <v>200</v>
      </c>
      <c r="B163" s="9" t="s">
        <v>22</v>
      </c>
      <c r="C163" s="9">
        <v>113</v>
      </c>
      <c r="D163" s="10" t="s">
        <v>33</v>
      </c>
      <c r="E163" s="11">
        <v>44988</v>
      </c>
      <c r="F163" s="9">
        <v>123</v>
      </c>
      <c r="G163" s="9">
        <v>4.4000000000000004</v>
      </c>
      <c r="H163" s="9">
        <f>IF(MONTH(Call_Table_Data[[#This Row],[Date of Call]])&lt;=3,YEAR(Call_Table_Data[[#This Row],[Date of Call]]),YEAR(Call_Table_Data[[#This Row],[Date of Call]])+1)</f>
        <v>2023</v>
      </c>
      <c r="I163" s="9" t="str">
        <f>TEXT(Call_Table_Data[[#This Row],[Date of Call]],"DDDD")</f>
        <v>Friday</v>
      </c>
      <c r="J163" s="9" t="str" cm="1">
        <f t="array" ref="J163">_xlfn.IFS(Call_Table_Data[[#This Row],[Duration]]&lt;=10,"Under 10 Mins",Call_Table_Data[[#This Row],[Duration]]&lt;=30,"10 to 30 Mins",Call_Table_Data[[#This Row],[Duration]]&lt;=60,"30 to 60 Mins",Call_Table_Data[[#This Row],[Duration]]&lt;=120,"1 to 2 Hours",TRUE,"More Than 2 Hours")</f>
        <v>1 to 2 Hours</v>
      </c>
      <c r="K163" s="9">
        <f>ROUND(Call_Table_Data[[#This Row],[Satisfaction Rating]],0)</f>
        <v>4</v>
      </c>
    </row>
    <row r="164" spans="1:11" x14ac:dyDescent="0.3">
      <c r="A164" s="9" t="s">
        <v>201</v>
      </c>
      <c r="B164" s="9" t="s">
        <v>22</v>
      </c>
      <c r="C164" s="9">
        <v>21</v>
      </c>
      <c r="D164" s="10" t="s">
        <v>27</v>
      </c>
      <c r="E164" s="11">
        <v>44988</v>
      </c>
      <c r="F164" s="9">
        <v>93</v>
      </c>
      <c r="G164" s="9">
        <v>3.4</v>
      </c>
      <c r="H164" s="9">
        <f>IF(MONTH(Call_Table_Data[[#This Row],[Date of Call]])&lt;=3,YEAR(Call_Table_Data[[#This Row],[Date of Call]]),YEAR(Call_Table_Data[[#This Row],[Date of Call]])+1)</f>
        <v>2023</v>
      </c>
      <c r="I164" s="9" t="str">
        <f>TEXT(Call_Table_Data[[#This Row],[Date of Call]],"DDDD")</f>
        <v>Friday</v>
      </c>
      <c r="J164" s="9" t="str" cm="1">
        <f t="array" ref="J164">_xlfn.IFS(Call_Table_Data[[#This Row],[Duration]]&lt;=10,"Under 10 Mins",Call_Table_Data[[#This Row],[Duration]]&lt;=30,"10 to 30 Mins",Call_Table_Data[[#This Row],[Duration]]&lt;=60,"30 to 60 Mins",Call_Table_Data[[#This Row],[Duration]]&lt;=120,"1 to 2 Hours",TRUE,"More Than 2 Hours")</f>
        <v>10 to 30 Mins</v>
      </c>
      <c r="K164" s="9">
        <f>ROUND(Call_Table_Data[[#This Row],[Satisfaction Rating]],0)</f>
        <v>3</v>
      </c>
    </row>
    <row r="165" spans="1:11" x14ac:dyDescent="0.3">
      <c r="A165" s="9" t="s">
        <v>202</v>
      </c>
      <c r="B165" s="9" t="s">
        <v>50</v>
      </c>
      <c r="C165" s="9">
        <v>107</v>
      </c>
      <c r="D165" s="10" t="s">
        <v>17</v>
      </c>
      <c r="E165" s="11">
        <v>44988</v>
      </c>
      <c r="F165" s="9">
        <v>66</v>
      </c>
      <c r="G165" s="9">
        <v>4</v>
      </c>
      <c r="H165" s="9">
        <f>IF(MONTH(Call_Table_Data[[#This Row],[Date of Call]])&lt;=3,YEAR(Call_Table_Data[[#This Row],[Date of Call]]),YEAR(Call_Table_Data[[#This Row],[Date of Call]])+1)</f>
        <v>2023</v>
      </c>
      <c r="I165" s="9" t="str">
        <f>TEXT(Call_Table_Data[[#This Row],[Date of Call]],"DDDD")</f>
        <v>Friday</v>
      </c>
      <c r="J165" s="9" t="str" cm="1">
        <f t="array" ref="J165">_xlfn.IFS(Call_Table_Data[[#This Row],[Duration]]&lt;=10,"Under 10 Mins",Call_Table_Data[[#This Row],[Duration]]&lt;=30,"10 to 30 Mins",Call_Table_Data[[#This Row],[Duration]]&lt;=60,"30 to 60 Mins",Call_Table_Data[[#This Row],[Duration]]&lt;=120,"1 to 2 Hours",TRUE,"More Than 2 Hours")</f>
        <v>1 to 2 Hours</v>
      </c>
      <c r="K165" s="9">
        <f>ROUND(Call_Table_Data[[#This Row],[Satisfaction Rating]],0)</f>
        <v>4</v>
      </c>
    </row>
    <row r="166" spans="1:11" x14ac:dyDescent="0.3">
      <c r="A166" s="9" t="s">
        <v>203</v>
      </c>
      <c r="B166" s="9" t="s">
        <v>50</v>
      </c>
      <c r="C166" s="9">
        <v>131</v>
      </c>
      <c r="D166" s="10" t="s">
        <v>27</v>
      </c>
      <c r="E166" s="11">
        <v>44988</v>
      </c>
      <c r="F166" s="9">
        <v>39</v>
      </c>
      <c r="G166" s="9">
        <v>2.4</v>
      </c>
      <c r="H166" s="9">
        <f>IF(MONTH(Call_Table_Data[[#This Row],[Date of Call]])&lt;=3,YEAR(Call_Table_Data[[#This Row],[Date of Call]]),YEAR(Call_Table_Data[[#This Row],[Date of Call]])+1)</f>
        <v>2023</v>
      </c>
      <c r="I166" s="9" t="str">
        <f>TEXT(Call_Table_Data[[#This Row],[Date of Call]],"DDDD")</f>
        <v>Friday</v>
      </c>
      <c r="J166" s="9" t="str" cm="1">
        <f t="array" ref="J166">_xlfn.IFS(Call_Table_Data[[#This Row],[Duration]]&lt;=10,"Under 10 Mins",Call_Table_Data[[#This Row],[Duration]]&lt;=30,"10 to 30 Mins",Call_Table_Data[[#This Row],[Duration]]&lt;=60,"30 to 60 Mins",Call_Table_Data[[#This Row],[Duration]]&lt;=120,"1 to 2 Hours",TRUE,"More Than 2 Hours")</f>
        <v>More Than 2 Hours</v>
      </c>
      <c r="K166" s="9">
        <f>ROUND(Call_Table_Data[[#This Row],[Satisfaction Rating]],0)</f>
        <v>2</v>
      </c>
    </row>
    <row r="167" spans="1:11" x14ac:dyDescent="0.3">
      <c r="A167" s="9" t="s">
        <v>204</v>
      </c>
      <c r="B167" s="9" t="s">
        <v>16</v>
      </c>
      <c r="C167" s="9">
        <v>11</v>
      </c>
      <c r="D167" s="10" t="s">
        <v>46</v>
      </c>
      <c r="E167" s="11">
        <v>44988</v>
      </c>
      <c r="F167" s="9">
        <v>25</v>
      </c>
      <c r="G167" s="9">
        <v>2.1</v>
      </c>
      <c r="H167" s="9">
        <f>IF(MONTH(Call_Table_Data[[#This Row],[Date of Call]])&lt;=3,YEAR(Call_Table_Data[[#This Row],[Date of Call]]),YEAR(Call_Table_Data[[#This Row],[Date of Call]])+1)</f>
        <v>2023</v>
      </c>
      <c r="I167" s="9" t="str">
        <f>TEXT(Call_Table_Data[[#This Row],[Date of Call]],"DDDD")</f>
        <v>Friday</v>
      </c>
      <c r="J167" s="9" t="str" cm="1">
        <f t="array" ref="J167">_xlfn.IFS(Call_Table_Data[[#This Row],[Duration]]&lt;=10,"Under 10 Mins",Call_Table_Data[[#This Row],[Duration]]&lt;=30,"10 to 30 Mins",Call_Table_Data[[#This Row],[Duration]]&lt;=60,"30 to 60 Mins",Call_Table_Data[[#This Row],[Duration]]&lt;=120,"1 to 2 Hours",TRUE,"More Than 2 Hours")</f>
        <v>10 to 30 Mins</v>
      </c>
      <c r="K167" s="9">
        <f>ROUND(Call_Table_Data[[#This Row],[Satisfaction Rating]],0)</f>
        <v>2</v>
      </c>
    </row>
    <row r="168" spans="1:11" x14ac:dyDescent="0.3">
      <c r="A168" s="9" t="s">
        <v>205</v>
      </c>
      <c r="B168" s="9" t="s">
        <v>18</v>
      </c>
      <c r="C168" s="9">
        <v>86</v>
      </c>
      <c r="D168" s="10" t="s">
        <v>33</v>
      </c>
      <c r="E168" s="11">
        <v>44988</v>
      </c>
      <c r="F168" s="9">
        <v>68</v>
      </c>
      <c r="G168" s="9">
        <v>3</v>
      </c>
      <c r="H168" s="9">
        <f>IF(MONTH(Call_Table_Data[[#This Row],[Date of Call]])&lt;=3,YEAR(Call_Table_Data[[#This Row],[Date of Call]]),YEAR(Call_Table_Data[[#This Row],[Date of Call]])+1)</f>
        <v>2023</v>
      </c>
      <c r="I168" s="9" t="str">
        <f>TEXT(Call_Table_Data[[#This Row],[Date of Call]],"DDDD")</f>
        <v>Friday</v>
      </c>
      <c r="J168" s="9" t="str" cm="1">
        <f t="array" ref="J168">_xlfn.IFS(Call_Table_Data[[#This Row],[Duration]]&lt;=10,"Under 10 Mins",Call_Table_Data[[#This Row],[Duration]]&lt;=30,"10 to 30 Mins",Call_Table_Data[[#This Row],[Duration]]&lt;=60,"30 to 60 Mins",Call_Table_Data[[#This Row],[Duration]]&lt;=120,"1 to 2 Hours",TRUE,"More Than 2 Hours")</f>
        <v>1 to 2 Hours</v>
      </c>
      <c r="K168" s="9">
        <f>ROUND(Call_Table_Data[[#This Row],[Satisfaction Rating]],0)</f>
        <v>3</v>
      </c>
    </row>
    <row r="169" spans="1:11" x14ac:dyDescent="0.3">
      <c r="A169" s="9" t="s">
        <v>206</v>
      </c>
      <c r="B169" s="9" t="s">
        <v>26</v>
      </c>
      <c r="C169" s="9">
        <v>28</v>
      </c>
      <c r="D169" s="10" t="s">
        <v>46</v>
      </c>
      <c r="E169" s="11">
        <v>44988</v>
      </c>
      <c r="F169" s="9">
        <v>84</v>
      </c>
      <c r="G169" s="9">
        <v>3.2</v>
      </c>
      <c r="H169" s="9">
        <f>IF(MONTH(Call_Table_Data[[#This Row],[Date of Call]])&lt;=3,YEAR(Call_Table_Data[[#This Row],[Date of Call]]),YEAR(Call_Table_Data[[#This Row],[Date of Call]])+1)</f>
        <v>2023</v>
      </c>
      <c r="I169" s="9" t="str">
        <f>TEXT(Call_Table_Data[[#This Row],[Date of Call]],"DDDD")</f>
        <v>Friday</v>
      </c>
      <c r="J169" s="9" t="str" cm="1">
        <f t="array" ref="J169">_xlfn.IFS(Call_Table_Data[[#This Row],[Duration]]&lt;=10,"Under 10 Mins",Call_Table_Data[[#This Row],[Duration]]&lt;=30,"10 to 30 Mins",Call_Table_Data[[#This Row],[Duration]]&lt;=60,"30 to 60 Mins",Call_Table_Data[[#This Row],[Duration]]&lt;=120,"1 to 2 Hours",TRUE,"More Than 2 Hours")</f>
        <v>10 to 30 Mins</v>
      </c>
      <c r="K169" s="9">
        <f>ROUND(Call_Table_Data[[#This Row],[Satisfaction Rating]],0)</f>
        <v>3</v>
      </c>
    </row>
    <row r="170" spans="1:11" x14ac:dyDescent="0.3">
      <c r="A170" s="9" t="s">
        <v>207</v>
      </c>
      <c r="B170" s="9" t="s">
        <v>32</v>
      </c>
      <c r="C170" s="9">
        <v>139</v>
      </c>
      <c r="D170" s="10" t="s">
        <v>27</v>
      </c>
      <c r="E170" s="11">
        <v>44989</v>
      </c>
      <c r="F170" s="9">
        <v>88</v>
      </c>
      <c r="G170" s="9">
        <v>3.4</v>
      </c>
      <c r="H170" s="9">
        <f>IF(MONTH(Call_Table_Data[[#This Row],[Date of Call]])&lt;=3,YEAR(Call_Table_Data[[#This Row],[Date of Call]]),YEAR(Call_Table_Data[[#This Row],[Date of Call]])+1)</f>
        <v>2023</v>
      </c>
      <c r="I170" s="9" t="str">
        <f>TEXT(Call_Table_Data[[#This Row],[Date of Call]],"DDDD")</f>
        <v>Saturday</v>
      </c>
      <c r="J170" s="9" t="str" cm="1">
        <f t="array" ref="J170">_xlfn.IFS(Call_Table_Data[[#This Row],[Duration]]&lt;=10,"Under 10 Mins",Call_Table_Data[[#This Row],[Duration]]&lt;=30,"10 to 30 Mins",Call_Table_Data[[#This Row],[Duration]]&lt;=60,"30 to 60 Mins",Call_Table_Data[[#This Row],[Duration]]&lt;=120,"1 to 2 Hours",TRUE,"More Than 2 Hours")</f>
        <v>More Than 2 Hours</v>
      </c>
      <c r="K170" s="9">
        <f>ROUND(Call_Table_Data[[#This Row],[Satisfaction Rating]],0)</f>
        <v>3</v>
      </c>
    </row>
    <row r="171" spans="1:11" x14ac:dyDescent="0.3">
      <c r="A171" s="9" t="s">
        <v>208</v>
      </c>
      <c r="B171" s="9" t="s">
        <v>35</v>
      </c>
      <c r="C171" s="9">
        <v>82</v>
      </c>
      <c r="D171" s="10" t="s">
        <v>33</v>
      </c>
      <c r="E171" s="11">
        <v>44989</v>
      </c>
      <c r="F171" s="9">
        <v>93</v>
      </c>
      <c r="G171" s="9">
        <v>2.7</v>
      </c>
      <c r="H171" s="9">
        <f>IF(MONTH(Call_Table_Data[[#This Row],[Date of Call]])&lt;=3,YEAR(Call_Table_Data[[#This Row],[Date of Call]]),YEAR(Call_Table_Data[[#This Row],[Date of Call]])+1)</f>
        <v>2023</v>
      </c>
      <c r="I171" s="9" t="str">
        <f>TEXT(Call_Table_Data[[#This Row],[Date of Call]],"DDDD")</f>
        <v>Saturday</v>
      </c>
      <c r="J171" s="9" t="str" cm="1">
        <f t="array" ref="J171">_xlfn.IFS(Call_Table_Data[[#This Row],[Duration]]&lt;=10,"Under 10 Mins",Call_Table_Data[[#This Row],[Duration]]&lt;=30,"10 to 30 Mins",Call_Table_Data[[#This Row],[Duration]]&lt;=60,"30 to 60 Mins",Call_Table_Data[[#This Row],[Duration]]&lt;=120,"1 to 2 Hours",TRUE,"More Than 2 Hours")</f>
        <v>1 to 2 Hours</v>
      </c>
      <c r="K171" s="9">
        <f>ROUND(Call_Table_Data[[#This Row],[Satisfaction Rating]],0)</f>
        <v>3</v>
      </c>
    </row>
    <row r="172" spans="1:11" x14ac:dyDescent="0.3">
      <c r="A172" s="9" t="s">
        <v>209</v>
      </c>
      <c r="B172" s="9" t="s">
        <v>22</v>
      </c>
      <c r="C172" s="9">
        <v>101</v>
      </c>
      <c r="D172" s="10" t="s">
        <v>46</v>
      </c>
      <c r="E172" s="11">
        <v>44989</v>
      </c>
      <c r="F172" s="9">
        <v>128</v>
      </c>
      <c r="G172" s="9">
        <v>5</v>
      </c>
      <c r="H172" s="9">
        <f>IF(MONTH(Call_Table_Data[[#This Row],[Date of Call]])&lt;=3,YEAR(Call_Table_Data[[#This Row],[Date of Call]]),YEAR(Call_Table_Data[[#This Row],[Date of Call]])+1)</f>
        <v>2023</v>
      </c>
      <c r="I172" s="9" t="str">
        <f>TEXT(Call_Table_Data[[#This Row],[Date of Call]],"DDDD")</f>
        <v>Saturday</v>
      </c>
      <c r="J172" s="9" t="str" cm="1">
        <f t="array" ref="J172">_xlfn.IFS(Call_Table_Data[[#This Row],[Duration]]&lt;=10,"Under 10 Mins",Call_Table_Data[[#This Row],[Duration]]&lt;=30,"10 to 30 Mins",Call_Table_Data[[#This Row],[Duration]]&lt;=60,"30 to 60 Mins",Call_Table_Data[[#This Row],[Duration]]&lt;=120,"1 to 2 Hours",TRUE,"More Than 2 Hours")</f>
        <v>1 to 2 Hours</v>
      </c>
      <c r="K172" s="9">
        <f>ROUND(Call_Table_Data[[#This Row],[Satisfaction Rating]],0)</f>
        <v>5</v>
      </c>
    </row>
    <row r="173" spans="1:11" x14ac:dyDescent="0.3">
      <c r="A173" s="9" t="s">
        <v>210</v>
      </c>
      <c r="B173" s="9" t="s">
        <v>26</v>
      </c>
      <c r="C173" s="9">
        <v>75</v>
      </c>
      <c r="D173" s="10" t="s">
        <v>40</v>
      </c>
      <c r="E173" s="11">
        <v>44989</v>
      </c>
      <c r="F173" s="9">
        <v>40</v>
      </c>
      <c r="G173" s="9">
        <v>3.4</v>
      </c>
      <c r="H173" s="9">
        <f>IF(MONTH(Call_Table_Data[[#This Row],[Date of Call]])&lt;=3,YEAR(Call_Table_Data[[#This Row],[Date of Call]]),YEAR(Call_Table_Data[[#This Row],[Date of Call]])+1)</f>
        <v>2023</v>
      </c>
      <c r="I173" s="9" t="str">
        <f>TEXT(Call_Table_Data[[#This Row],[Date of Call]],"DDDD")</f>
        <v>Saturday</v>
      </c>
      <c r="J173" s="9" t="str" cm="1">
        <f t="array" ref="J173">_xlfn.IFS(Call_Table_Data[[#This Row],[Duration]]&lt;=10,"Under 10 Mins",Call_Table_Data[[#This Row],[Duration]]&lt;=30,"10 to 30 Mins",Call_Table_Data[[#This Row],[Duration]]&lt;=60,"30 to 60 Mins",Call_Table_Data[[#This Row],[Duration]]&lt;=120,"1 to 2 Hours",TRUE,"More Than 2 Hours")</f>
        <v>1 to 2 Hours</v>
      </c>
      <c r="K173" s="9">
        <f>ROUND(Call_Table_Data[[#This Row],[Satisfaction Rating]],0)</f>
        <v>3</v>
      </c>
    </row>
    <row r="174" spans="1:11" x14ac:dyDescent="0.3">
      <c r="A174" s="9" t="s">
        <v>211</v>
      </c>
      <c r="B174" s="9" t="s">
        <v>45</v>
      </c>
      <c r="C174" s="9">
        <v>40</v>
      </c>
      <c r="D174" s="10" t="s">
        <v>46</v>
      </c>
      <c r="E174" s="11">
        <v>44990</v>
      </c>
      <c r="F174" s="9">
        <v>92</v>
      </c>
      <c r="G174" s="9">
        <v>4.7</v>
      </c>
      <c r="H174" s="9">
        <f>IF(MONTH(Call_Table_Data[[#This Row],[Date of Call]])&lt;=3,YEAR(Call_Table_Data[[#This Row],[Date of Call]]),YEAR(Call_Table_Data[[#This Row],[Date of Call]])+1)</f>
        <v>2023</v>
      </c>
      <c r="I174" s="9" t="str">
        <f>TEXT(Call_Table_Data[[#This Row],[Date of Call]],"DDDD")</f>
        <v>Sunday</v>
      </c>
      <c r="J174" s="9" t="str" cm="1">
        <f t="array" ref="J174">_xlfn.IFS(Call_Table_Data[[#This Row],[Duration]]&lt;=10,"Under 10 Mins",Call_Table_Data[[#This Row],[Duration]]&lt;=30,"10 to 30 Mins",Call_Table_Data[[#This Row],[Duration]]&lt;=60,"30 to 60 Mins",Call_Table_Data[[#This Row],[Duration]]&lt;=120,"1 to 2 Hours",TRUE,"More Than 2 Hours")</f>
        <v>30 to 60 Mins</v>
      </c>
      <c r="K174" s="9">
        <f>ROUND(Call_Table_Data[[#This Row],[Satisfaction Rating]],0)</f>
        <v>5</v>
      </c>
    </row>
    <row r="175" spans="1:11" x14ac:dyDescent="0.3">
      <c r="A175" s="9" t="s">
        <v>212</v>
      </c>
      <c r="B175" s="9" t="s">
        <v>23</v>
      </c>
      <c r="C175" s="9">
        <v>86</v>
      </c>
      <c r="D175" s="10" t="s">
        <v>27</v>
      </c>
      <c r="E175" s="11">
        <v>44990</v>
      </c>
      <c r="F175" s="9">
        <v>27</v>
      </c>
      <c r="G175" s="9">
        <v>4.5</v>
      </c>
      <c r="H175" s="9">
        <f>IF(MONTH(Call_Table_Data[[#This Row],[Date of Call]])&lt;=3,YEAR(Call_Table_Data[[#This Row],[Date of Call]]),YEAR(Call_Table_Data[[#This Row],[Date of Call]])+1)</f>
        <v>2023</v>
      </c>
      <c r="I175" s="9" t="str">
        <f>TEXT(Call_Table_Data[[#This Row],[Date of Call]],"DDDD")</f>
        <v>Sunday</v>
      </c>
      <c r="J175" s="9" t="str" cm="1">
        <f t="array" ref="J175">_xlfn.IFS(Call_Table_Data[[#This Row],[Duration]]&lt;=10,"Under 10 Mins",Call_Table_Data[[#This Row],[Duration]]&lt;=30,"10 to 30 Mins",Call_Table_Data[[#This Row],[Duration]]&lt;=60,"30 to 60 Mins",Call_Table_Data[[#This Row],[Duration]]&lt;=120,"1 to 2 Hours",TRUE,"More Than 2 Hours")</f>
        <v>1 to 2 Hours</v>
      </c>
      <c r="K175" s="9">
        <f>ROUND(Call_Table_Data[[#This Row],[Satisfaction Rating]],0)</f>
        <v>5</v>
      </c>
    </row>
    <row r="176" spans="1:11" x14ac:dyDescent="0.3">
      <c r="A176" s="9" t="s">
        <v>213</v>
      </c>
      <c r="B176" s="9" t="s">
        <v>37</v>
      </c>
      <c r="C176" s="9">
        <v>131</v>
      </c>
      <c r="D176" s="10" t="s">
        <v>17</v>
      </c>
      <c r="E176" s="11">
        <v>44990</v>
      </c>
      <c r="F176" s="9">
        <v>140</v>
      </c>
      <c r="G176" s="9">
        <v>4.0999999999999996</v>
      </c>
      <c r="H176" s="9">
        <f>IF(MONTH(Call_Table_Data[[#This Row],[Date of Call]])&lt;=3,YEAR(Call_Table_Data[[#This Row],[Date of Call]]),YEAR(Call_Table_Data[[#This Row],[Date of Call]])+1)</f>
        <v>2023</v>
      </c>
      <c r="I176" s="9" t="str">
        <f>TEXT(Call_Table_Data[[#This Row],[Date of Call]],"DDDD")</f>
        <v>Sunday</v>
      </c>
      <c r="J176" s="9" t="str" cm="1">
        <f t="array" ref="J176">_xlfn.IFS(Call_Table_Data[[#This Row],[Duration]]&lt;=10,"Under 10 Mins",Call_Table_Data[[#This Row],[Duration]]&lt;=30,"10 to 30 Mins",Call_Table_Data[[#This Row],[Duration]]&lt;=60,"30 to 60 Mins",Call_Table_Data[[#This Row],[Duration]]&lt;=120,"1 to 2 Hours",TRUE,"More Than 2 Hours")</f>
        <v>More Than 2 Hours</v>
      </c>
      <c r="K176" s="9">
        <f>ROUND(Call_Table_Data[[#This Row],[Satisfaction Rating]],0)</f>
        <v>4</v>
      </c>
    </row>
    <row r="177" spans="1:11" x14ac:dyDescent="0.3">
      <c r="A177" s="9" t="s">
        <v>214</v>
      </c>
      <c r="B177" s="9" t="s">
        <v>50</v>
      </c>
      <c r="C177" s="9">
        <v>67</v>
      </c>
      <c r="D177" s="10" t="s">
        <v>33</v>
      </c>
      <c r="E177" s="11">
        <v>44990</v>
      </c>
      <c r="F177" s="9">
        <v>40</v>
      </c>
      <c r="G177" s="9">
        <v>5</v>
      </c>
      <c r="H177" s="9">
        <f>IF(MONTH(Call_Table_Data[[#This Row],[Date of Call]])&lt;=3,YEAR(Call_Table_Data[[#This Row],[Date of Call]]),YEAR(Call_Table_Data[[#This Row],[Date of Call]])+1)</f>
        <v>2023</v>
      </c>
      <c r="I177" s="9" t="str">
        <f>TEXT(Call_Table_Data[[#This Row],[Date of Call]],"DDDD")</f>
        <v>Sunday</v>
      </c>
      <c r="J177" s="9" t="str" cm="1">
        <f t="array" ref="J177">_xlfn.IFS(Call_Table_Data[[#This Row],[Duration]]&lt;=10,"Under 10 Mins",Call_Table_Data[[#This Row],[Duration]]&lt;=30,"10 to 30 Mins",Call_Table_Data[[#This Row],[Duration]]&lt;=60,"30 to 60 Mins",Call_Table_Data[[#This Row],[Duration]]&lt;=120,"1 to 2 Hours",TRUE,"More Than 2 Hours")</f>
        <v>1 to 2 Hours</v>
      </c>
      <c r="K177" s="9">
        <f>ROUND(Call_Table_Data[[#This Row],[Satisfaction Rating]],0)</f>
        <v>5</v>
      </c>
    </row>
    <row r="178" spans="1:11" x14ac:dyDescent="0.3">
      <c r="A178" s="9" t="s">
        <v>215</v>
      </c>
      <c r="B178" s="9" t="s">
        <v>41</v>
      </c>
      <c r="C178" s="9">
        <v>71</v>
      </c>
      <c r="D178" s="10" t="s">
        <v>46</v>
      </c>
      <c r="E178" s="11">
        <v>44990</v>
      </c>
      <c r="F178" s="9">
        <v>102</v>
      </c>
      <c r="G178" s="9">
        <v>4.7</v>
      </c>
      <c r="H178" s="9">
        <f>IF(MONTH(Call_Table_Data[[#This Row],[Date of Call]])&lt;=3,YEAR(Call_Table_Data[[#This Row],[Date of Call]]),YEAR(Call_Table_Data[[#This Row],[Date of Call]])+1)</f>
        <v>2023</v>
      </c>
      <c r="I178" s="9" t="str">
        <f>TEXT(Call_Table_Data[[#This Row],[Date of Call]],"DDDD")</f>
        <v>Sunday</v>
      </c>
      <c r="J178" s="9" t="str" cm="1">
        <f t="array" ref="J178">_xlfn.IFS(Call_Table_Data[[#This Row],[Duration]]&lt;=10,"Under 10 Mins",Call_Table_Data[[#This Row],[Duration]]&lt;=30,"10 to 30 Mins",Call_Table_Data[[#This Row],[Duration]]&lt;=60,"30 to 60 Mins",Call_Table_Data[[#This Row],[Duration]]&lt;=120,"1 to 2 Hours",TRUE,"More Than 2 Hours")</f>
        <v>1 to 2 Hours</v>
      </c>
      <c r="K178" s="9">
        <f>ROUND(Call_Table_Data[[#This Row],[Satisfaction Rating]],0)</f>
        <v>5</v>
      </c>
    </row>
    <row r="179" spans="1:11" x14ac:dyDescent="0.3">
      <c r="A179" s="9" t="s">
        <v>216</v>
      </c>
      <c r="B179" s="9" t="s">
        <v>37</v>
      </c>
      <c r="C179" s="9">
        <v>113</v>
      </c>
      <c r="D179" s="10" t="s">
        <v>17</v>
      </c>
      <c r="E179" s="11">
        <v>44990</v>
      </c>
      <c r="F179" s="9">
        <v>42</v>
      </c>
      <c r="G179" s="9">
        <v>4.2</v>
      </c>
      <c r="H179" s="9">
        <f>IF(MONTH(Call_Table_Data[[#This Row],[Date of Call]])&lt;=3,YEAR(Call_Table_Data[[#This Row],[Date of Call]]),YEAR(Call_Table_Data[[#This Row],[Date of Call]])+1)</f>
        <v>2023</v>
      </c>
      <c r="I179" s="9" t="str">
        <f>TEXT(Call_Table_Data[[#This Row],[Date of Call]],"DDDD")</f>
        <v>Sunday</v>
      </c>
      <c r="J179" s="9" t="str" cm="1">
        <f t="array" ref="J179">_xlfn.IFS(Call_Table_Data[[#This Row],[Duration]]&lt;=10,"Under 10 Mins",Call_Table_Data[[#This Row],[Duration]]&lt;=30,"10 to 30 Mins",Call_Table_Data[[#This Row],[Duration]]&lt;=60,"30 to 60 Mins",Call_Table_Data[[#This Row],[Duration]]&lt;=120,"1 to 2 Hours",TRUE,"More Than 2 Hours")</f>
        <v>1 to 2 Hours</v>
      </c>
      <c r="K179" s="9">
        <f>ROUND(Call_Table_Data[[#This Row],[Satisfaction Rating]],0)</f>
        <v>4</v>
      </c>
    </row>
    <row r="180" spans="1:11" x14ac:dyDescent="0.3">
      <c r="A180" s="9" t="s">
        <v>217</v>
      </c>
      <c r="B180" s="9" t="s">
        <v>35</v>
      </c>
      <c r="C180" s="9">
        <v>53</v>
      </c>
      <c r="D180" s="10" t="s">
        <v>27</v>
      </c>
      <c r="E180" s="11">
        <v>44991</v>
      </c>
      <c r="F180" s="9">
        <v>210</v>
      </c>
      <c r="G180" s="9">
        <v>3.9</v>
      </c>
      <c r="H180" s="9">
        <f>IF(MONTH(Call_Table_Data[[#This Row],[Date of Call]])&lt;=3,YEAR(Call_Table_Data[[#This Row],[Date of Call]]),YEAR(Call_Table_Data[[#This Row],[Date of Call]])+1)</f>
        <v>2023</v>
      </c>
      <c r="I180" s="9" t="str">
        <f>TEXT(Call_Table_Data[[#This Row],[Date of Call]],"DDDD")</f>
        <v>Monday</v>
      </c>
      <c r="J180" s="9" t="str" cm="1">
        <f t="array" ref="J180">_xlfn.IFS(Call_Table_Data[[#This Row],[Duration]]&lt;=10,"Under 10 Mins",Call_Table_Data[[#This Row],[Duration]]&lt;=30,"10 to 30 Mins",Call_Table_Data[[#This Row],[Duration]]&lt;=60,"30 to 60 Mins",Call_Table_Data[[#This Row],[Duration]]&lt;=120,"1 to 2 Hours",TRUE,"More Than 2 Hours")</f>
        <v>30 to 60 Mins</v>
      </c>
      <c r="K180" s="9">
        <f>ROUND(Call_Table_Data[[#This Row],[Satisfaction Rating]],0)</f>
        <v>4</v>
      </c>
    </row>
    <row r="181" spans="1:11" x14ac:dyDescent="0.3">
      <c r="A181" s="9" t="s">
        <v>218</v>
      </c>
      <c r="B181" s="9" t="s">
        <v>37</v>
      </c>
      <c r="C181" s="9">
        <v>153</v>
      </c>
      <c r="D181" s="10" t="s">
        <v>33</v>
      </c>
      <c r="E181" s="11">
        <v>44991</v>
      </c>
      <c r="F181" s="9">
        <v>34</v>
      </c>
      <c r="G181" s="9">
        <v>3</v>
      </c>
      <c r="H181" s="9">
        <f>IF(MONTH(Call_Table_Data[[#This Row],[Date of Call]])&lt;=3,YEAR(Call_Table_Data[[#This Row],[Date of Call]]),YEAR(Call_Table_Data[[#This Row],[Date of Call]])+1)</f>
        <v>2023</v>
      </c>
      <c r="I181" s="9" t="str">
        <f>TEXT(Call_Table_Data[[#This Row],[Date of Call]],"DDDD")</f>
        <v>Monday</v>
      </c>
      <c r="J181" s="9" t="str" cm="1">
        <f t="array" ref="J181">_xlfn.IFS(Call_Table_Data[[#This Row],[Duration]]&lt;=10,"Under 10 Mins",Call_Table_Data[[#This Row],[Duration]]&lt;=30,"10 to 30 Mins",Call_Table_Data[[#This Row],[Duration]]&lt;=60,"30 to 60 Mins",Call_Table_Data[[#This Row],[Duration]]&lt;=120,"1 to 2 Hours",TRUE,"More Than 2 Hours")</f>
        <v>More Than 2 Hours</v>
      </c>
      <c r="K181" s="9">
        <f>ROUND(Call_Table_Data[[#This Row],[Satisfaction Rating]],0)</f>
        <v>3</v>
      </c>
    </row>
    <row r="182" spans="1:11" x14ac:dyDescent="0.3">
      <c r="A182" s="9" t="s">
        <v>219</v>
      </c>
      <c r="B182" s="9" t="s">
        <v>50</v>
      </c>
      <c r="C182" s="9">
        <v>73</v>
      </c>
      <c r="D182" s="10" t="s">
        <v>40</v>
      </c>
      <c r="E182" s="11">
        <v>44991</v>
      </c>
      <c r="F182" s="9">
        <v>215</v>
      </c>
      <c r="G182" s="9">
        <v>3.6</v>
      </c>
      <c r="H182" s="9">
        <f>IF(MONTH(Call_Table_Data[[#This Row],[Date of Call]])&lt;=3,YEAR(Call_Table_Data[[#This Row],[Date of Call]]),YEAR(Call_Table_Data[[#This Row],[Date of Call]])+1)</f>
        <v>2023</v>
      </c>
      <c r="I182" s="9" t="str">
        <f>TEXT(Call_Table_Data[[#This Row],[Date of Call]],"DDDD")</f>
        <v>Monday</v>
      </c>
      <c r="J182" s="9" t="str" cm="1">
        <f t="array" ref="J182">_xlfn.IFS(Call_Table_Data[[#This Row],[Duration]]&lt;=10,"Under 10 Mins",Call_Table_Data[[#This Row],[Duration]]&lt;=30,"10 to 30 Mins",Call_Table_Data[[#This Row],[Duration]]&lt;=60,"30 to 60 Mins",Call_Table_Data[[#This Row],[Duration]]&lt;=120,"1 to 2 Hours",TRUE,"More Than 2 Hours")</f>
        <v>1 to 2 Hours</v>
      </c>
      <c r="K182" s="9">
        <f>ROUND(Call_Table_Data[[#This Row],[Satisfaction Rating]],0)</f>
        <v>4</v>
      </c>
    </row>
    <row r="183" spans="1:11" x14ac:dyDescent="0.3">
      <c r="A183" s="9" t="s">
        <v>220</v>
      </c>
      <c r="B183" s="9" t="s">
        <v>43</v>
      </c>
      <c r="C183" s="9">
        <v>62</v>
      </c>
      <c r="D183" s="10" t="s">
        <v>40</v>
      </c>
      <c r="E183" s="11">
        <v>44991</v>
      </c>
      <c r="F183" s="9">
        <v>32</v>
      </c>
      <c r="G183" s="9">
        <v>0.7</v>
      </c>
      <c r="H183" s="9">
        <f>IF(MONTH(Call_Table_Data[[#This Row],[Date of Call]])&lt;=3,YEAR(Call_Table_Data[[#This Row],[Date of Call]]),YEAR(Call_Table_Data[[#This Row],[Date of Call]])+1)</f>
        <v>2023</v>
      </c>
      <c r="I183" s="9" t="str">
        <f>TEXT(Call_Table_Data[[#This Row],[Date of Call]],"DDDD")</f>
        <v>Monday</v>
      </c>
      <c r="J183" s="9" t="str" cm="1">
        <f t="array" ref="J183">_xlfn.IFS(Call_Table_Data[[#This Row],[Duration]]&lt;=10,"Under 10 Mins",Call_Table_Data[[#This Row],[Duration]]&lt;=30,"10 to 30 Mins",Call_Table_Data[[#This Row],[Duration]]&lt;=60,"30 to 60 Mins",Call_Table_Data[[#This Row],[Duration]]&lt;=120,"1 to 2 Hours",TRUE,"More Than 2 Hours")</f>
        <v>1 to 2 Hours</v>
      </c>
      <c r="K183" s="9">
        <f>ROUND(Call_Table_Data[[#This Row],[Satisfaction Rating]],0)</f>
        <v>1</v>
      </c>
    </row>
    <row r="184" spans="1:11" x14ac:dyDescent="0.3">
      <c r="A184" s="9" t="s">
        <v>221</v>
      </c>
      <c r="B184" s="9" t="s">
        <v>32</v>
      </c>
      <c r="C184" s="9">
        <v>115</v>
      </c>
      <c r="D184" s="10" t="s">
        <v>27</v>
      </c>
      <c r="E184" s="11">
        <v>44992</v>
      </c>
      <c r="F184" s="9">
        <v>48</v>
      </c>
      <c r="G184" s="9">
        <v>4.7</v>
      </c>
      <c r="H184" s="9">
        <f>IF(MONTH(Call_Table_Data[[#This Row],[Date of Call]])&lt;=3,YEAR(Call_Table_Data[[#This Row],[Date of Call]]),YEAR(Call_Table_Data[[#This Row],[Date of Call]])+1)</f>
        <v>2023</v>
      </c>
      <c r="I184" s="9" t="str">
        <f>TEXT(Call_Table_Data[[#This Row],[Date of Call]],"DDDD")</f>
        <v>Tuesday</v>
      </c>
      <c r="J184" s="9" t="str" cm="1">
        <f t="array" ref="J184">_xlfn.IFS(Call_Table_Data[[#This Row],[Duration]]&lt;=10,"Under 10 Mins",Call_Table_Data[[#This Row],[Duration]]&lt;=30,"10 to 30 Mins",Call_Table_Data[[#This Row],[Duration]]&lt;=60,"30 to 60 Mins",Call_Table_Data[[#This Row],[Duration]]&lt;=120,"1 to 2 Hours",TRUE,"More Than 2 Hours")</f>
        <v>1 to 2 Hours</v>
      </c>
      <c r="K184" s="9">
        <f>ROUND(Call_Table_Data[[#This Row],[Satisfaction Rating]],0)</f>
        <v>5</v>
      </c>
    </row>
    <row r="185" spans="1:11" x14ac:dyDescent="0.3">
      <c r="A185" s="9" t="s">
        <v>222</v>
      </c>
      <c r="B185" s="9" t="s">
        <v>37</v>
      </c>
      <c r="C185" s="9">
        <v>69</v>
      </c>
      <c r="D185" s="10" t="s">
        <v>27</v>
      </c>
      <c r="E185" s="11">
        <v>44992</v>
      </c>
      <c r="F185" s="9">
        <v>132</v>
      </c>
      <c r="G185" s="9">
        <v>4.5</v>
      </c>
      <c r="H185" s="9">
        <f>IF(MONTH(Call_Table_Data[[#This Row],[Date of Call]])&lt;=3,YEAR(Call_Table_Data[[#This Row],[Date of Call]]),YEAR(Call_Table_Data[[#This Row],[Date of Call]])+1)</f>
        <v>2023</v>
      </c>
      <c r="I185" s="9" t="str">
        <f>TEXT(Call_Table_Data[[#This Row],[Date of Call]],"DDDD")</f>
        <v>Tuesday</v>
      </c>
      <c r="J185" s="9" t="str" cm="1">
        <f t="array" ref="J185">_xlfn.IFS(Call_Table_Data[[#This Row],[Duration]]&lt;=10,"Under 10 Mins",Call_Table_Data[[#This Row],[Duration]]&lt;=30,"10 to 30 Mins",Call_Table_Data[[#This Row],[Duration]]&lt;=60,"30 to 60 Mins",Call_Table_Data[[#This Row],[Duration]]&lt;=120,"1 to 2 Hours",TRUE,"More Than 2 Hours")</f>
        <v>1 to 2 Hours</v>
      </c>
      <c r="K185" s="9">
        <f>ROUND(Call_Table_Data[[#This Row],[Satisfaction Rating]],0)</f>
        <v>5</v>
      </c>
    </row>
    <row r="186" spans="1:11" x14ac:dyDescent="0.3">
      <c r="A186" s="9" t="s">
        <v>223</v>
      </c>
      <c r="B186" s="9" t="s">
        <v>23</v>
      </c>
      <c r="C186" s="9">
        <v>103</v>
      </c>
      <c r="D186" s="10" t="s">
        <v>17</v>
      </c>
      <c r="E186" s="11">
        <v>44992</v>
      </c>
      <c r="F186" s="9">
        <v>172</v>
      </c>
      <c r="G186" s="9">
        <v>4.3</v>
      </c>
      <c r="H186" s="9">
        <f>IF(MONTH(Call_Table_Data[[#This Row],[Date of Call]])&lt;=3,YEAR(Call_Table_Data[[#This Row],[Date of Call]]),YEAR(Call_Table_Data[[#This Row],[Date of Call]])+1)</f>
        <v>2023</v>
      </c>
      <c r="I186" s="9" t="str">
        <f>TEXT(Call_Table_Data[[#This Row],[Date of Call]],"DDDD")</f>
        <v>Tuesday</v>
      </c>
      <c r="J186" s="9" t="str" cm="1">
        <f t="array" ref="J186">_xlfn.IFS(Call_Table_Data[[#This Row],[Duration]]&lt;=10,"Under 10 Mins",Call_Table_Data[[#This Row],[Duration]]&lt;=30,"10 to 30 Mins",Call_Table_Data[[#This Row],[Duration]]&lt;=60,"30 to 60 Mins",Call_Table_Data[[#This Row],[Duration]]&lt;=120,"1 to 2 Hours",TRUE,"More Than 2 Hours")</f>
        <v>1 to 2 Hours</v>
      </c>
      <c r="K186" s="9">
        <f>ROUND(Call_Table_Data[[#This Row],[Satisfaction Rating]],0)</f>
        <v>4</v>
      </c>
    </row>
    <row r="187" spans="1:11" x14ac:dyDescent="0.3">
      <c r="A187" s="9" t="s">
        <v>224</v>
      </c>
      <c r="B187" s="9" t="s">
        <v>23</v>
      </c>
      <c r="C187" s="9">
        <v>75</v>
      </c>
      <c r="D187" s="10" t="s">
        <v>17</v>
      </c>
      <c r="E187" s="11">
        <v>44992</v>
      </c>
      <c r="F187" s="9">
        <v>111</v>
      </c>
      <c r="G187" s="9">
        <v>3.4</v>
      </c>
      <c r="H187" s="9">
        <f>IF(MONTH(Call_Table_Data[[#This Row],[Date of Call]])&lt;=3,YEAR(Call_Table_Data[[#This Row],[Date of Call]]),YEAR(Call_Table_Data[[#This Row],[Date of Call]])+1)</f>
        <v>2023</v>
      </c>
      <c r="I187" s="9" t="str">
        <f>TEXT(Call_Table_Data[[#This Row],[Date of Call]],"DDDD")</f>
        <v>Tuesday</v>
      </c>
      <c r="J187" s="9" t="str" cm="1">
        <f t="array" ref="J187">_xlfn.IFS(Call_Table_Data[[#This Row],[Duration]]&lt;=10,"Under 10 Mins",Call_Table_Data[[#This Row],[Duration]]&lt;=30,"10 to 30 Mins",Call_Table_Data[[#This Row],[Duration]]&lt;=60,"30 to 60 Mins",Call_Table_Data[[#This Row],[Duration]]&lt;=120,"1 to 2 Hours",TRUE,"More Than 2 Hours")</f>
        <v>1 to 2 Hours</v>
      </c>
      <c r="K187" s="9">
        <f>ROUND(Call_Table_Data[[#This Row],[Satisfaction Rating]],0)</f>
        <v>3</v>
      </c>
    </row>
    <row r="188" spans="1:11" x14ac:dyDescent="0.3">
      <c r="A188" s="9" t="s">
        <v>225</v>
      </c>
      <c r="B188" s="9" t="s">
        <v>49</v>
      </c>
      <c r="C188" s="9">
        <v>92</v>
      </c>
      <c r="D188" s="10" t="s">
        <v>17</v>
      </c>
      <c r="E188" s="11">
        <v>44992</v>
      </c>
      <c r="F188" s="9">
        <v>58</v>
      </c>
      <c r="G188" s="9">
        <v>3.6</v>
      </c>
      <c r="H188" s="9">
        <f>IF(MONTH(Call_Table_Data[[#This Row],[Date of Call]])&lt;=3,YEAR(Call_Table_Data[[#This Row],[Date of Call]]),YEAR(Call_Table_Data[[#This Row],[Date of Call]])+1)</f>
        <v>2023</v>
      </c>
      <c r="I188" s="9" t="str">
        <f>TEXT(Call_Table_Data[[#This Row],[Date of Call]],"DDDD")</f>
        <v>Tuesday</v>
      </c>
      <c r="J188" s="9" t="str" cm="1">
        <f t="array" ref="J188">_xlfn.IFS(Call_Table_Data[[#This Row],[Duration]]&lt;=10,"Under 10 Mins",Call_Table_Data[[#This Row],[Duration]]&lt;=30,"10 to 30 Mins",Call_Table_Data[[#This Row],[Duration]]&lt;=60,"30 to 60 Mins",Call_Table_Data[[#This Row],[Duration]]&lt;=120,"1 to 2 Hours",TRUE,"More Than 2 Hours")</f>
        <v>1 to 2 Hours</v>
      </c>
      <c r="K188" s="9">
        <f>ROUND(Call_Table_Data[[#This Row],[Satisfaction Rating]],0)</f>
        <v>4</v>
      </c>
    </row>
    <row r="189" spans="1:11" x14ac:dyDescent="0.3">
      <c r="A189" s="9" t="s">
        <v>226</v>
      </c>
      <c r="B189" s="9" t="s">
        <v>49</v>
      </c>
      <c r="C189" s="9">
        <v>41</v>
      </c>
      <c r="D189" s="10" t="s">
        <v>40</v>
      </c>
      <c r="E189" s="11">
        <v>44992</v>
      </c>
      <c r="F189" s="9">
        <v>68</v>
      </c>
      <c r="G189" s="9">
        <v>4</v>
      </c>
      <c r="H189" s="9">
        <f>IF(MONTH(Call_Table_Data[[#This Row],[Date of Call]])&lt;=3,YEAR(Call_Table_Data[[#This Row],[Date of Call]]),YEAR(Call_Table_Data[[#This Row],[Date of Call]])+1)</f>
        <v>2023</v>
      </c>
      <c r="I189" s="9" t="str">
        <f>TEXT(Call_Table_Data[[#This Row],[Date of Call]],"DDDD")</f>
        <v>Tuesday</v>
      </c>
      <c r="J189" s="9" t="str" cm="1">
        <f t="array" ref="J189">_xlfn.IFS(Call_Table_Data[[#This Row],[Duration]]&lt;=10,"Under 10 Mins",Call_Table_Data[[#This Row],[Duration]]&lt;=30,"10 to 30 Mins",Call_Table_Data[[#This Row],[Duration]]&lt;=60,"30 to 60 Mins",Call_Table_Data[[#This Row],[Duration]]&lt;=120,"1 to 2 Hours",TRUE,"More Than 2 Hours")</f>
        <v>30 to 60 Mins</v>
      </c>
      <c r="K189" s="9">
        <f>ROUND(Call_Table_Data[[#This Row],[Satisfaction Rating]],0)</f>
        <v>4</v>
      </c>
    </row>
    <row r="190" spans="1:11" x14ac:dyDescent="0.3">
      <c r="A190" s="9" t="s">
        <v>227</v>
      </c>
      <c r="B190" s="9" t="s">
        <v>23</v>
      </c>
      <c r="C190" s="9">
        <v>134</v>
      </c>
      <c r="D190" s="10" t="s">
        <v>33</v>
      </c>
      <c r="E190" s="11">
        <v>44992</v>
      </c>
      <c r="F190" s="9">
        <v>160</v>
      </c>
      <c r="G190" s="9">
        <v>4.5</v>
      </c>
      <c r="H190" s="9">
        <f>IF(MONTH(Call_Table_Data[[#This Row],[Date of Call]])&lt;=3,YEAR(Call_Table_Data[[#This Row],[Date of Call]]),YEAR(Call_Table_Data[[#This Row],[Date of Call]])+1)</f>
        <v>2023</v>
      </c>
      <c r="I190" s="9" t="str">
        <f>TEXT(Call_Table_Data[[#This Row],[Date of Call]],"DDDD")</f>
        <v>Tuesday</v>
      </c>
      <c r="J190" s="9" t="str" cm="1">
        <f t="array" ref="J190">_xlfn.IFS(Call_Table_Data[[#This Row],[Duration]]&lt;=10,"Under 10 Mins",Call_Table_Data[[#This Row],[Duration]]&lt;=30,"10 to 30 Mins",Call_Table_Data[[#This Row],[Duration]]&lt;=60,"30 to 60 Mins",Call_Table_Data[[#This Row],[Duration]]&lt;=120,"1 to 2 Hours",TRUE,"More Than 2 Hours")</f>
        <v>More Than 2 Hours</v>
      </c>
      <c r="K190" s="9">
        <f>ROUND(Call_Table_Data[[#This Row],[Satisfaction Rating]],0)</f>
        <v>5</v>
      </c>
    </row>
    <row r="191" spans="1:11" x14ac:dyDescent="0.3">
      <c r="A191" s="9" t="s">
        <v>228</v>
      </c>
      <c r="B191" s="9" t="s">
        <v>18</v>
      </c>
      <c r="C191" s="9">
        <v>80</v>
      </c>
      <c r="D191" s="10" t="s">
        <v>46</v>
      </c>
      <c r="E191" s="11">
        <v>44992</v>
      </c>
      <c r="F191" s="9">
        <v>45</v>
      </c>
      <c r="G191" s="9">
        <v>3</v>
      </c>
      <c r="H191" s="9">
        <f>IF(MONTH(Call_Table_Data[[#This Row],[Date of Call]])&lt;=3,YEAR(Call_Table_Data[[#This Row],[Date of Call]]),YEAR(Call_Table_Data[[#This Row],[Date of Call]])+1)</f>
        <v>2023</v>
      </c>
      <c r="I191" s="9" t="str">
        <f>TEXT(Call_Table_Data[[#This Row],[Date of Call]],"DDDD")</f>
        <v>Tuesday</v>
      </c>
      <c r="J191" s="9" t="str" cm="1">
        <f t="array" ref="J191">_xlfn.IFS(Call_Table_Data[[#This Row],[Duration]]&lt;=10,"Under 10 Mins",Call_Table_Data[[#This Row],[Duration]]&lt;=30,"10 to 30 Mins",Call_Table_Data[[#This Row],[Duration]]&lt;=60,"30 to 60 Mins",Call_Table_Data[[#This Row],[Duration]]&lt;=120,"1 to 2 Hours",TRUE,"More Than 2 Hours")</f>
        <v>1 to 2 Hours</v>
      </c>
      <c r="K191" s="9">
        <f>ROUND(Call_Table_Data[[#This Row],[Satisfaction Rating]],0)</f>
        <v>3</v>
      </c>
    </row>
    <row r="192" spans="1:11" x14ac:dyDescent="0.3">
      <c r="A192" s="9" t="s">
        <v>229</v>
      </c>
      <c r="B192" s="9" t="s">
        <v>41</v>
      </c>
      <c r="C192" s="9">
        <v>103</v>
      </c>
      <c r="D192" s="10" t="s">
        <v>27</v>
      </c>
      <c r="E192" s="11">
        <v>44993</v>
      </c>
      <c r="F192" s="9">
        <v>117</v>
      </c>
      <c r="G192" s="9">
        <v>3</v>
      </c>
      <c r="H192" s="9">
        <f>IF(MONTH(Call_Table_Data[[#This Row],[Date of Call]])&lt;=3,YEAR(Call_Table_Data[[#This Row],[Date of Call]]),YEAR(Call_Table_Data[[#This Row],[Date of Call]])+1)</f>
        <v>2023</v>
      </c>
      <c r="I192" s="9" t="str">
        <f>TEXT(Call_Table_Data[[#This Row],[Date of Call]],"DDDD")</f>
        <v>Wednesday</v>
      </c>
      <c r="J192" s="9" t="str" cm="1">
        <f t="array" ref="J192">_xlfn.IFS(Call_Table_Data[[#This Row],[Duration]]&lt;=10,"Under 10 Mins",Call_Table_Data[[#This Row],[Duration]]&lt;=30,"10 to 30 Mins",Call_Table_Data[[#This Row],[Duration]]&lt;=60,"30 to 60 Mins",Call_Table_Data[[#This Row],[Duration]]&lt;=120,"1 to 2 Hours",TRUE,"More Than 2 Hours")</f>
        <v>1 to 2 Hours</v>
      </c>
      <c r="K192" s="9">
        <f>ROUND(Call_Table_Data[[#This Row],[Satisfaction Rating]],0)</f>
        <v>3</v>
      </c>
    </row>
    <row r="193" spans="1:11" x14ac:dyDescent="0.3">
      <c r="A193" s="9" t="s">
        <v>230</v>
      </c>
      <c r="B193" s="9" t="s">
        <v>35</v>
      </c>
      <c r="C193" s="9">
        <v>20</v>
      </c>
      <c r="D193" s="10" t="s">
        <v>17</v>
      </c>
      <c r="E193" s="11">
        <v>44994</v>
      </c>
      <c r="F193" s="9">
        <v>22</v>
      </c>
      <c r="G193" s="9">
        <v>1.6</v>
      </c>
      <c r="H193" s="9">
        <f>IF(MONTH(Call_Table_Data[[#This Row],[Date of Call]])&lt;=3,YEAR(Call_Table_Data[[#This Row],[Date of Call]]),YEAR(Call_Table_Data[[#This Row],[Date of Call]])+1)</f>
        <v>2023</v>
      </c>
      <c r="I193" s="9" t="str">
        <f>TEXT(Call_Table_Data[[#This Row],[Date of Call]],"DDDD")</f>
        <v>Thursday</v>
      </c>
      <c r="J193" s="9" t="str" cm="1">
        <f t="array" ref="J193">_xlfn.IFS(Call_Table_Data[[#This Row],[Duration]]&lt;=10,"Under 10 Mins",Call_Table_Data[[#This Row],[Duration]]&lt;=30,"10 to 30 Mins",Call_Table_Data[[#This Row],[Duration]]&lt;=60,"30 to 60 Mins",Call_Table_Data[[#This Row],[Duration]]&lt;=120,"1 to 2 Hours",TRUE,"More Than 2 Hours")</f>
        <v>10 to 30 Mins</v>
      </c>
      <c r="K193" s="9">
        <f>ROUND(Call_Table_Data[[#This Row],[Satisfaction Rating]],0)</f>
        <v>2</v>
      </c>
    </row>
    <row r="194" spans="1:11" x14ac:dyDescent="0.3">
      <c r="A194" s="9" t="s">
        <v>231</v>
      </c>
      <c r="B194" s="9" t="s">
        <v>41</v>
      </c>
      <c r="C194" s="9">
        <v>75</v>
      </c>
      <c r="D194" s="10" t="s">
        <v>46</v>
      </c>
      <c r="E194" s="11">
        <v>44994</v>
      </c>
      <c r="F194" s="9">
        <v>195</v>
      </c>
      <c r="G194" s="9">
        <v>3</v>
      </c>
      <c r="H194" s="9">
        <f>IF(MONTH(Call_Table_Data[[#This Row],[Date of Call]])&lt;=3,YEAR(Call_Table_Data[[#This Row],[Date of Call]]),YEAR(Call_Table_Data[[#This Row],[Date of Call]])+1)</f>
        <v>2023</v>
      </c>
      <c r="I194" s="9" t="str">
        <f>TEXT(Call_Table_Data[[#This Row],[Date of Call]],"DDDD")</f>
        <v>Thursday</v>
      </c>
      <c r="J194" s="9" t="str" cm="1">
        <f t="array" ref="J194">_xlfn.IFS(Call_Table_Data[[#This Row],[Duration]]&lt;=10,"Under 10 Mins",Call_Table_Data[[#This Row],[Duration]]&lt;=30,"10 to 30 Mins",Call_Table_Data[[#This Row],[Duration]]&lt;=60,"30 to 60 Mins",Call_Table_Data[[#This Row],[Duration]]&lt;=120,"1 to 2 Hours",TRUE,"More Than 2 Hours")</f>
        <v>1 to 2 Hours</v>
      </c>
      <c r="K194" s="9">
        <f>ROUND(Call_Table_Data[[#This Row],[Satisfaction Rating]],0)</f>
        <v>3</v>
      </c>
    </row>
    <row r="195" spans="1:11" x14ac:dyDescent="0.3">
      <c r="A195" s="9" t="s">
        <v>232</v>
      </c>
      <c r="B195" s="9" t="s">
        <v>49</v>
      </c>
      <c r="C195" s="9">
        <v>80</v>
      </c>
      <c r="D195" s="10" t="s">
        <v>33</v>
      </c>
      <c r="E195" s="11">
        <v>44994</v>
      </c>
      <c r="F195" s="9">
        <v>168</v>
      </c>
      <c r="G195" s="9">
        <v>3.7</v>
      </c>
      <c r="H195" s="9">
        <f>IF(MONTH(Call_Table_Data[[#This Row],[Date of Call]])&lt;=3,YEAR(Call_Table_Data[[#This Row],[Date of Call]]),YEAR(Call_Table_Data[[#This Row],[Date of Call]])+1)</f>
        <v>2023</v>
      </c>
      <c r="I195" s="9" t="str">
        <f>TEXT(Call_Table_Data[[#This Row],[Date of Call]],"DDDD")</f>
        <v>Thursday</v>
      </c>
      <c r="J195" s="9" t="str" cm="1">
        <f t="array" ref="J195">_xlfn.IFS(Call_Table_Data[[#This Row],[Duration]]&lt;=10,"Under 10 Mins",Call_Table_Data[[#This Row],[Duration]]&lt;=30,"10 to 30 Mins",Call_Table_Data[[#This Row],[Duration]]&lt;=60,"30 to 60 Mins",Call_Table_Data[[#This Row],[Duration]]&lt;=120,"1 to 2 Hours",TRUE,"More Than 2 Hours")</f>
        <v>1 to 2 Hours</v>
      </c>
      <c r="K195" s="9">
        <f>ROUND(Call_Table_Data[[#This Row],[Satisfaction Rating]],0)</f>
        <v>4</v>
      </c>
    </row>
    <row r="196" spans="1:11" x14ac:dyDescent="0.3">
      <c r="A196" s="9" t="s">
        <v>233</v>
      </c>
      <c r="B196" s="9" t="s">
        <v>37</v>
      </c>
      <c r="C196" s="9">
        <v>85</v>
      </c>
      <c r="D196" s="10" t="s">
        <v>40</v>
      </c>
      <c r="E196" s="11">
        <v>44995</v>
      </c>
      <c r="F196" s="9">
        <v>46</v>
      </c>
      <c r="G196" s="9">
        <v>4.9000000000000004</v>
      </c>
      <c r="H196" s="9">
        <f>IF(MONTH(Call_Table_Data[[#This Row],[Date of Call]])&lt;=3,YEAR(Call_Table_Data[[#This Row],[Date of Call]]),YEAR(Call_Table_Data[[#This Row],[Date of Call]])+1)</f>
        <v>2023</v>
      </c>
      <c r="I196" s="9" t="str">
        <f>TEXT(Call_Table_Data[[#This Row],[Date of Call]],"DDDD")</f>
        <v>Friday</v>
      </c>
      <c r="J196" s="9" t="str" cm="1">
        <f t="array" ref="J196">_xlfn.IFS(Call_Table_Data[[#This Row],[Duration]]&lt;=10,"Under 10 Mins",Call_Table_Data[[#This Row],[Duration]]&lt;=30,"10 to 30 Mins",Call_Table_Data[[#This Row],[Duration]]&lt;=60,"30 to 60 Mins",Call_Table_Data[[#This Row],[Duration]]&lt;=120,"1 to 2 Hours",TRUE,"More Than 2 Hours")</f>
        <v>1 to 2 Hours</v>
      </c>
      <c r="K196" s="9">
        <f>ROUND(Call_Table_Data[[#This Row],[Satisfaction Rating]],0)</f>
        <v>5</v>
      </c>
    </row>
    <row r="197" spans="1:11" x14ac:dyDescent="0.3">
      <c r="A197" s="9" t="s">
        <v>234</v>
      </c>
      <c r="B197" s="9" t="s">
        <v>22</v>
      </c>
      <c r="C197" s="9">
        <v>155</v>
      </c>
      <c r="D197" s="10" t="s">
        <v>17</v>
      </c>
      <c r="E197" s="11">
        <v>44995</v>
      </c>
      <c r="F197" s="9">
        <v>164</v>
      </c>
      <c r="G197" s="9">
        <v>3.4</v>
      </c>
      <c r="H197" s="9">
        <f>IF(MONTH(Call_Table_Data[[#This Row],[Date of Call]])&lt;=3,YEAR(Call_Table_Data[[#This Row],[Date of Call]]),YEAR(Call_Table_Data[[#This Row],[Date of Call]])+1)</f>
        <v>2023</v>
      </c>
      <c r="I197" s="9" t="str">
        <f>TEXT(Call_Table_Data[[#This Row],[Date of Call]],"DDDD")</f>
        <v>Friday</v>
      </c>
      <c r="J197" s="9" t="str" cm="1">
        <f t="array" ref="J197">_xlfn.IFS(Call_Table_Data[[#This Row],[Duration]]&lt;=10,"Under 10 Mins",Call_Table_Data[[#This Row],[Duration]]&lt;=30,"10 to 30 Mins",Call_Table_Data[[#This Row],[Duration]]&lt;=60,"30 to 60 Mins",Call_Table_Data[[#This Row],[Duration]]&lt;=120,"1 to 2 Hours",TRUE,"More Than 2 Hours")</f>
        <v>More Than 2 Hours</v>
      </c>
      <c r="K197" s="9">
        <f>ROUND(Call_Table_Data[[#This Row],[Satisfaction Rating]],0)</f>
        <v>3</v>
      </c>
    </row>
    <row r="198" spans="1:11" x14ac:dyDescent="0.3">
      <c r="A198" s="9" t="s">
        <v>235</v>
      </c>
      <c r="B198" s="9" t="s">
        <v>37</v>
      </c>
      <c r="C198" s="9">
        <v>63</v>
      </c>
      <c r="D198" s="10" t="s">
        <v>40</v>
      </c>
      <c r="E198" s="11">
        <v>44995</v>
      </c>
      <c r="F198" s="9">
        <v>48</v>
      </c>
      <c r="G198" s="9">
        <v>5</v>
      </c>
      <c r="H198" s="9">
        <f>IF(MONTH(Call_Table_Data[[#This Row],[Date of Call]])&lt;=3,YEAR(Call_Table_Data[[#This Row],[Date of Call]]),YEAR(Call_Table_Data[[#This Row],[Date of Call]])+1)</f>
        <v>2023</v>
      </c>
      <c r="I198" s="9" t="str">
        <f>TEXT(Call_Table_Data[[#This Row],[Date of Call]],"DDDD")</f>
        <v>Friday</v>
      </c>
      <c r="J198" s="9" t="str" cm="1">
        <f t="array" ref="J198">_xlfn.IFS(Call_Table_Data[[#This Row],[Duration]]&lt;=10,"Under 10 Mins",Call_Table_Data[[#This Row],[Duration]]&lt;=30,"10 to 30 Mins",Call_Table_Data[[#This Row],[Duration]]&lt;=60,"30 to 60 Mins",Call_Table_Data[[#This Row],[Duration]]&lt;=120,"1 to 2 Hours",TRUE,"More Than 2 Hours")</f>
        <v>1 to 2 Hours</v>
      </c>
      <c r="K198" s="9">
        <f>ROUND(Call_Table_Data[[#This Row],[Satisfaction Rating]],0)</f>
        <v>5</v>
      </c>
    </row>
    <row r="199" spans="1:11" x14ac:dyDescent="0.3">
      <c r="A199" s="9" t="s">
        <v>236</v>
      </c>
      <c r="B199" s="9" t="s">
        <v>26</v>
      </c>
      <c r="C199" s="9">
        <v>105</v>
      </c>
      <c r="D199" s="10" t="s">
        <v>27</v>
      </c>
      <c r="E199" s="11">
        <v>44995</v>
      </c>
      <c r="F199" s="9">
        <v>96</v>
      </c>
      <c r="G199" s="9">
        <v>5</v>
      </c>
      <c r="H199" s="9">
        <f>IF(MONTH(Call_Table_Data[[#This Row],[Date of Call]])&lt;=3,YEAR(Call_Table_Data[[#This Row],[Date of Call]]),YEAR(Call_Table_Data[[#This Row],[Date of Call]])+1)</f>
        <v>2023</v>
      </c>
      <c r="I199" s="9" t="str">
        <f>TEXT(Call_Table_Data[[#This Row],[Date of Call]],"DDDD")</f>
        <v>Friday</v>
      </c>
      <c r="J199" s="9" t="str" cm="1">
        <f t="array" ref="J199">_xlfn.IFS(Call_Table_Data[[#This Row],[Duration]]&lt;=10,"Under 10 Mins",Call_Table_Data[[#This Row],[Duration]]&lt;=30,"10 to 30 Mins",Call_Table_Data[[#This Row],[Duration]]&lt;=60,"30 to 60 Mins",Call_Table_Data[[#This Row],[Duration]]&lt;=120,"1 to 2 Hours",TRUE,"More Than 2 Hours")</f>
        <v>1 to 2 Hours</v>
      </c>
      <c r="K199" s="9">
        <f>ROUND(Call_Table_Data[[#This Row],[Satisfaction Rating]],0)</f>
        <v>5</v>
      </c>
    </row>
    <row r="200" spans="1:11" x14ac:dyDescent="0.3">
      <c r="A200" s="9" t="s">
        <v>237</v>
      </c>
      <c r="B200" s="9" t="s">
        <v>37</v>
      </c>
      <c r="C200" s="9">
        <v>71</v>
      </c>
      <c r="D200" s="10" t="s">
        <v>40</v>
      </c>
      <c r="E200" s="11">
        <v>44995</v>
      </c>
      <c r="F200" s="9">
        <v>105</v>
      </c>
      <c r="G200" s="9">
        <v>4</v>
      </c>
      <c r="H200" s="9">
        <f>IF(MONTH(Call_Table_Data[[#This Row],[Date of Call]])&lt;=3,YEAR(Call_Table_Data[[#This Row],[Date of Call]]),YEAR(Call_Table_Data[[#This Row],[Date of Call]])+1)</f>
        <v>2023</v>
      </c>
      <c r="I200" s="9" t="str">
        <f>TEXT(Call_Table_Data[[#This Row],[Date of Call]],"DDDD")</f>
        <v>Friday</v>
      </c>
      <c r="J200" s="9" t="str" cm="1">
        <f t="array" ref="J200">_xlfn.IFS(Call_Table_Data[[#This Row],[Duration]]&lt;=10,"Under 10 Mins",Call_Table_Data[[#This Row],[Duration]]&lt;=30,"10 to 30 Mins",Call_Table_Data[[#This Row],[Duration]]&lt;=60,"30 to 60 Mins",Call_Table_Data[[#This Row],[Duration]]&lt;=120,"1 to 2 Hours",TRUE,"More Than 2 Hours")</f>
        <v>1 to 2 Hours</v>
      </c>
      <c r="K200" s="9">
        <f>ROUND(Call_Table_Data[[#This Row],[Satisfaction Rating]],0)</f>
        <v>4</v>
      </c>
    </row>
    <row r="201" spans="1:11" x14ac:dyDescent="0.3">
      <c r="A201" s="9" t="s">
        <v>238</v>
      </c>
      <c r="B201" s="9" t="s">
        <v>22</v>
      </c>
      <c r="C201" s="9">
        <v>100</v>
      </c>
      <c r="D201" s="10" t="s">
        <v>40</v>
      </c>
      <c r="E201" s="11">
        <v>44996</v>
      </c>
      <c r="F201" s="9">
        <v>44</v>
      </c>
      <c r="G201" s="9">
        <v>3.6</v>
      </c>
      <c r="H201" s="9">
        <f>IF(MONTH(Call_Table_Data[[#This Row],[Date of Call]])&lt;=3,YEAR(Call_Table_Data[[#This Row],[Date of Call]]),YEAR(Call_Table_Data[[#This Row],[Date of Call]])+1)</f>
        <v>2023</v>
      </c>
      <c r="I201" s="9" t="str">
        <f>TEXT(Call_Table_Data[[#This Row],[Date of Call]],"DDDD")</f>
        <v>Saturday</v>
      </c>
      <c r="J201" s="9" t="str" cm="1">
        <f t="array" ref="J201">_xlfn.IFS(Call_Table_Data[[#This Row],[Duration]]&lt;=10,"Under 10 Mins",Call_Table_Data[[#This Row],[Duration]]&lt;=30,"10 to 30 Mins",Call_Table_Data[[#This Row],[Duration]]&lt;=60,"30 to 60 Mins",Call_Table_Data[[#This Row],[Duration]]&lt;=120,"1 to 2 Hours",TRUE,"More Than 2 Hours")</f>
        <v>1 to 2 Hours</v>
      </c>
      <c r="K201" s="9">
        <f>ROUND(Call_Table_Data[[#This Row],[Satisfaction Rating]],0)</f>
        <v>4</v>
      </c>
    </row>
    <row r="202" spans="1:11" x14ac:dyDescent="0.3">
      <c r="A202" s="9" t="s">
        <v>239</v>
      </c>
      <c r="B202" s="9" t="s">
        <v>16</v>
      </c>
      <c r="C202" s="9">
        <v>93</v>
      </c>
      <c r="D202" s="10" t="s">
        <v>33</v>
      </c>
      <c r="E202" s="11">
        <v>44996</v>
      </c>
      <c r="F202" s="9">
        <v>132</v>
      </c>
      <c r="G202" s="9">
        <v>3.7</v>
      </c>
      <c r="H202" s="9">
        <f>IF(MONTH(Call_Table_Data[[#This Row],[Date of Call]])&lt;=3,YEAR(Call_Table_Data[[#This Row],[Date of Call]]),YEAR(Call_Table_Data[[#This Row],[Date of Call]])+1)</f>
        <v>2023</v>
      </c>
      <c r="I202" s="9" t="str">
        <f>TEXT(Call_Table_Data[[#This Row],[Date of Call]],"DDDD")</f>
        <v>Saturday</v>
      </c>
      <c r="J202" s="9" t="str" cm="1">
        <f t="array" ref="J202">_xlfn.IFS(Call_Table_Data[[#This Row],[Duration]]&lt;=10,"Under 10 Mins",Call_Table_Data[[#This Row],[Duration]]&lt;=30,"10 to 30 Mins",Call_Table_Data[[#This Row],[Duration]]&lt;=60,"30 to 60 Mins",Call_Table_Data[[#This Row],[Duration]]&lt;=120,"1 to 2 Hours",TRUE,"More Than 2 Hours")</f>
        <v>1 to 2 Hours</v>
      </c>
      <c r="K202" s="9">
        <f>ROUND(Call_Table_Data[[#This Row],[Satisfaction Rating]],0)</f>
        <v>4</v>
      </c>
    </row>
    <row r="203" spans="1:11" x14ac:dyDescent="0.3">
      <c r="A203" s="9" t="s">
        <v>240</v>
      </c>
      <c r="B203" s="9" t="s">
        <v>26</v>
      </c>
      <c r="C203" s="9">
        <v>84</v>
      </c>
      <c r="D203" s="10" t="s">
        <v>17</v>
      </c>
      <c r="E203" s="11">
        <v>44996</v>
      </c>
      <c r="F203" s="9">
        <v>54</v>
      </c>
      <c r="G203" s="9">
        <v>4.2</v>
      </c>
      <c r="H203" s="9">
        <f>IF(MONTH(Call_Table_Data[[#This Row],[Date of Call]])&lt;=3,YEAR(Call_Table_Data[[#This Row],[Date of Call]]),YEAR(Call_Table_Data[[#This Row],[Date of Call]])+1)</f>
        <v>2023</v>
      </c>
      <c r="I203" s="9" t="str">
        <f>TEXT(Call_Table_Data[[#This Row],[Date of Call]],"DDDD")</f>
        <v>Saturday</v>
      </c>
      <c r="J203" s="9" t="str" cm="1">
        <f t="array" ref="J203">_xlfn.IFS(Call_Table_Data[[#This Row],[Duration]]&lt;=10,"Under 10 Mins",Call_Table_Data[[#This Row],[Duration]]&lt;=30,"10 to 30 Mins",Call_Table_Data[[#This Row],[Duration]]&lt;=60,"30 to 60 Mins",Call_Table_Data[[#This Row],[Duration]]&lt;=120,"1 to 2 Hours",TRUE,"More Than 2 Hours")</f>
        <v>1 to 2 Hours</v>
      </c>
      <c r="K203" s="9">
        <f>ROUND(Call_Table_Data[[#This Row],[Satisfaction Rating]],0)</f>
        <v>4</v>
      </c>
    </row>
    <row r="204" spans="1:11" x14ac:dyDescent="0.3">
      <c r="A204" s="9" t="s">
        <v>241</v>
      </c>
      <c r="B204" s="9" t="s">
        <v>18</v>
      </c>
      <c r="C204" s="9">
        <v>56</v>
      </c>
      <c r="D204" s="10" t="s">
        <v>46</v>
      </c>
      <c r="E204" s="11">
        <v>44996</v>
      </c>
      <c r="F204" s="9">
        <v>129</v>
      </c>
      <c r="G204" s="9">
        <v>2.1</v>
      </c>
      <c r="H204" s="9">
        <f>IF(MONTH(Call_Table_Data[[#This Row],[Date of Call]])&lt;=3,YEAR(Call_Table_Data[[#This Row],[Date of Call]]),YEAR(Call_Table_Data[[#This Row],[Date of Call]])+1)</f>
        <v>2023</v>
      </c>
      <c r="I204" s="9" t="str">
        <f>TEXT(Call_Table_Data[[#This Row],[Date of Call]],"DDDD")</f>
        <v>Saturday</v>
      </c>
      <c r="J204" s="9" t="str" cm="1">
        <f t="array" ref="J204">_xlfn.IFS(Call_Table_Data[[#This Row],[Duration]]&lt;=10,"Under 10 Mins",Call_Table_Data[[#This Row],[Duration]]&lt;=30,"10 to 30 Mins",Call_Table_Data[[#This Row],[Duration]]&lt;=60,"30 to 60 Mins",Call_Table_Data[[#This Row],[Duration]]&lt;=120,"1 to 2 Hours",TRUE,"More Than 2 Hours")</f>
        <v>30 to 60 Mins</v>
      </c>
      <c r="K204" s="9">
        <f>ROUND(Call_Table_Data[[#This Row],[Satisfaction Rating]],0)</f>
        <v>2</v>
      </c>
    </row>
    <row r="205" spans="1:11" x14ac:dyDescent="0.3">
      <c r="A205" s="9" t="s">
        <v>242</v>
      </c>
      <c r="B205" s="9" t="s">
        <v>18</v>
      </c>
      <c r="C205" s="9">
        <v>63</v>
      </c>
      <c r="D205" s="10" t="s">
        <v>40</v>
      </c>
      <c r="E205" s="11">
        <v>44996</v>
      </c>
      <c r="F205" s="9">
        <v>42</v>
      </c>
      <c r="G205" s="9">
        <v>4</v>
      </c>
      <c r="H205" s="9">
        <f>IF(MONTH(Call_Table_Data[[#This Row],[Date of Call]])&lt;=3,YEAR(Call_Table_Data[[#This Row],[Date of Call]]),YEAR(Call_Table_Data[[#This Row],[Date of Call]])+1)</f>
        <v>2023</v>
      </c>
      <c r="I205" s="9" t="str">
        <f>TEXT(Call_Table_Data[[#This Row],[Date of Call]],"DDDD")</f>
        <v>Saturday</v>
      </c>
      <c r="J205" s="9" t="str" cm="1">
        <f t="array" ref="J205">_xlfn.IFS(Call_Table_Data[[#This Row],[Duration]]&lt;=10,"Under 10 Mins",Call_Table_Data[[#This Row],[Duration]]&lt;=30,"10 to 30 Mins",Call_Table_Data[[#This Row],[Duration]]&lt;=60,"30 to 60 Mins",Call_Table_Data[[#This Row],[Duration]]&lt;=120,"1 to 2 Hours",TRUE,"More Than 2 Hours")</f>
        <v>1 to 2 Hours</v>
      </c>
      <c r="K205" s="9">
        <f>ROUND(Call_Table_Data[[#This Row],[Satisfaction Rating]],0)</f>
        <v>4</v>
      </c>
    </row>
    <row r="206" spans="1:11" x14ac:dyDescent="0.3">
      <c r="A206" s="9" t="s">
        <v>243</v>
      </c>
      <c r="B206" s="9" t="s">
        <v>43</v>
      </c>
      <c r="C206" s="9">
        <v>83</v>
      </c>
      <c r="D206" s="10" t="s">
        <v>40</v>
      </c>
      <c r="E206" s="11">
        <v>44996</v>
      </c>
      <c r="F206" s="9">
        <v>42</v>
      </c>
      <c r="G206" s="9">
        <v>4.2</v>
      </c>
      <c r="H206" s="9">
        <f>IF(MONTH(Call_Table_Data[[#This Row],[Date of Call]])&lt;=3,YEAR(Call_Table_Data[[#This Row],[Date of Call]]),YEAR(Call_Table_Data[[#This Row],[Date of Call]])+1)</f>
        <v>2023</v>
      </c>
      <c r="I206" s="9" t="str">
        <f>TEXT(Call_Table_Data[[#This Row],[Date of Call]],"DDDD")</f>
        <v>Saturday</v>
      </c>
      <c r="J206" s="9" t="str" cm="1">
        <f t="array" ref="J206">_xlfn.IFS(Call_Table_Data[[#This Row],[Duration]]&lt;=10,"Under 10 Mins",Call_Table_Data[[#This Row],[Duration]]&lt;=30,"10 to 30 Mins",Call_Table_Data[[#This Row],[Duration]]&lt;=60,"30 to 60 Mins",Call_Table_Data[[#This Row],[Duration]]&lt;=120,"1 to 2 Hours",TRUE,"More Than 2 Hours")</f>
        <v>1 to 2 Hours</v>
      </c>
      <c r="K206" s="9">
        <f>ROUND(Call_Table_Data[[#This Row],[Satisfaction Rating]],0)</f>
        <v>4</v>
      </c>
    </row>
    <row r="207" spans="1:11" x14ac:dyDescent="0.3">
      <c r="A207" s="9" t="s">
        <v>244</v>
      </c>
      <c r="B207" s="9" t="s">
        <v>49</v>
      </c>
      <c r="C207" s="9">
        <v>134</v>
      </c>
      <c r="D207" s="10" t="s">
        <v>17</v>
      </c>
      <c r="E207" s="11">
        <v>44996</v>
      </c>
      <c r="F207" s="9">
        <v>180</v>
      </c>
      <c r="G207" s="9">
        <v>3.1</v>
      </c>
      <c r="H207" s="9">
        <f>IF(MONTH(Call_Table_Data[[#This Row],[Date of Call]])&lt;=3,YEAR(Call_Table_Data[[#This Row],[Date of Call]]),YEAR(Call_Table_Data[[#This Row],[Date of Call]])+1)</f>
        <v>2023</v>
      </c>
      <c r="I207" s="9" t="str">
        <f>TEXT(Call_Table_Data[[#This Row],[Date of Call]],"DDDD")</f>
        <v>Saturday</v>
      </c>
      <c r="J207" s="9" t="str" cm="1">
        <f t="array" ref="J207">_xlfn.IFS(Call_Table_Data[[#This Row],[Duration]]&lt;=10,"Under 10 Mins",Call_Table_Data[[#This Row],[Duration]]&lt;=30,"10 to 30 Mins",Call_Table_Data[[#This Row],[Duration]]&lt;=60,"30 to 60 Mins",Call_Table_Data[[#This Row],[Duration]]&lt;=120,"1 to 2 Hours",TRUE,"More Than 2 Hours")</f>
        <v>More Than 2 Hours</v>
      </c>
      <c r="K207" s="9">
        <f>ROUND(Call_Table_Data[[#This Row],[Satisfaction Rating]],0)</f>
        <v>3</v>
      </c>
    </row>
    <row r="208" spans="1:11" x14ac:dyDescent="0.3">
      <c r="A208" s="9" t="s">
        <v>245</v>
      </c>
      <c r="B208" s="9" t="s">
        <v>32</v>
      </c>
      <c r="C208" s="9">
        <v>73</v>
      </c>
      <c r="D208" s="10" t="s">
        <v>40</v>
      </c>
      <c r="E208" s="11">
        <v>44997</v>
      </c>
      <c r="F208" s="9">
        <v>34</v>
      </c>
      <c r="G208" s="9">
        <v>4.8</v>
      </c>
      <c r="H208" s="9">
        <f>IF(MONTH(Call_Table_Data[[#This Row],[Date of Call]])&lt;=3,YEAR(Call_Table_Data[[#This Row],[Date of Call]]),YEAR(Call_Table_Data[[#This Row],[Date of Call]])+1)</f>
        <v>2023</v>
      </c>
      <c r="I208" s="9" t="str">
        <f>TEXT(Call_Table_Data[[#This Row],[Date of Call]],"DDDD")</f>
        <v>Sunday</v>
      </c>
      <c r="J208" s="9" t="str" cm="1">
        <f t="array" ref="J208">_xlfn.IFS(Call_Table_Data[[#This Row],[Duration]]&lt;=10,"Under 10 Mins",Call_Table_Data[[#This Row],[Duration]]&lt;=30,"10 to 30 Mins",Call_Table_Data[[#This Row],[Duration]]&lt;=60,"30 to 60 Mins",Call_Table_Data[[#This Row],[Duration]]&lt;=120,"1 to 2 Hours",TRUE,"More Than 2 Hours")</f>
        <v>1 to 2 Hours</v>
      </c>
      <c r="K208" s="9">
        <f>ROUND(Call_Table_Data[[#This Row],[Satisfaction Rating]],0)</f>
        <v>5</v>
      </c>
    </row>
    <row r="209" spans="1:11" x14ac:dyDescent="0.3">
      <c r="A209" s="9" t="s">
        <v>246</v>
      </c>
      <c r="B209" s="9" t="s">
        <v>41</v>
      </c>
      <c r="C209" s="9">
        <v>6</v>
      </c>
      <c r="D209" s="10" t="s">
        <v>46</v>
      </c>
      <c r="E209" s="11">
        <v>44997</v>
      </c>
      <c r="F209" s="9">
        <v>29</v>
      </c>
      <c r="G209" s="9">
        <v>4.7</v>
      </c>
      <c r="H209" s="9">
        <f>IF(MONTH(Call_Table_Data[[#This Row],[Date of Call]])&lt;=3,YEAR(Call_Table_Data[[#This Row],[Date of Call]]),YEAR(Call_Table_Data[[#This Row],[Date of Call]])+1)</f>
        <v>2023</v>
      </c>
      <c r="I209" s="9" t="str">
        <f>TEXT(Call_Table_Data[[#This Row],[Date of Call]],"DDDD")</f>
        <v>Sunday</v>
      </c>
      <c r="J209" s="9" t="str" cm="1">
        <f t="array" ref="J209">_xlfn.IFS(Call_Table_Data[[#This Row],[Duration]]&lt;=10,"Under 10 Mins",Call_Table_Data[[#This Row],[Duration]]&lt;=30,"10 to 30 Mins",Call_Table_Data[[#This Row],[Duration]]&lt;=60,"30 to 60 Mins",Call_Table_Data[[#This Row],[Duration]]&lt;=120,"1 to 2 Hours",TRUE,"More Than 2 Hours")</f>
        <v>Under 10 Mins</v>
      </c>
      <c r="K209" s="9">
        <f>ROUND(Call_Table_Data[[#This Row],[Satisfaction Rating]],0)</f>
        <v>5</v>
      </c>
    </row>
    <row r="210" spans="1:11" x14ac:dyDescent="0.3">
      <c r="A210" s="9" t="s">
        <v>247</v>
      </c>
      <c r="B210" s="9" t="s">
        <v>50</v>
      </c>
      <c r="C210" s="9">
        <v>46</v>
      </c>
      <c r="D210" s="10" t="s">
        <v>27</v>
      </c>
      <c r="E210" s="11">
        <v>44997</v>
      </c>
      <c r="F210" s="9">
        <v>165</v>
      </c>
      <c r="G210" s="9">
        <v>3.3</v>
      </c>
      <c r="H210" s="9">
        <f>IF(MONTH(Call_Table_Data[[#This Row],[Date of Call]])&lt;=3,YEAR(Call_Table_Data[[#This Row],[Date of Call]]),YEAR(Call_Table_Data[[#This Row],[Date of Call]])+1)</f>
        <v>2023</v>
      </c>
      <c r="I210" s="9" t="str">
        <f>TEXT(Call_Table_Data[[#This Row],[Date of Call]],"DDDD")</f>
        <v>Sunday</v>
      </c>
      <c r="J210" s="9" t="str" cm="1">
        <f t="array" ref="J210">_xlfn.IFS(Call_Table_Data[[#This Row],[Duration]]&lt;=10,"Under 10 Mins",Call_Table_Data[[#This Row],[Duration]]&lt;=30,"10 to 30 Mins",Call_Table_Data[[#This Row],[Duration]]&lt;=60,"30 to 60 Mins",Call_Table_Data[[#This Row],[Duration]]&lt;=120,"1 to 2 Hours",TRUE,"More Than 2 Hours")</f>
        <v>30 to 60 Mins</v>
      </c>
      <c r="K210" s="9">
        <f>ROUND(Call_Table_Data[[#This Row],[Satisfaction Rating]],0)</f>
        <v>3</v>
      </c>
    </row>
    <row r="211" spans="1:11" x14ac:dyDescent="0.3">
      <c r="A211" s="9" t="s">
        <v>248</v>
      </c>
      <c r="B211" s="9" t="s">
        <v>41</v>
      </c>
      <c r="C211" s="9">
        <v>121</v>
      </c>
      <c r="D211" s="10" t="s">
        <v>40</v>
      </c>
      <c r="E211" s="11">
        <v>44998</v>
      </c>
      <c r="F211" s="9">
        <v>32</v>
      </c>
      <c r="G211" s="9">
        <v>3.7</v>
      </c>
      <c r="H211" s="9">
        <f>IF(MONTH(Call_Table_Data[[#This Row],[Date of Call]])&lt;=3,YEAR(Call_Table_Data[[#This Row],[Date of Call]]),YEAR(Call_Table_Data[[#This Row],[Date of Call]])+1)</f>
        <v>2023</v>
      </c>
      <c r="I211" s="9" t="str">
        <f>TEXT(Call_Table_Data[[#This Row],[Date of Call]],"DDDD")</f>
        <v>Monday</v>
      </c>
      <c r="J211" s="9" t="str" cm="1">
        <f t="array" ref="J211">_xlfn.IFS(Call_Table_Data[[#This Row],[Duration]]&lt;=10,"Under 10 Mins",Call_Table_Data[[#This Row],[Duration]]&lt;=30,"10 to 30 Mins",Call_Table_Data[[#This Row],[Duration]]&lt;=60,"30 to 60 Mins",Call_Table_Data[[#This Row],[Duration]]&lt;=120,"1 to 2 Hours",TRUE,"More Than 2 Hours")</f>
        <v>More Than 2 Hours</v>
      </c>
      <c r="K211" s="9">
        <f>ROUND(Call_Table_Data[[#This Row],[Satisfaction Rating]],0)</f>
        <v>4</v>
      </c>
    </row>
    <row r="212" spans="1:11" x14ac:dyDescent="0.3">
      <c r="A212" s="9" t="s">
        <v>249</v>
      </c>
      <c r="B212" s="9" t="s">
        <v>18</v>
      </c>
      <c r="C212" s="9">
        <v>61</v>
      </c>
      <c r="D212" s="10" t="s">
        <v>33</v>
      </c>
      <c r="E212" s="11">
        <v>44998</v>
      </c>
      <c r="F212" s="9">
        <v>160</v>
      </c>
      <c r="G212" s="9">
        <v>4.9000000000000004</v>
      </c>
      <c r="H212" s="9">
        <f>IF(MONTH(Call_Table_Data[[#This Row],[Date of Call]])&lt;=3,YEAR(Call_Table_Data[[#This Row],[Date of Call]]),YEAR(Call_Table_Data[[#This Row],[Date of Call]])+1)</f>
        <v>2023</v>
      </c>
      <c r="I212" s="9" t="str">
        <f>TEXT(Call_Table_Data[[#This Row],[Date of Call]],"DDDD")</f>
        <v>Monday</v>
      </c>
      <c r="J212" s="9" t="str" cm="1">
        <f t="array" ref="J212">_xlfn.IFS(Call_Table_Data[[#This Row],[Duration]]&lt;=10,"Under 10 Mins",Call_Table_Data[[#This Row],[Duration]]&lt;=30,"10 to 30 Mins",Call_Table_Data[[#This Row],[Duration]]&lt;=60,"30 to 60 Mins",Call_Table_Data[[#This Row],[Duration]]&lt;=120,"1 to 2 Hours",TRUE,"More Than 2 Hours")</f>
        <v>1 to 2 Hours</v>
      </c>
      <c r="K212" s="9">
        <f>ROUND(Call_Table_Data[[#This Row],[Satisfaction Rating]],0)</f>
        <v>5</v>
      </c>
    </row>
    <row r="213" spans="1:11" x14ac:dyDescent="0.3">
      <c r="A213" s="9" t="s">
        <v>250</v>
      </c>
      <c r="B213" s="9" t="s">
        <v>49</v>
      </c>
      <c r="C213" s="9">
        <v>144</v>
      </c>
      <c r="D213" s="10" t="s">
        <v>17</v>
      </c>
      <c r="E213" s="11">
        <v>44998</v>
      </c>
      <c r="F213" s="9">
        <v>140</v>
      </c>
      <c r="G213" s="9">
        <v>3.5</v>
      </c>
      <c r="H213" s="9">
        <f>IF(MONTH(Call_Table_Data[[#This Row],[Date of Call]])&lt;=3,YEAR(Call_Table_Data[[#This Row],[Date of Call]]),YEAR(Call_Table_Data[[#This Row],[Date of Call]])+1)</f>
        <v>2023</v>
      </c>
      <c r="I213" s="9" t="str">
        <f>TEXT(Call_Table_Data[[#This Row],[Date of Call]],"DDDD")</f>
        <v>Monday</v>
      </c>
      <c r="J213" s="9" t="str" cm="1">
        <f t="array" ref="J213">_xlfn.IFS(Call_Table_Data[[#This Row],[Duration]]&lt;=10,"Under 10 Mins",Call_Table_Data[[#This Row],[Duration]]&lt;=30,"10 to 30 Mins",Call_Table_Data[[#This Row],[Duration]]&lt;=60,"30 to 60 Mins",Call_Table_Data[[#This Row],[Duration]]&lt;=120,"1 to 2 Hours",TRUE,"More Than 2 Hours")</f>
        <v>More Than 2 Hours</v>
      </c>
      <c r="K213" s="9">
        <f>ROUND(Call_Table_Data[[#This Row],[Satisfaction Rating]],0)</f>
        <v>4</v>
      </c>
    </row>
    <row r="214" spans="1:11" x14ac:dyDescent="0.3">
      <c r="A214" s="9" t="s">
        <v>251</v>
      </c>
      <c r="B214" s="9" t="s">
        <v>50</v>
      </c>
      <c r="C214" s="9">
        <v>145</v>
      </c>
      <c r="D214" s="10" t="s">
        <v>17</v>
      </c>
      <c r="E214" s="11">
        <v>44998</v>
      </c>
      <c r="F214" s="9">
        <v>136</v>
      </c>
      <c r="G214" s="9">
        <v>4.4000000000000004</v>
      </c>
      <c r="H214" s="9">
        <f>IF(MONTH(Call_Table_Data[[#This Row],[Date of Call]])&lt;=3,YEAR(Call_Table_Data[[#This Row],[Date of Call]]),YEAR(Call_Table_Data[[#This Row],[Date of Call]])+1)</f>
        <v>2023</v>
      </c>
      <c r="I214" s="9" t="str">
        <f>TEXT(Call_Table_Data[[#This Row],[Date of Call]],"DDDD")</f>
        <v>Monday</v>
      </c>
      <c r="J214" s="9" t="str" cm="1">
        <f t="array" ref="J214">_xlfn.IFS(Call_Table_Data[[#This Row],[Duration]]&lt;=10,"Under 10 Mins",Call_Table_Data[[#This Row],[Duration]]&lt;=30,"10 to 30 Mins",Call_Table_Data[[#This Row],[Duration]]&lt;=60,"30 to 60 Mins",Call_Table_Data[[#This Row],[Duration]]&lt;=120,"1 to 2 Hours",TRUE,"More Than 2 Hours")</f>
        <v>More Than 2 Hours</v>
      </c>
      <c r="K214" s="9">
        <f>ROUND(Call_Table_Data[[#This Row],[Satisfaction Rating]],0)</f>
        <v>4</v>
      </c>
    </row>
    <row r="215" spans="1:11" x14ac:dyDescent="0.3">
      <c r="A215" s="9" t="s">
        <v>252</v>
      </c>
      <c r="B215" s="9" t="s">
        <v>26</v>
      </c>
      <c r="C215" s="9">
        <v>85</v>
      </c>
      <c r="D215" s="10" t="s">
        <v>46</v>
      </c>
      <c r="E215" s="11">
        <v>44998</v>
      </c>
      <c r="F215" s="9">
        <v>66</v>
      </c>
      <c r="G215" s="9">
        <v>2.8</v>
      </c>
      <c r="H215" s="9">
        <f>IF(MONTH(Call_Table_Data[[#This Row],[Date of Call]])&lt;=3,YEAR(Call_Table_Data[[#This Row],[Date of Call]]),YEAR(Call_Table_Data[[#This Row],[Date of Call]])+1)</f>
        <v>2023</v>
      </c>
      <c r="I215" s="9" t="str">
        <f>TEXT(Call_Table_Data[[#This Row],[Date of Call]],"DDDD")</f>
        <v>Monday</v>
      </c>
      <c r="J215" s="9" t="str" cm="1">
        <f t="array" ref="J215">_xlfn.IFS(Call_Table_Data[[#This Row],[Duration]]&lt;=10,"Under 10 Mins",Call_Table_Data[[#This Row],[Duration]]&lt;=30,"10 to 30 Mins",Call_Table_Data[[#This Row],[Duration]]&lt;=60,"30 to 60 Mins",Call_Table_Data[[#This Row],[Duration]]&lt;=120,"1 to 2 Hours",TRUE,"More Than 2 Hours")</f>
        <v>1 to 2 Hours</v>
      </c>
      <c r="K215" s="9">
        <f>ROUND(Call_Table_Data[[#This Row],[Satisfaction Rating]],0)</f>
        <v>3</v>
      </c>
    </row>
    <row r="216" spans="1:11" x14ac:dyDescent="0.3">
      <c r="A216" s="9" t="s">
        <v>253</v>
      </c>
      <c r="B216" s="9" t="s">
        <v>50</v>
      </c>
      <c r="C216" s="9">
        <v>13</v>
      </c>
      <c r="D216" s="10" t="s">
        <v>33</v>
      </c>
      <c r="E216" s="11">
        <v>44999</v>
      </c>
      <c r="F216" s="9">
        <v>63</v>
      </c>
      <c r="G216" s="9">
        <v>4.0999999999999996</v>
      </c>
      <c r="H216" s="9">
        <f>IF(MONTH(Call_Table_Data[[#This Row],[Date of Call]])&lt;=3,YEAR(Call_Table_Data[[#This Row],[Date of Call]]),YEAR(Call_Table_Data[[#This Row],[Date of Call]])+1)</f>
        <v>2023</v>
      </c>
      <c r="I216" s="9" t="str">
        <f>TEXT(Call_Table_Data[[#This Row],[Date of Call]],"DDDD")</f>
        <v>Tuesday</v>
      </c>
      <c r="J216" s="9" t="str" cm="1">
        <f t="array" ref="J216">_xlfn.IFS(Call_Table_Data[[#This Row],[Duration]]&lt;=10,"Under 10 Mins",Call_Table_Data[[#This Row],[Duration]]&lt;=30,"10 to 30 Mins",Call_Table_Data[[#This Row],[Duration]]&lt;=60,"30 to 60 Mins",Call_Table_Data[[#This Row],[Duration]]&lt;=120,"1 to 2 Hours",TRUE,"More Than 2 Hours")</f>
        <v>10 to 30 Mins</v>
      </c>
      <c r="K216" s="9">
        <f>ROUND(Call_Table_Data[[#This Row],[Satisfaction Rating]],0)</f>
        <v>4</v>
      </c>
    </row>
    <row r="217" spans="1:11" x14ac:dyDescent="0.3">
      <c r="A217" s="9" t="s">
        <v>254</v>
      </c>
      <c r="B217" s="9" t="s">
        <v>16</v>
      </c>
      <c r="C217" s="9">
        <v>142</v>
      </c>
      <c r="D217" s="10" t="s">
        <v>40</v>
      </c>
      <c r="E217" s="11">
        <v>44999</v>
      </c>
      <c r="F217" s="9">
        <v>44</v>
      </c>
      <c r="G217" s="9">
        <v>3.5</v>
      </c>
      <c r="H217" s="9">
        <f>IF(MONTH(Call_Table_Data[[#This Row],[Date of Call]])&lt;=3,YEAR(Call_Table_Data[[#This Row],[Date of Call]]),YEAR(Call_Table_Data[[#This Row],[Date of Call]])+1)</f>
        <v>2023</v>
      </c>
      <c r="I217" s="9" t="str">
        <f>TEXT(Call_Table_Data[[#This Row],[Date of Call]],"DDDD")</f>
        <v>Tuesday</v>
      </c>
      <c r="J217" s="9" t="str" cm="1">
        <f t="array" ref="J217">_xlfn.IFS(Call_Table_Data[[#This Row],[Duration]]&lt;=10,"Under 10 Mins",Call_Table_Data[[#This Row],[Duration]]&lt;=30,"10 to 30 Mins",Call_Table_Data[[#This Row],[Duration]]&lt;=60,"30 to 60 Mins",Call_Table_Data[[#This Row],[Duration]]&lt;=120,"1 to 2 Hours",TRUE,"More Than 2 Hours")</f>
        <v>More Than 2 Hours</v>
      </c>
      <c r="K217" s="9">
        <f>ROUND(Call_Table_Data[[#This Row],[Satisfaction Rating]],0)</f>
        <v>4</v>
      </c>
    </row>
    <row r="218" spans="1:11" x14ac:dyDescent="0.3">
      <c r="A218" s="9" t="s">
        <v>255</v>
      </c>
      <c r="B218" s="9" t="s">
        <v>49</v>
      </c>
      <c r="C218" s="9">
        <v>28</v>
      </c>
      <c r="D218" s="10" t="s">
        <v>27</v>
      </c>
      <c r="E218" s="11">
        <v>44999</v>
      </c>
      <c r="F218" s="9">
        <v>78</v>
      </c>
      <c r="G218" s="9">
        <v>3.8</v>
      </c>
      <c r="H218" s="9">
        <f>IF(MONTH(Call_Table_Data[[#This Row],[Date of Call]])&lt;=3,YEAR(Call_Table_Data[[#This Row],[Date of Call]]),YEAR(Call_Table_Data[[#This Row],[Date of Call]])+1)</f>
        <v>2023</v>
      </c>
      <c r="I218" s="9" t="str">
        <f>TEXT(Call_Table_Data[[#This Row],[Date of Call]],"DDDD")</f>
        <v>Tuesday</v>
      </c>
      <c r="J218" s="9" t="str" cm="1">
        <f t="array" ref="J218">_xlfn.IFS(Call_Table_Data[[#This Row],[Duration]]&lt;=10,"Under 10 Mins",Call_Table_Data[[#This Row],[Duration]]&lt;=30,"10 to 30 Mins",Call_Table_Data[[#This Row],[Duration]]&lt;=60,"30 to 60 Mins",Call_Table_Data[[#This Row],[Duration]]&lt;=120,"1 to 2 Hours",TRUE,"More Than 2 Hours")</f>
        <v>10 to 30 Mins</v>
      </c>
      <c r="K218" s="9">
        <f>ROUND(Call_Table_Data[[#This Row],[Satisfaction Rating]],0)</f>
        <v>4</v>
      </c>
    </row>
    <row r="219" spans="1:11" x14ac:dyDescent="0.3">
      <c r="A219" s="9" t="s">
        <v>256</v>
      </c>
      <c r="B219" s="9" t="s">
        <v>49</v>
      </c>
      <c r="C219" s="9">
        <v>119</v>
      </c>
      <c r="D219" s="10" t="s">
        <v>40</v>
      </c>
      <c r="E219" s="11">
        <v>44999</v>
      </c>
      <c r="F219" s="9">
        <v>20</v>
      </c>
      <c r="G219" s="9">
        <v>3.9</v>
      </c>
      <c r="H219" s="9">
        <f>IF(MONTH(Call_Table_Data[[#This Row],[Date of Call]])&lt;=3,YEAR(Call_Table_Data[[#This Row],[Date of Call]]),YEAR(Call_Table_Data[[#This Row],[Date of Call]])+1)</f>
        <v>2023</v>
      </c>
      <c r="I219" s="9" t="str">
        <f>TEXT(Call_Table_Data[[#This Row],[Date of Call]],"DDDD")</f>
        <v>Tuesday</v>
      </c>
      <c r="J219" s="9" t="str" cm="1">
        <f t="array" ref="J219">_xlfn.IFS(Call_Table_Data[[#This Row],[Duration]]&lt;=10,"Under 10 Mins",Call_Table_Data[[#This Row],[Duration]]&lt;=30,"10 to 30 Mins",Call_Table_Data[[#This Row],[Duration]]&lt;=60,"30 to 60 Mins",Call_Table_Data[[#This Row],[Duration]]&lt;=120,"1 to 2 Hours",TRUE,"More Than 2 Hours")</f>
        <v>1 to 2 Hours</v>
      </c>
      <c r="K219" s="9">
        <f>ROUND(Call_Table_Data[[#This Row],[Satisfaction Rating]],0)</f>
        <v>4</v>
      </c>
    </row>
    <row r="220" spans="1:11" x14ac:dyDescent="0.3">
      <c r="A220" s="9" t="s">
        <v>257</v>
      </c>
      <c r="B220" s="9" t="s">
        <v>41</v>
      </c>
      <c r="C220" s="9">
        <v>65</v>
      </c>
      <c r="D220" s="10" t="s">
        <v>46</v>
      </c>
      <c r="E220" s="11">
        <v>44999</v>
      </c>
      <c r="F220" s="9">
        <v>84</v>
      </c>
      <c r="G220" s="9">
        <v>2.5</v>
      </c>
      <c r="H220" s="9">
        <f>IF(MONTH(Call_Table_Data[[#This Row],[Date of Call]])&lt;=3,YEAR(Call_Table_Data[[#This Row],[Date of Call]]),YEAR(Call_Table_Data[[#This Row],[Date of Call]])+1)</f>
        <v>2023</v>
      </c>
      <c r="I220" s="9" t="str">
        <f>TEXT(Call_Table_Data[[#This Row],[Date of Call]],"DDDD")</f>
        <v>Tuesday</v>
      </c>
      <c r="J220" s="9" t="str" cm="1">
        <f t="array" ref="J220">_xlfn.IFS(Call_Table_Data[[#This Row],[Duration]]&lt;=10,"Under 10 Mins",Call_Table_Data[[#This Row],[Duration]]&lt;=30,"10 to 30 Mins",Call_Table_Data[[#This Row],[Duration]]&lt;=60,"30 to 60 Mins",Call_Table_Data[[#This Row],[Duration]]&lt;=120,"1 to 2 Hours",TRUE,"More Than 2 Hours")</f>
        <v>1 to 2 Hours</v>
      </c>
      <c r="K220" s="9">
        <f>ROUND(Call_Table_Data[[#This Row],[Satisfaction Rating]],0)</f>
        <v>3</v>
      </c>
    </row>
    <row r="221" spans="1:11" x14ac:dyDescent="0.3">
      <c r="A221" s="9" t="s">
        <v>258</v>
      </c>
      <c r="B221" s="9" t="s">
        <v>23</v>
      </c>
      <c r="C221" s="9">
        <v>68</v>
      </c>
      <c r="D221" s="10" t="s">
        <v>46</v>
      </c>
      <c r="E221" s="11">
        <v>44999</v>
      </c>
      <c r="F221" s="9">
        <v>32</v>
      </c>
      <c r="G221" s="9">
        <v>4.9000000000000004</v>
      </c>
      <c r="H221" s="9">
        <f>IF(MONTH(Call_Table_Data[[#This Row],[Date of Call]])&lt;=3,YEAR(Call_Table_Data[[#This Row],[Date of Call]]),YEAR(Call_Table_Data[[#This Row],[Date of Call]])+1)</f>
        <v>2023</v>
      </c>
      <c r="I221" s="9" t="str">
        <f>TEXT(Call_Table_Data[[#This Row],[Date of Call]],"DDDD")</f>
        <v>Tuesday</v>
      </c>
      <c r="J221" s="9" t="str" cm="1">
        <f t="array" ref="J221">_xlfn.IFS(Call_Table_Data[[#This Row],[Duration]]&lt;=10,"Under 10 Mins",Call_Table_Data[[#This Row],[Duration]]&lt;=30,"10 to 30 Mins",Call_Table_Data[[#This Row],[Duration]]&lt;=60,"30 to 60 Mins",Call_Table_Data[[#This Row],[Duration]]&lt;=120,"1 to 2 Hours",TRUE,"More Than 2 Hours")</f>
        <v>1 to 2 Hours</v>
      </c>
      <c r="K221" s="9">
        <f>ROUND(Call_Table_Data[[#This Row],[Satisfaction Rating]],0)</f>
        <v>5</v>
      </c>
    </row>
    <row r="222" spans="1:11" x14ac:dyDescent="0.3">
      <c r="A222" s="9" t="s">
        <v>259</v>
      </c>
      <c r="B222" s="9" t="s">
        <v>43</v>
      </c>
      <c r="C222" s="9">
        <v>72</v>
      </c>
      <c r="D222" s="10" t="s">
        <v>27</v>
      </c>
      <c r="E222" s="11">
        <v>44999</v>
      </c>
      <c r="F222" s="9">
        <v>132</v>
      </c>
      <c r="G222" s="9">
        <v>3.4</v>
      </c>
      <c r="H222" s="9">
        <f>IF(MONTH(Call_Table_Data[[#This Row],[Date of Call]])&lt;=3,YEAR(Call_Table_Data[[#This Row],[Date of Call]]),YEAR(Call_Table_Data[[#This Row],[Date of Call]])+1)</f>
        <v>2023</v>
      </c>
      <c r="I222" s="9" t="str">
        <f>TEXT(Call_Table_Data[[#This Row],[Date of Call]],"DDDD")</f>
        <v>Tuesday</v>
      </c>
      <c r="J222" s="9" t="str" cm="1">
        <f t="array" ref="J222">_xlfn.IFS(Call_Table_Data[[#This Row],[Duration]]&lt;=10,"Under 10 Mins",Call_Table_Data[[#This Row],[Duration]]&lt;=30,"10 to 30 Mins",Call_Table_Data[[#This Row],[Duration]]&lt;=60,"30 to 60 Mins",Call_Table_Data[[#This Row],[Duration]]&lt;=120,"1 to 2 Hours",TRUE,"More Than 2 Hours")</f>
        <v>1 to 2 Hours</v>
      </c>
      <c r="K222" s="9">
        <f>ROUND(Call_Table_Data[[#This Row],[Satisfaction Rating]],0)</f>
        <v>3</v>
      </c>
    </row>
    <row r="223" spans="1:11" x14ac:dyDescent="0.3">
      <c r="A223" s="9" t="s">
        <v>260</v>
      </c>
      <c r="B223" s="9" t="s">
        <v>43</v>
      </c>
      <c r="C223" s="9">
        <v>63</v>
      </c>
      <c r="D223" s="10" t="s">
        <v>17</v>
      </c>
      <c r="E223" s="11">
        <v>44999</v>
      </c>
      <c r="F223" s="9">
        <v>105</v>
      </c>
      <c r="G223" s="9">
        <v>3.3</v>
      </c>
      <c r="H223" s="9">
        <f>IF(MONTH(Call_Table_Data[[#This Row],[Date of Call]])&lt;=3,YEAR(Call_Table_Data[[#This Row],[Date of Call]]),YEAR(Call_Table_Data[[#This Row],[Date of Call]])+1)</f>
        <v>2023</v>
      </c>
      <c r="I223" s="9" t="str">
        <f>TEXT(Call_Table_Data[[#This Row],[Date of Call]],"DDDD")</f>
        <v>Tuesday</v>
      </c>
      <c r="J223" s="9" t="str" cm="1">
        <f t="array" ref="J223">_xlfn.IFS(Call_Table_Data[[#This Row],[Duration]]&lt;=10,"Under 10 Mins",Call_Table_Data[[#This Row],[Duration]]&lt;=30,"10 to 30 Mins",Call_Table_Data[[#This Row],[Duration]]&lt;=60,"30 to 60 Mins",Call_Table_Data[[#This Row],[Duration]]&lt;=120,"1 to 2 Hours",TRUE,"More Than 2 Hours")</f>
        <v>1 to 2 Hours</v>
      </c>
      <c r="K223" s="9">
        <f>ROUND(Call_Table_Data[[#This Row],[Satisfaction Rating]],0)</f>
        <v>3</v>
      </c>
    </row>
    <row r="224" spans="1:11" x14ac:dyDescent="0.3">
      <c r="A224" s="9" t="s">
        <v>261</v>
      </c>
      <c r="B224" s="9" t="s">
        <v>22</v>
      </c>
      <c r="C224" s="9">
        <v>139</v>
      </c>
      <c r="D224" s="10" t="s">
        <v>40</v>
      </c>
      <c r="E224" s="11">
        <v>45000</v>
      </c>
      <c r="F224" s="9">
        <v>48</v>
      </c>
      <c r="G224" s="9">
        <v>4.7</v>
      </c>
      <c r="H224" s="9">
        <f>IF(MONTH(Call_Table_Data[[#This Row],[Date of Call]])&lt;=3,YEAR(Call_Table_Data[[#This Row],[Date of Call]]),YEAR(Call_Table_Data[[#This Row],[Date of Call]])+1)</f>
        <v>2023</v>
      </c>
      <c r="I224" s="9" t="str">
        <f>TEXT(Call_Table_Data[[#This Row],[Date of Call]],"DDDD")</f>
        <v>Wednesday</v>
      </c>
      <c r="J224" s="9" t="str" cm="1">
        <f t="array" ref="J224">_xlfn.IFS(Call_Table_Data[[#This Row],[Duration]]&lt;=10,"Under 10 Mins",Call_Table_Data[[#This Row],[Duration]]&lt;=30,"10 to 30 Mins",Call_Table_Data[[#This Row],[Duration]]&lt;=60,"30 to 60 Mins",Call_Table_Data[[#This Row],[Duration]]&lt;=120,"1 to 2 Hours",TRUE,"More Than 2 Hours")</f>
        <v>More Than 2 Hours</v>
      </c>
      <c r="K224" s="9">
        <f>ROUND(Call_Table_Data[[#This Row],[Satisfaction Rating]],0)</f>
        <v>5</v>
      </c>
    </row>
    <row r="225" spans="1:11" x14ac:dyDescent="0.3">
      <c r="A225" s="9" t="s">
        <v>262</v>
      </c>
      <c r="B225" s="9" t="s">
        <v>49</v>
      </c>
      <c r="C225" s="9">
        <v>59</v>
      </c>
      <c r="D225" s="10" t="s">
        <v>40</v>
      </c>
      <c r="E225" s="11">
        <v>45000</v>
      </c>
      <c r="F225" s="9">
        <v>64</v>
      </c>
      <c r="G225" s="9">
        <v>4</v>
      </c>
      <c r="H225" s="9">
        <f>IF(MONTH(Call_Table_Data[[#This Row],[Date of Call]])&lt;=3,YEAR(Call_Table_Data[[#This Row],[Date of Call]]),YEAR(Call_Table_Data[[#This Row],[Date of Call]])+1)</f>
        <v>2023</v>
      </c>
      <c r="I225" s="9" t="str">
        <f>TEXT(Call_Table_Data[[#This Row],[Date of Call]],"DDDD")</f>
        <v>Wednesday</v>
      </c>
      <c r="J225" s="9" t="str" cm="1">
        <f t="array" ref="J225">_xlfn.IFS(Call_Table_Data[[#This Row],[Duration]]&lt;=10,"Under 10 Mins",Call_Table_Data[[#This Row],[Duration]]&lt;=30,"10 to 30 Mins",Call_Table_Data[[#This Row],[Duration]]&lt;=60,"30 to 60 Mins",Call_Table_Data[[#This Row],[Duration]]&lt;=120,"1 to 2 Hours",TRUE,"More Than 2 Hours")</f>
        <v>30 to 60 Mins</v>
      </c>
      <c r="K225" s="9">
        <f>ROUND(Call_Table_Data[[#This Row],[Satisfaction Rating]],0)</f>
        <v>4</v>
      </c>
    </row>
    <row r="226" spans="1:11" x14ac:dyDescent="0.3">
      <c r="A226" s="9" t="s">
        <v>263</v>
      </c>
      <c r="B226" s="9" t="s">
        <v>35</v>
      </c>
      <c r="C226" s="9">
        <v>138</v>
      </c>
      <c r="D226" s="10" t="s">
        <v>17</v>
      </c>
      <c r="E226" s="11">
        <v>45000</v>
      </c>
      <c r="F226" s="9">
        <v>44</v>
      </c>
      <c r="G226" s="9">
        <v>3.8</v>
      </c>
      <c r="H226" s="9">
        <f>IF(MONTH(Call_Table_Data[[#This Row],[Date of Call]])&lt;=3,YEAR(Call_Table_Data[[#This Row],[Date of Call]]),YEAR(Call_Table_Data[[#This Row],[Date of Call]])+1)</f>
        <v>2023</v>
      </c>
      <c r="I226" s="9" t="str">
        <f>TEXT(Call_Table_Data[[#This Row],[Date of Call]],"DDDD")</f>
        <v>Wednesday</v>
      </c>
      <c r="J226" s="9" t="str" cm="1">
        <f t="array" ref="J226">_xlfn.IFS(Call_Table_Data[[#This Row],[Duration]]&lt;=10,"Under 10 Mins",Call_Table_Data[[#This Row],[Duration]]&lt;=30,"10 to 30 Mins",Call_Table_Data[[#This Row],[Duration]]&lt;=60,"30 to 60 Mins",Call_Table_Data[[#This Row],[Duration]]&lt;=120,"1 to 2 Hours",TRUE,"More Than 2 Hours")</f>
        <v>More Than 2 Hours</v>
      </c>
      <c r="K226" s="9">
        <f>ROUND(Call_Table_Data[[#This Row],[Satisfaction Rating]],0)</f>
        <v>4</v>
      </c>
    </row>
    <row r="227" spans="1:11" x14ac:dyDescent="0.3">
      <c r="A227" s="9" t="s">
        <v>264</v>
      </c>
      <c r="B227" s="9" t="s">
        <v>22</v>
      </c>
      <c r="C227" s="9">
        <v>47</v>
      </c>
      <c r="D227" s="10" t="s">
        <v>27</v>
      </c>
      <c r="E227" s="11">
        <v>45000</v>
      </c>
      <c r="F227" s="9">
        <v>120</v>
      </c>
      <c r="G227" s="9">
        <v>3.1</v>
      </c>
      <c r="H227" s="9">
        <f>IF(MONTH(Call_Table_Data[[#This Row],[Date of Call]])&lt;=3,YEAR(Call_Table_Data[[#This Row],[Date of Call]]),YEAR(Call_Table_Data[[#This Row],[Date of Call]])+1)</f>
        <v>2023</v>
      </c>
      <c r="I227" s="9" t="str">
        <f>TEXT(Call_Table_Data[[#This Row],[Date of Call]],"DDDD")</f>
        <v>Wednesday</v>
      </c>
      <c r="J227" s="9" t="str" cm="1">
        <f t="array" ref="J227">_xlfn.IFS(Call_Table_Data[[#This Row],[Duration]]&lt;=10,"Under 10 Mins",Call_Table_Data[[#This Row],[Duration]]&lt;=30,"10 to 30 Mins",Call_Table_Data[[#This Row],[Duration]]&lt;=60,"30 to 60 Mins",Call_Table_Data[[#This Row],[Duration]]&lt;=120,"1 to 2 Hours",TRUE,"More Than 2 Hours")</f>
        <v>30 to 60 Mins</v>
      </c>
      <c r="K227" s="9">
        <f>ROUND(Call_Table_Data[[#This Row],[Satisfaction Rating]],0)</f>
        <v>3</v>
      </c>
    </row>
    <row r="228" spans="1:11" x14ac:dyDescent="0.3">
      <c r="A228" s="9" t="s">
        <v>265</v>
      </c>
      <c r="B228" s="9" t="s">
        <v>35</v>
      </c>
      <c r="C228" s="9">
        <v>74</v>
      </c>
      <c r="D228" s="10" t="s">
        <v>27</v>
      </c>
      <c r="E228" s="11">
        <v>45000</v>
      </c>
      <c r="F228" s="9">
        <v>144</v>
      </c>
      <c r="G228" s="9">
        <v>4.8</v>
      </c>
      <c r="H228" s="9">
        <f>IF(MONTH(Call_Table_Data[[#This Row],[Date of Call]])&lt;=3,YEAR(Call_Table_Data[[#This Row],[Date of Call]]),YEAR(Call_Table_Data[[#This Row],[Date of Call]])+1)</f>
        <v>2023</v>
      </c>
      <c r="I228" s="9" t="str">
        <f>TEXT(Call_Table_Data[[#This Row],[Date of Call]],"DDDD")</f>
        <v>Wednesday</v>
      </c>
      <c r="J228" s="9" t="str" cm="1">
        <f t="array" ref="J228">_xlfn.IFS(Call_Table_Data[[#This Row],[Duration]]&lt;=10,"Under 10 Mins",Call_Table_Data[[#This Row],[Duration]]&lt;=30,"10 to 30 Mins",Call_Table_Data[[#This Row],[Duration]]&lt;=60,"30 to 60 Mins",Call_Table_Data[[#This Row],[Duration]]&lt;=120,"1 to 2 Hours",TRUE,"More Than 2 Hours")</f>
        <v>1 to 2 Hours</v>
      </c>
      <c r="K228" s="9">
        <f>ROUND(Call_Table_Data[[#This Row],[Satisfaction Rating]],0)</f>
        <v>5</v>
      </c>
    </row>
    <row r="229" spans="1:11" x14ac:dyDescent="0.3">
      <c r="A229" s="9" t="s">
        <v>266</v>
      </c>
      <c r="B229" s="9" t="s">
        <v>43</v>
      </c>
      <c r="C229" s="9">
        <v>65</v>
      </c>
      <c r="D229" s="10" t="s">
        <v>27</v>
      </c>
      <c r="E229" s="11">
        <v>45000</v>
      </c>
      <c r="F229" s="9">
        <v>87</v>
      </c>
      <c r="G229" s="9">
        <v>2.7</v>
      </c>
      <c r="H229" s="9">
        <f>IF(MONTH(Call_Table_Data[[#This Row],[Date of Call]])&lt;=3,YEAR(Call_Table_Data[[#This Row],[Date of Call]]),YEAR(Call_Table_Data[[#This Row],[Date of Call]])+1)</f>
        <v>2023</v>
      </c>
      <c r="I229" s="9" t="str">
        <f>TEXT(Call_Table_Data[[#This Row],[Date of Call]],"DDDD")</f>
        <v>Wednesday</v>
      </c>
      <c r="J229" s="9" t="str" cm="1">
        <f t="array" ref="J229">_xlfn.IFS(Call_Table_Data[[#This Row],[Duration]]&lt;=10,"Under 10 Mins",Call_Table_Data[[#This Row],[Duration]]&lt;=30,"10 to 30 Mins",Call_Table_Data[[#This Row],[Duration]]&lt;=60,"30 to 60 Mins",Call_Table_Data[[#This Row],[Duration]]&lt;=120,"1 to 2 Hours",TRUE,"More Than 2 Hours")</f>
        <v>1 to 2 Hours</v>
      </c>
      <c r="K229" s="9">
        <f>ROUND(Call_Table_Data[[#This Row],[Satisfaction Rating]],0)</f>
        <v>3</v>
      </c>
    </row>
    <row r="230" spans="1:11" x14ac:dyDescent="0.3">
      <c r="A230" s="9" t="s">
        <v>267</v>
      </c>
      <c r="B230" s="9" t="s">
        <v>32</v>
      </c>
      <c r="C230" s="9">
        <v>123</v>
      </c>
      <c r="D230" s="10" t="s">
        <v>46</v>
      </c>
      <c r="E230" s="11">
        <v>45000</v>
      </c>
      <c r="F230" s="9">
        <v>36</v>
      </c>
      <c r="G230" s="9">
        <v>3.6</v>
      </c>
      <c r="H230" s="9">
        <f>IF(MONTH(Call_Table_Data[[#This Row],[Date of Call]])&lt;=3,YEAR(Call_Table_Data[[#This Row],[Date of Call]]),YEAR(Call_Table_Data[[#This Row],[Date of Call]])+1)</f>
        <v>2023</v>
      </c>
      <c r="I230" s="9" t="str">
        <f>TEXT(Call_Table_Data[[#This Row],[Date of Call]],"DDDD")</f>
        <v>Wednesday</v>
      </c>
      <c r="J230" s="9" t="str" cm="1">
        <f t="array" ref="J230">_xlfn.IFS(Call_Table_Data[[#This Row],[Duration]]&lt;=10,"Under 10 Mins",Call_Table_Data[[#This Row],[Duration]]&lt;=30,"10 to 30 Mins",Call_Table_Data[[#This Row],[Duration]]&lt;=60,"30 to 60 Mins",Call_Table_Data[[#This Row],[Duration]]&lt;=120,"1 to 2 Hours",TRUE,"More Than 2 Hours")</f>
        <v>More Than 2 Hours</v>
      </c>
      <c r="K230" s="9">
        <f>ROUND(Call_Table_Data[[#This Row],[Satisfaction Rating]],0)</f>
        <v>4</v>
      </c>
    </row>
    <row r="231" spans="1:11" x14ac:dyDescent="0.3">
      <c r="A231" s="9" t="s">
        <v>268</v>
      </c>
      <c r="B231" s="9" t="s">
        <v>43</v>
      </c>
      <c r="C231" s="9">
        <v>90</v>
      </c>
      <c r="D231" s="10" t="s">
        <v>40</v>
      </c>
      <c r="E231" s="11">
        <v>45001</v>
      </c>
      <c r="F231" s="9">
        <v>72</v>
      </c>
      <c r="G231" s="9">
        <v>4.7</v>
      </c>
      <c r="H231" s="9">
        <f>IF(MONTH(Call_Table_Data[[#This Row],[Date of Call]])&lt;=3,YEAR(Call_Table_Data[[#This Row],[Date of Call]]),YEAR(Call_Table_Data[[#This Row],[Date of Call]])+1)</f>
        <v>2023</v>
      </c>
      <c r="I231" s="9" t="str">
        <f>TEXT(Call_Table_Data[[#This Row],[Date of Call]],"DDDD")</f>
        <v>Thursday</v>
      </c>
      <c r="J231" s="9" t="str" cm="1">
        <f t="array" ref="J231">_xlfn.IFS(Call_Table_Data[[#This Row],[Duration]]&lt;=10,"Under 10 Mins",Call_Table_Data[[#This Row],[Duration]]&lt;=30,"10 to 30 Mins",Call_Table_Data[[#This Row],[Duration]]&lt;=60,"30 to 60 Mins",Call_Table_Data[[#This Row],[Duration]]&lt;=120,"1 to 2 Hours",TRUE,"More Than 2 Hours")</f>
        <v>1 to 2 Hours</v>
      </c>
      <c r="K231" s="9">
        <f>ROUND(Call_Table_Data[[#This Row],[Satisfaction Rating]],0)</f>
        <v>5</v>
      </c>
    </row>
    <row r="232" spans="1:11" x14ac:dyDescent="0.3">
      <c r="A232" s="9" t="s">
        <v>269</v>
      </c>
      <c r="B232" s="9" t="s">
        <v>18</v>
      </c>
      <c r="C232" s="9">
        <v>127</v>
      </c>
      <c r="D232" s="10" t="s">
        <v>17</v>
      </c>
      <c r="E232" s="11">
        <v>45001</v>
      </c>
      <c r="F232" s="9">
        <v>150</v>
      </c>
      <c r="G232" s="9">
        <v>4.4000000000000004</v>
      </c>
      <c r="H232" s="9">
        <f>IF(MONTH(Call_Table_Data[[#This Row],[Date of Call]])&lt;=3,YEAR(Call_Table_Data[[#This Row],[Date of Call]]),YEAR(Call_Table_Data[[#This Row],[Date of Call]])+1)</f>
        <v>2023</v>
      </c>
      <c r="I232" s="9" t="str">
        <f>TEXT(Call_Table_Data[[#This Row],[Date of Call]],"DDDD")</f>
        <v>Thursday</v>
      </c>
      <c r="J232" s="9" t="str" cm="1">
        <f t="array" ref="J232">_xlfn.IFS(Call_Table_Data[[#This Row],[Duration]]&lt;=10,"Under 10 Mins",Call_Table_Data[[#This Row],[Duration]]&lt;=30,"10 to 30 Mins",Call_Table_Data[[#This Row],[Duration]]&lt;=60,"30 to 60 Mins",Call_Table_Data[[#This Row],[Duration]]&lt;=120,"1 to 2 Hours",TRUE,"More Than 2 Hours")</f>
        <v>More Than 2 Hours</v>
      </c>
      <c r="K232" s="9">
        <f>ROUND(Call_Table_Data[[#This Row],[Satisfaction Rating]],0)</f>
        <v>4</v>
      </c>
    </row>
    <row r="233" spans="1:11" x14ac:dyDescent="0.3">
      <c r="A233" s="9" t="s">
        <v>270</v>
      </c>
      <c r="B233" s="9" t="s">
        <v>30</v>
      </c>
      <c r="C233" s="9">
        <v>60</v>
      </c>
      <c r="D233" s="10" t="s">
        <v>27</v>
      </c>
      <c r="E233" s="11">
        <v>45001</v>
      </c>
      <c r="F233" s="9">
        <v>68</v>
      </c>
      <c r="G233" s="9">
        <v>4.3</v>
      </c>
      <c r="H233" s="9">
        <f>IF(MONTH(Call_Table_Data[[#This Row],[Date of Call]])&lt;=3,YEAR(Call_Table_Data[[#This Row],[Date of Call]]),YEAR(Call_Table_Data[[#This Row],[Date of Call]])+1)</f>
        <v>2023</v>
      </c>
      <c r="I233" s="9" t="str">
        <f>TEXT(Call_Table_Data[[#This Row],[Date of Call]],"DDDD")</f>
        <v>Thursday</v>
      </c>
      <c r="J233" s="9" t="str" cm="1">
        <f t="array" ref="J233">_xlfn.IFS(Call_Table_Data[[#This Row],[Duration]]&lt;=10,"Under 10 Mins",Call_Table_Data[[#This Row],[Duration]]&lt;=30,"10 to 30 Mins",Call_Table_Data[[#This Row],[Duration]]&lt;=60,"30 to 60 Mins",Call_Table_Data[[#This Row],[Duration]]&lt;=120,"1 to 2 Hours",TRUE,"More Than 2 Hours")</f>
        <v>30 to 60 Mins</v>
      </c>
      <c r="K233" s="9">
        <f>ROUND(Call_Table_Data[[#This Row],[Satisfaction Rating]],0)</f>
        <v>4</v>
      </c>
    </row>
    <row r="234" spans="1:11" x14ac:dyDescent="0.3">
      <c r="A234" s="9" t="s">
        <v>271</v>
      </c>
      <c r="B234" s="9" t="s">
        <v>22</v>
      </c>
      <c r="C234" s="9">
        <v>94</v>
      </c>
      <c r="D234" s="10" t="s">
        <v>17</v>
      </c>
      <c r="E234" s="11">
        <v>45001</v>
      </c>
      <c r="F234" s="9">
        <v>99</v>
      </c>
      <c r="G234" s="9">
        <v>4.9000000000000004</v>
      </c>
      <c r="H234" s="9">
        <f>IF(MONTH(Call_Table_Data[[#This Row],[Date of Call]])&lt;=3,YEAR(Call_Table_Data[[#This Row],[Date of Call]]),YEAR(Call_Table_Data[[#This Row],[Date of Call]])+1)</f>
        <v>2023</v>
      </c>
      <c r="I234" s="9" t="str">
        <f>TEXT(Call_Table_Data[[#This Row],[Date of Call]],"DDDD")</f>
        <v>Thursday</v>
      </c>
      <c r="J234" s="9" t="str" cm="1">
        <f t="array" ref="J234">_xlfn.IFS(Call_Table_Data[[#This Row],[Duration]]&lt;=10,"Under 10 Mins",Call_Table_Data[[#This Row],[Duration]]&lt;=30,"10 to 30 Mins",Call_Table_Data[[#This Row],[Duration]]&lt;=60,"30 to 60 Mins",Call_Table_Data[[#This Row],[Duration]]&lt;=120,"1 to 2 Hours",TRUE,"More Than 2 Hours")</f>
        <v>1 to 2 Hours</v>
      </c>
      <c r="K234" s="9">
        <f>ROUND(Call_Table_Data[[#This Row],[Satisfaction Rating]],0)</f>
        <v>5</v>
      </c>
    </row>
    <row r="235" spans="1:11" x14ac:dyDescent="0.3">
      <c r="A235" s="9" t="s">
        <v>272</v>
      </c>
      <c r="B235" s="9" t="s">
        <v>32</v>
      </c>
      <c r="C235" s="9">
        <v>54</v>
      </c>
      <c r="D235" s="10" t="s">
        <v>27</v>
      </c>
      <c r="E235" s="11">
        <v>45001</v>
      </c>
      <c r="F235" s="9">
        <v>26</v>
      </c>
      <c r="G235" s="9">
        <v>4.8</v>
      </c>
      <c r="H235" s="9">
        <f>IF(MONTH(Call_Table_Data[[#This Row],[Date of Call]])&lt;=3,YEAR(Call_Table_Data[[#This Row],[Date of Call]]),YEAR(Call_Table_Data[[#This Row],[Date of Call]])+1)</f>
        <v>2023</v>
      </c>
      <c r="I235" s="9" t="str">
        <f>TEXT(Call_Table_Data[[#This Row],[Date of Call]],"DDDD")</f>
        <v>Thursday</v>
      </c>
      <c r="J235" s="9" t="str" cm="1">
        <f t="array" ref="J235">_xlfn.IFS(Call_Table_Data[[#This Row],[Duration]]&lt;=10,"Under 10 Mins",Call_Table_Data[[#This Row],[Duration]]&lt;=30,"10 to 30 Mins",Call_Table_Data[[#This Row],[Duration]]&lt;=60,"30 to 60 Mins",Call_Table_Data[[#This Row],[Duration]]&lt;=120,"1 to 2 Hours",TRUE,"More Than 2 Hours")</f>
        <v>30 to 60 Mins</v>
      </c>
      <c r="K235" s="9">
        <f>ROUND(Call_Table_Data[[#This Row],[Satisfaction Rating]],0)</f>
        <v>5</v>
      </c>
    </row>
    <row r="236" spans="1:11" x14ac:dyDescent="0.3">
      <c r="A236" s="9" t="s">
        <v>273</v>
      </c>
      <c r="B236" s="9" t="s">
        <v>43</v>
      </c>
      <c r="C236" s="9">
        <v>104</v>
      </c>
      <c r="D236" s="10" t="s">
        <v>27</v>
      </c>
      <c r="E236" s="11">
        <v>45001</v>
      </c>
      <c r="F236" s="9">
        <v>88</v>
      </c>
      <c r="G236" s="9">
        <v>3.2</v>
      </c>
      <c r="H236" s="9">
        <f>IF(MONTH(Call_Table_Data[[#This Row],[Date of Call]])&lt;=3,YEAR(Call_Table_Data[[#This Row],[Date of Call]]),YEAR(Call_Table_Data[[#This Row],[Date of Call]])+1)</f>
        <v>2023</v>
      </c>
      <c r="I236" s="9" t="str">
        <f>TEXT(Call_Table_Data[[#This Row],[Date of Call]],"DDDD")</f>
        <v>Thursday</v>
      </c>
      <c r="J236" s="9" t="str" cm="1">
        <f t="array" ref="J236">_xlfn.IFS(Call_Table_Data[[#This Row],[Duration]]&lt;=10,"Under 10 Mins",Call_Table_Data[[#This Row],[Duration]]&lt;=30,"10 to 30 Mins",Call_Table_Data[[#This Row],[Duration]]&lt;=60,"30 to 60 Mins",Call_Table_Data[[#This Row],[Duration]]&lt;=120,"1 to 2 Hours",TRUE,"More Than 2 Hours")</f>
        <v>1 to 2 Hours</v>
      </c>
      <c r="K236" s="9">
        <f>ROUND(Call_Table_Data[[#This Row],[Satisfaction Rating]],0)</f>
        <v>3</v>
      </c>
    </row>
    <row r="237" spans="1:11" x14ac:dyDescent="0.3">
      <c r="A237" s="9" t="s">
        <v>274</v>
      </c>
      <c r="B237" s="9" t="s">
        <v>37</v>
      </c>
      <c r="C237" s="9">
        <v>100</v>
      </c>
      <c r="D237" s="10" t="s">
        <v>27</v>
      </c>
      <c r="E237" s="11">
        <v>45001</v>
      </c>
      <c r="F237" s="9">
        <v>124</v>
      </c>
      <c r="G237" s="9">
        <v>3.4</v>
      </c>
      <c r="H237" s="9">
        <f>IF(MONTH(Call_Table_Data[[#This Row],[Date of Call]])&lt;=3,YEAR(Call_Table_Data[[#This Row],[Date of Call]]),YEAR(Call_Table_Data[[#This Row],[Date of Call]])+1)</f>
        <v>2023</v>
      </c>
      <c r="I237" s="9" t="str">
        <f>TEXT(Call_Table_Data[[#This Row],[Date of Call]],"DDDD")</f>
        <v>Thursday</v>
      </c>
      <c r="J237" s="9" t="str" cm="1">
        <f t="array" ref="J237">_xlfn.IFS(Call_Table_Data[[#This Row],[Duration]]&lt;=10,"Under 10 Mins",Call_Table_Data[[#This Row],[Duration]]&lt;=30,"10 to 30 Mins",Call_Table_Data[[#This Row],[Duration]]&lt;=60,"30 to 60 Mins",Call_Table_Data[[#This Row],[Duration]]&lt;=120,"1 to 2 Hours",TRUE,"More Than 2 Hours")</f>
        <v>1 to 2 Hours</v>
      </c>
      <c r="K237" s="9">
        <f>ROUND(Call_Table_Data[[#This Row],[Satisfaction Rating]],0)</f>
        <v>3</v>
      </c>
    </row>
    <row r="238" spans="1:11" x14ac:dyDescent="0.3">
      <c r="A238" s="9" t="s">
        <v>275</v>
      </c>
      <c r="B238" s="9" t="s">
        <v>35</v>
      </c>
      <c r="C238" s="9">
        <v>84</v>
      </c>
      <c r="D238" s="10" t="s">
        <v>27</v>
      </c>
      <c r="E238" s="11">
        <v>45001</v>
      </c>
      <c r="F238" s="9">
        <v>72</v>
      </c>
      <c r="G238" s="9">
        <v>3.5</v>
      </c>
      <c r="H238" s="9">
        <f>IF(MONTH(Call_Table_Data[[#This Row],[Date of Call]])&lt;=3,YEAR(Call_Table_Data[[#This Row],[Date of Call]]),YEAR(Call_Table_Data[[#This Row],[Date of Call]])+1)</f>
        <v>2023</v>
      </c>
      <c r="I238" s="9" t="str">
        <f>TEXT(Call_Table_Data[[#This Row],[Date of Call]],"DDDD")</f>
        <v>Thursday</v>
      </c>
      <c r="J238" s="9" t="str" cm="1">
        <f t="array" ref="J238">_xlfn.IFS(Call_Table_Data[[#This Row],[Duration]]&lt;=10,"Under 10 Mins",Call_Table_Data[[#This Row],[Duration]]&lt;=30,"10 to 30 Mins",Call_Table_Data[[#This Row],[Duration]]&lt;=60,"30 to 60 Mins",Call_Table_Data[[#This Row],[Duration]]&lt;=120,"1 to 2 Hours",TRUE,"More Than 2 Hours")</f>
        <v>1 to 2 Hours</v>
      </c>
      <c r="K238" s="9">
        <f>ROUND(Call_Table_Data[[#This Row],[Satisfaction Rating]],0)</f>
        <v>4</v>
      </c>
    </row>
    <row r="239" spans="1:11" x14ac:dyDescent="0.3">
      <c r="A239" s="9" t="s">
        <v>276</v>
      </c>
      <c r="B239" s="9" t="s">
        <v>16</v>
      </c>
      <c r="C239" s="9">
        <v>92</v>
      </c>
      <c r="D239" s="10" t="s">
        <v>33</v>
      </c>
      <c r="E239" s="11">
        <v>45002</v>
      </c>
      <c r="F239" s="9">
        <v>125</v>
      </c>
      <c r="G239" s="9">
        <v>4.9000000000000004</v>
      </c>
      <c r="H239" s="9">
        <f>IF(MONTH(Call_Table_Data[[#This Row],[Date of Call]])&lt;=3,YEAR(Call_Table_Data[[#This Row],[Date of Call]]),YEAR(Call_Table_Data[[#This Row],[Date of Call]])+1)</f>
        <v>2023</v>
      </c>
      <c r="I239" s="9" t="str">
        <f>TEXT(Call_Table_Data[[#This Row],[Date of Call]],"DDDD")</f>
        <v>Friday</v>
      </c>
      <c r="J239" s="9" t="str" cm="1">
        <f t="array" ref="J239">_xlfn.IFS(Call_Table_Data[[#This Row],[Duration]]&lt;=10,"Under 10 Mins",Call_Table_Data[[#This Row],[Duration]]&lt;=30,"10 to 30 Mins",Call_Table_Data[[#This Row],[Duration]]&lt;=60,"30 to 60 Mins",Call_Table_Data[[#This Row],[Duration]]&lt;=120,"1 to 2 Hours",TRUE,"More Than 2 Hours")</f>
        <v>1 to 2 Hours</v>
      </c>
      <c r="K239" s="9">
        <f>ROUND(Call_Table_Data[[#This Row],[Satisfaction Rating]],0)</f>
        <v>5</v>
      </c>
    </row>
    <row r="240" spans="1:11" x14ac:dyDescent="0.3">
      <c r="A240" s="9" t="s">
        <v>277</v>
      </c>
      <c r="B240" s="9" t="s">
        <v>45</v>
      </c>
      <c r="C240" s="9">
        <v>64</v>
      </c>
      <c r="D240" s="10" t="s">
        <v>17</v>
      </c>
      <c r="E240" s="11">
        <v>45002</v>
      </c>
      <c r="F240" s="9">
        <v>22</v>
      </c>
      <c r="G240" s="9">
        <v>4.0999999999999996</v>
      </c>
      <c r="H240" s="9">
        <f>IF(MONTH(Call_Table_Data[[#This Row],[Date of Call]])&lt;=3,YEAR(Call_Table_Data[[#This Row],[Date of Call]]),YEAR(Call_Table_Data[[#This Row],[Date of Call]])+1)</f>
        <v>2023</v>
      </c>
      <c r="I240" s="9" t="str">
        <f>TEXT(Call_Table_Data[[#This Row],[Date of Call]],"DDDD")</f>
        <v>Friday</v>
      </c>
      <c r="J240" s="9" t="str" cm="1">
        <f t="array" ref="J240">_xlfn.IFS(Call_Table_Data[[#This Row],[Duration]]&lt;=10,"Under 10 Mins",Call_Table_Data[[#This Row],[Duration]]&lt;=30,"10 to 30 Mins",Call_Table_Data[[#This Row],[Duration]]&lt;=60,"30 to 60 Mins",Call_Table_Data[[#This Row],[Duration]]&lt;=120,"1 to 2 Hours",TRUE,"More Than 2 Hours")</f>
        <v>1 to 2 Hours</v>
      </c>
      <c r="K240" s="9">
        <f>ROUND(Call_Table_Data[[#This Row],[Satisfaction Rating]],0)</f>
        <v>4</v>
      </c>
    </row>
    <row r="241" spans="1:11" x14ac:dyDescent="0.3">
      <c r="A241" s="9" t="s">
        <v>278</v>
      </c>
      <c r="B241" s="9" t="s">
        <v>26</v>
      </c>
      <c r="C241" s="9">
        <v>89</v>
      </c>
      <c r="D241" s="10" t="s">
        <v>40</v>
      </c>
      <c r="E241" s="11">
        <v>45003</v>
      </c>
      <c r="F241" s="9">
        <v>70</v>
      </c>
      <c r="G241" s="9">
        <v>4.9000000000000004</v>
      </c>
      <c r="H241" s="9">
        <f>IF(MONTH(Call_Table_Data[[#This Row],[Date of Call]])&lt;=3,YEAR(Call_Table_Data[[#This Row],[Date of Call]]),YEAR(Call_Table_Data[[#This Row],[Date of Call]])+1)</f>
        <v>2023</v>
      </c>
      <c r="I241" s="9" t="str">
        <f>TEXT(Call_Table_Data[[#This Row],[Date of Call]],"DDDD")</f>
        <v>Saturday</v>
      </c>
      <c r="J241" s="9" t="str" cm="1">
        <f t="array" ref="J241">_xlfn.IFS(Call_Table_Data[[#This Row],[Duration]]&lt;=10,"Under 10 Mins",Call_Table_Data[[#This Row],[Duration]]&lt;=30,"10 to 30 Mins",Call_Table_Data[[#This Row],[Duration]]&lt;=60,"30 to 60 Mins",Call_Table_Data[[#This Row],[Duration]]&lt;=120,"1 to 2 Hours",TRUE,"More Than 2 Hours")</f>
        <v>1 to 2 Hours</v>
      </c>
      <c r="K241" s="9">
        <f>ROUND(Call_Table_Data[[#This Row],[Satisfaction Rating]],0)</f>
        <v>5</v>
      </c>
    </row>
    <row r="242" spans="1:11" x14ac:dyDescent="0.3">
      <c r="A242" s="9" t="s">
        <v>279</v>
      </c>
      <c r="B242" s="9" t="s">
        <v>54</v>
      </c>
      <c r="C242" s="9">
        <v>40</v>
      </c>
      <c r="D242" s="10" t="s">
        <v>27</v>
      </c>
      <c r="E242" s="11">
        <v>45003</v>
      </c>
      <c r="F242" s="9">
        <v>24</v>
      </c>
      <c r="G242" s="9">
        <v>4.3</v>
      </c>
      <c r="H242" s="9">
        <f>IF(MONTH(Call_Table_Data[[#This Row],[Date of Call]])&lt;=3,YEAR(Call_Table_Data[[#This Row],[Date of Call]]),YEAR(Call_Table_Data[[#This Row],[Date of Call]])+1)</f>
        <v>2023</v>
      </c>
      <c r="I242" s="9" t="str">
        <f>TEXT(Call_Table_Data[[#This Row],[Date of Call]],"DDDD")</f>
        <v>Saturday</v>
      </c>
      <c r="J242" s="9" t="str" cm="1">
        <f t="array" ref="J242">_xlfn.IFS(Call_Table_Data[[#This Row],[Duration]]&lt;=10,"Under 10 Mins",Call_Table_Data[[#This Row],[Duration]]&lt;=30,"10 to 30 Mins",Call_Table_Data[[#This Row],[Duration]]&lt;=60,"30 to 60 Mins",Call_Table_Data[[#This Row],[Duration]]&lt;=120,"1 to 2 Hours",TRUE,"More Than 2 Hours")</f>
        <v>30 to 60 Mins</v>
      </c>
      <c r="K242" s="9">
        <f>ROUND(Call_Table_Data[[#This Row],[Satisfaction Rating]],0)</f>
        <v>4</v>
      </c>
    </row>
    <row r="243" spans="1:11" x14ac:dyDescent="0.3">
      <c r="A243" s="9" t="s">
        <v>280</v>
      </c>
      <c r="B243" s="9" t="s">
        <v>49</v>
      </c>
      <c r="C243" s="9">
        <v>75</v>
      </c>
      <c r="D243" s="10" t="s">
        <v>46</v>
      </c>
      <c r="E243" s="11">
        <v>45003</v>
      </c>
      <c r="F243" s="9">
        <v>32</v>
      </c>
      <c r="G243" s="9">
        <v>4.0999999999999996</v>
      </c>
      <c r="H243" s="9">
        <f>IF(MONTH(Call_Table_Data[[#This Row],[Date of Call]])&lt;=3,YEAR(Call_Table_Data[[#This Row],[Date of Call]]),YEAR(Call_Table_Data[[#This Row],[Date of Call]])+1)</f>
        <v>2023</v>
      </c>
      <c r="I243" s="9" t="str">
        <f>TEXT(Call_Table_Data[[#This Row],[Date of Call]],"DDDD")</f>
        <v>Saturday</v>
      </c>
      <c r="J243" s="9" t="str" cm="1">
        <f t="array" ref="J243">_xlfn.IFS(Call_Table_Data[[#This Row],[Duration]]&lt;=10,"Under 10 Mins",Call_Table_Data[[#This Row],[Duration]]&lt;=30,"10 to 30 Mins",Call_Table_Data[[#This Row],[Duration]]&lt;=60,"30 to 60 Mins",Call_Table_Data[[#This Row],[Duration]]&lt;=120,"1 to 2 Hours",TRUE,"More Than 2 Hours")</f>
        <v>1 to 2 Hours</v>
      </c>
      <c r="K243" s="9">
        <f>ROUND(Call_Table_Data[[#This Row],[Satisfaction Rating]],0)</f>
        <v>4</v>
      </c>
    </row>
    <row r="244" spans="1:11" x14ac:dyDescent="0.3">
      <c r="A244" s="9" t="s">
        <v>281</v>
      </c>
      <c r="B244" s="9" t="s">
        <v>18</v>
      </c>
      <c r="C244" s="9">
        <v>106</v>
      </c>
      <c r="D244" s="10" t="s">
        <v>33</v>
      </c>
      <c r="E244" s="11">
        <v>45003</v>
      </c>
      <c r="F244" s="9">
        <v>112</v>
      </c>
      <c r="G244" s="9">
        <v>4.4000000000000004</v>
      </c>
      <c r="H244" s="9">
        <f>IF(MONTH(Call_Table_Data[[#This Row],[Date of Call]])&lt;=3,YEAR(Call_Table_Data[[#This Row],[Date of Call]]),YEAR(Call_Table_Data[[#This Row],[Date of Call]])+1)</f>
        <v>2023</v>
      </c>
      <c r="I244" s="9" t="str">
        <f>TEXT(Call_Table_Data[[#This Row],[Date of Call]],"DDDD")</f>
        <v>Saturday</v>
      </c>
      <c r="J244" s="9" t="str" cm="1">
        <f t="array" ref="J244">_xlfn.IFS(Call_Table_Data[[#This Row],[Duration]]&lt;=10,"Under 10 Mins",Call_Table_Data[[#This Row],[Duration]]&lt;=30,"10 to 30 Mins",Call_Table_Data[[#This Row],[Duration]]&lt;=60,"30 to 60 Mins",Call_Table_Data[[#This Row],[Duration]]&lt;=120,"1 to 2 Hours",TRUE,"More Than 2 Hours")</f>
        <v>1 to 2 Hours</v>
      </c>
      <c r="K244" s="9">
        <f>ROUND(Call_Table_Data[[#This Row],[Satisfaction Rating]],0)</f>
        <v>4</v>
      </c>
    </row>
    <row r="245" spans="1:11" x14ac:dyDescent="0.3">
      <c r="A245" s="9" t="s">
        <v>282</v>
      </c>
      <c r="B245" s="9" t="s">
        <v>45</v>
      </c>
      <c r="C245" s="9">
        <v>58</v>
      </c>
      <c r="D245" s="10" t="s">
        <v>27</v>
      </c>
      <c r="E245" s="11">
        <v>45004</v>
      </c>
      <c r="F245" s="9">
        <v>43</v>
      </c>
      <c r="G245" s="9">
        <v>4.5</v>
      </c>
      <c r="H245" s="9">
        <f>IF(MONTH(Call_Table_Data[[#This Row],[Date of Call]])&lt;=3,YEAR(Call_Table_Data[[#This Row],[Date of Call]]),YEAR(Call_Table_Data[[#This Row],[Date of Call]])+1)</f>
        <v>2023</v>
      </c>
      <c r="I245" s="9" t="str">
        <f>TEXT(Call_Table_Data[[#This Row],[Date of Call]],"DDDD")</f>
        <v>Sunday</v>
      </c>
      <c r="J245" s="9" t="str" cm="1">
        <f t="array" ref="J245">_xlfn.IFS(Call_Table_Data[[#This Row],[Duration]]&lt;=10,"Under 10 Mins",Call_Table_Data[[#This Row],[Duration]]&lt;=30,"10 to 30 Mins",Call_Table_Data[[#This Row],[Duration]]&lt;=60,"30 to 60 Mins",Call_Table_Data[[#This Row],[Duration]]&lt;=120,"1 to 2 Hours",TRUE,"More Than 2 Hours")</f>
        <v>30 to 60 Mins</v>
      </c>
      <c r="K245" s="9">
        <f>ROUND(Call_Table_Data[[#This Row],[Satisfaction Rating]],0)</f>
        <v>5</v>
      </c>
    </row>
    <row r="246" spans="1:11" x14ac:dyDescent="0.3">
      <c r="A246" s="9" t="s">
        <v>283</v>
      </c>
      <c r="B246" s="9" t="s">
        <v>35</v>
      </c>
      <c r="C246" s="9">
        <v>84</v>
      </c>
      <c r="D246" s="10" t="s">
        <v>33</v>
      </c>
      <c r="E246" s="11">
        <v>45004</v>
      </c>
      <c r="F246" s="9">
        <v>22</v>
      </c>
      <c r="G246" s="9">
        <v>3.5</v>
      </c>
      <c r="H246" s="9">
        <f>IF(MONTH(Call_Table_Data[[#This Row],[Date of Call]])&lt;=3,YEAR(Call_Table_Data[[#This Row],[Date of Call]]),YEAR(Call_Table_Data[[#This Row],[Date of Call]])+1)</f>
        <v>2023</v>
      </c>
      <c r="I246" s="9" t="str">
        <f>TEXT(Call_Table_Data[[#This Row],[Date of Call]],"DDDD")</f>
        <v>Sunday</v>
      </c>
      <c r="J246" s="9" t="str" cm="1">
        <f t="array" ref="J246">_xlfn.IFS(Call_Table_Data[[#This Row],[Duration]]&lt;=10,"Under 10 Mins",Call_Table_Data[[#This Row],[Duration]]&lt;=30,"10 to 30 Mins",Call_Table_Data[[#This Row],[Duration]]&lt;=60,"30 to 60 Mins",Call_Table_Data[[#This Row],[Duration]]&lt;=120,"1 to 2 Hours",TRUE,"More Than 2 Hours")</f>
        <v>1 to 2 Hours</v>
      </c>
      <c r="K246" s="9">
        <f>ROUND(Call_Table_Data[[#This Row],[Satisfaction Rating]],0)</f>
        <v>4</v>
      </c>
    </row>
    <row r="247" spans="1:11" x14ac:dyDescent="0.3">
      <c r="A247" s="9" t="s">
        <v>284</v>
      </c>
      <c r="B247" s="9" t="s">
        <v>43</v>
      </c>
      <c r="C247" s="9">
        <v>140</v>
      </c>
      <c r="D247" s="10" t="s">
        <v>33</v>
      </c>
      <c r="E247" s="11">
        <v>45004</v>
      </c>
      <c r="F247" s="9">
        <v>93</v>
      </c>
      <c r="G247" s="9">
        <v>4.4000000000000004</v>
      </c>
      <c r="H247" s="9">
        <f>IF(MONTH(Call_Table_Data[[#This Row],[Date of Call]])&lt;=3,YEAR(Call_Table_Data[[#This Row],[Date of Call]]),YEAR(Call_Table_Data[[#This Row],[Date of Call]])+1)</f>
        <v>2023</v>
      </c>
      <c r="I247" s="9" t="str">
        <f>TEXT(Call_Table_Data[[#This Row],[Date of Call]],"DDDD")</f>
        <v>Sunday</v>
      </c>
      <c r="J247" s="9" t="str" cm="1">
        <f t="array" ref="J247">_xlfn.IFS(Call_Table_Data[[#This Row],[Duration]]&lt;=10,"Under 10 Mins",Call_Table_Data[[#This Row],[Duration]]&lt;=30,"10 to 30 Mins",Call_Table_Data[[#This Row],[Duration]]&lt;=60,"30 to 60 Mins",Call_Table_Data[[#This Row],[Duration]]&lt;=120,"1 to 2 Hours",TRUE,"More Than 2 Hours")</f>
        <v>More Than 2 Hours</v>
      </c>
      <c r="K247" s="9">
        <f>ROUND(Call_Table_Data[[#This Row],[Satisfaction Rating]],0)</f>
        <v>4</v>
      </c>
    </row>
    <row r="248" spans="1:11" x14ac:dyDescent="0.3">
      <c r="A248" s="9" t="s">
        <v>285</v>
      </c>
      <c r="B248" s="9" t="s">
        <v>45</v>
      </c>
      <c r="C248" s="9">
        <v>67</v>
      </c>
      <c r="D248" s="10" t="s">
        <v>33</v>
      </c>
      <c r="E248" s="11">
        <v>45004</v>
      </c>
      <c r="F248" s="9">
        <v>45</v>
      </c>
      <c r="G248" s="9">
        <v>3.5</v>
      </c>
      <c r="H248" s="9">
        <f>IF(MONTH(Call_Table_Data[[#This Row],[Date of Call]])&lt;=3,YEAR(Call_Table_Data[[#This Row],[Date of Call]]),YEAR(Call_Table_Data[[#This Row],[Date of Call]])+1)</f>
        <v>2023</v>
      </c>
      <c r="I248" s="9" t="str">
        <f>TEXT(Call_Table_Data[[#This Row],[Date of Call]],"DDDD")</f>
        <v>Sunday</v>
      </c>
      <c r="J248" s="9" t="str" cm="1">
        <f t="array" ref="J248">_xlfn.IFS(Call_Table_Data[[#This Row],[Duration]]&lt;=10,"Under 10 Mins",Call_Table_Data[[#This Row],[Duration]]&lt;=30,"10 to 30 Mins",Call_Table_Data[[#This Row],[Duration]]&lt;=60,"30 to 60 Mins",Call_Table_Data[[#This Row],[Duration]]&lt;=120,"1 to 2 Hours",TRUE,"More Than 2 Hours")</f>
        <v>1 to 2 Hours</v>
      </c>
      <c r="K248" s="9">
        <f>ROUND(Call_Table_Data[[#This Row],[Satisfaction Rating]],0)</f>
        <v>4</v>
      </c>
    </row>
    <row r="249" spans="1:11" x14ac:dyDescent="0.3">
      <c r="A249" s="9" t="s">
        <v>286</v>
      </c>
      <c r="B249" s="9" t="s">
        <v>22</v>
      </c>
      <c r="C249" s="9">
        <v>126</v>
      </c>
      <c r="D249" s="10" t="s">
        <v>33</v>
      </c>
      <c r="E249" s="11">
        <v>45005</v>
      </c>
      <c r="F249" s="9">
        <v>96</v>
      </c>
      <c r="G249" s="9">
        <v>3.8</v>
      </c>
      <c r="H249" s="9">
        <f>IF(MONTH(Call_Table_Data[[#This Row],[Date of Call]])&lt;=3,YEAR(Call_Table_Data[[#This Row],[Date of Call]]),YEAR(Call_Table_Data[[#This Row],[Date of Call]])+1)</f>
        <v>2023</v>
      </c>
      <c r="I249" s="9" t="str">
        <f>TEXT(Call_Table_Data[[#This Row],[Date of Call]],"DDDD")</f>
        <v>Monday</v>
      </c>
      <c r="J249" s="9" t="str" cm="1">
        <f t="array" ref="J249">_xlfn.IFS(Call_Table_Data[[#This Row],[Duration]]&lt;=10,"Under 10 Mins",Call_Table_Data[[#This Row],[Duration]]&lt;=30,"10 to 30 Mins",Call_Table_Data[[#This Row],[Duration]]&lt;=60,"30 to 60 Mins",Call_Table_Data[[#This Row],[Duration]]&lt;=120,"1 to 2 Hours",TRUE,"More Than 2 Hours")</f>
        <v>More Than 2 Hours</v>
      </c>
      <c r="K249" s="9">
        <f>ROUND(Call_Table_Data[[#This Row],[Satisfaction Rating]],0)</f>
        <v>4</v>
      </c>
    </row>
    <row r="250" spans="1:11" x14ac:dyDescent="0.3">
      <c r="A250" s="9" t="s">
        <v>287</v>
      </c>
      <c r="B250" s="9" t="s">
        <v>22</v>
      </c>
      <c r="C250" s="9">
        <v>89</v>
      </c>
      <c r="D250" s="10" t="s">
        <v>27</v>
      </c>
      <c r="E250" s="11">
        <v>45005</v>
      </c>
      <c r="F250" s="9">
        <v>96</v>
      </c>
      <c r="G250" s="9">
        <v>3.3</v>
      </c>
      <c r="H250" s="9">
        <f>IF(MONTH(Call_Table_Data[[#This Row],[Date of Call]])&lt;=3,YEAR(Call_Table_Data[[#This Row],[Date of Call]]),YEAR(Call_Table_Data[[#This Row],[Date of Call]])+1)</f>
        <v>2023</v>
      </c>
      <c r="I250" s="9" t="str">
        <f>TEXT(Call_Table_Data[[#This Row],[Date of Call]],"DDDD")</f>
        <v>Monday</v>
      </c>
      <c r="J250" s="9" t="str" cm="1">
        <f t="array" ref="J250">_xlfn.IFS(Call_Table_Data[[#This Row],[Duration]]&lt;=10,"Under 10 Mins",Call_Table_Data[[#This Row],[Duration]]&lt;=30,"10 to 30 Mins",Call_Table_Data[[#This Row],[Duration]]&lt;=60,"30 to 60 Mins",Call_Table_Data[[#This Row],[Duration]]&lt;=120,"1 to 2 Hours",TRUE,"More Than 2 Hours")</f>
        <v>1 to 2 Hours</v>
      </c>
      <c r="K250" s="9">
        <f>ROUND(Call_Table_Data[[#This Row],[Satisfaction Rating]],0)</f>
        <v>3</v>
      </c>
    </row>
    <row r="251" spans="1:11" x14ac:dyDescent="0.3">
      <c r="A251" s="9" t="s">
        <v>288</v>
      </c>
      <c r="B251" s="9" t="s">
        <v>26</v>
      </c>
      <c r="C251" s="9">
        <v>56</v>
      </c>
      <c r="D251" s="10" t="s">
        <v>17</v>
      </c>
      <c r="E251" s="11">
        <v>45005</v>
      </c>
      <c r="F251" s="9">
        <v>31</v>
      </c>
      <c r="G251" s="9">
        <v>4.4000000000000004</v>
      </c>
      <c r="H251" s="9">
        <f>IF(MONTH(Call_Table_Data[[#This Row],[Date of Call]])&lt;=3,YEAR(Call_Table_Data[[#This Row],[Date of Call]]),YEAR(Call_Table_Data[[#This Row],[Date of Call]])+1)</f>
        <v>2023</v>
      </c>
      <c r="I251" s="9" t="str">
        <f>TEXT(Call_Table_Data[[#This Row],[Date of Call]],"DDDD")</f>
        <v>Monday</v>
      </c>
      <c r="J251" s="9" t="str" cm="1">
        <f t="array" ref="J251">_xlfn.IFS(Call_Table_Data[[#This Row],[Duration]]&lt;=10,"Under 10 Mins",Call_Table_Data[[#This Row],[Duration]]&lt;=30,"10 to 30 Mins",Call_Table_Data[[#This Row],[Duration]]&lt;=60,"30 to 60 Mins",Call_Table_Data[[#This Row],[Duration]]&lt;=120,"1 to 2 Hours",TRUE,"More Than 2 Hours")</f>
        <v>30 to 60 Mins</v>
      </c>
      <c r="K251" s="9">
        <f>ROUND(Call_Table_Data[[#This Row],[Satisfaction Rating]],0)</f>
        <v>4</v>
      </c>
    </row>
    <row r="252" spans="1:11" x14ac:dyDescent="0.3">
      <c r="A252" s="9" t="s">
        <v>289</v>
      </c>
      <c r="B252" s="9" t="s">
        <v>32</v>
      </c>
      <c r="C252" s="9">
        <v>48</v>
      </c>
      <c r="D252" s="10" t="s">
        <v>27</v>
      </c>
      <c r="E252" s="11">
        <v>45005</v>
      </c>
      <c r="F252" s="9">
        <v>200</v>
      </c>
      <c r="G252" s="9">
        <v>3.9</v>
      </c>
      <c r="H252" s="9">
        <f>IF(MONTH(Call_Table_Data[[#This Row],[Date of Call]])&lt;=3,YEAR(Call_Table_Data[[#This Row],[Date of Call]]),YEAR(Call_Table_Data[[#This Row],[Date of Call]])+1)</f>
        <v>2023</v>
      </c>
      <c r="I252" s="9" t="str">
        <f>TEXT(Call_Table_Data[[#This Row],[Date of Call]],"DDDD")</f>
        <v>Monday</v>
      </c>
      <c r="J252" s="9" t="str" cm="1">
        <f t="array" ref="J252">_xlfn.IFS(Call_Table_Data[[#This Row],[Duration]]&lt;=10,"Under 10 Mins",Call_Table_Data[[#This Row],[Duration]]&lt;=30,"10 to 30 Mins",Call_Table_Data[[#This Row],[Duration]]&lt;=60,"30 to 60 Mins",Call_Table_Data[[#This Row],[Duration]]&lt;=120,"1 to 2 Hours",TRUE,"More Than 2 Hours")</f>
        <v>30 to 60 Mins</v>
      </c>
      <c r="K252" s="9">
        <f>ROUND(Call_Table_Data[[#This Row],[Satisfaction Rating]],0)</f>
        <v>4</v>
      </c>
    </row>
    <row r="253" spans="1:11" x14ac:dyDescent="0.3">
      <c r="A253" s="9" t="s">
        <v>290</v>
      </c>
      <c r="B253" s="9" t="s">
        <v>22</v>
      </c>
      <c r="C253" s="9">
        <v>55</v>
      </c>
      <c r="D253" s="10" t="s">
        <v>17</v>
      </c>
      <c r="E253" s="11">
        <v>45005</v>
      </c>
      <c r="F253" s="9">
        <v>99</v>
      </c>
      <c r="G253" s="9">
        <v>2.7</v>
      </c>
      <c r="H253" s="9">
        <f>IF(MONTH(Call_Table_Data[[#This Row],[Date of Call]])&lt;=3,YEAR(Call_Table_Data[[#This Row],[Date of Call]]),YEAR(Call_Table_Data[[#This Row],[Date of Call]])+1)</f>
        <v>2023</v>
      </c>
      <c r="I253" s="9" t="str">
        <f>TEXT(Call_Table_Data[[#This Row],[Date of Call]],"DDDD")</f>
        <v>Monday</v>
      </c>
      <c r="J253" s="9" t="str" cm="1">
        <f t="array" ref="J253">_xlfn.IFS(Call_Table_Data[[#This Row],[Duration]]&lt;=10,"Under 10 Mins",Call_Table_Data[[#This Row],[Duration]]&lt;=30,"10 to 30 Mins",Call_Table_Data[[#This Row],[Duration]]&lt;=60,"30 to 60 Mins",Call_Table_Data[[#This Row],[Duration]]&lt;=120,"1 to 2 Hours",TRUE,"More Than 2 Hours")</f>
        <v>30 to 60 Mins</v>
      </c>
      <c r="K253" s="9">
        <f>ROUND(Call_Table_Data[[#This Row],[Satisfaction Rating]],0)</f>
        <v>3</v>
      </c>
    </row>
    <row r="254" spans="1:11" x14ac:dyDescent="0.3">
      <c r="A254" s="9" t="s">
        <v>291</v>
      </c>
      <c r="B254" s="9" t="s">
        <v>30</v>
      </c>
      <c r="C254" s="9">
        <v>88</v>
      </c>
      <c r="D254" s="10" t="s">
        <v>46</v>
      </c>
      <c r="E254" s="11">
        <v>45005</v>
      </c>
      <c r="F254" s="9">
        <v>144</v>
      </c>
      <c r="G254" s="9">
        <v>2.9</v>
      </c>
      <c r="H254" s="9">
        <f>IF(MONTH(Call_Table_Data[[#This Row],[Date of Call]])&lt;=3,YEAR(Call_Table_Data[[#This Row],[Date of Call]]),YEAR(Call_Table_Data[[#This Row],[Date of Call]])+1)</f>
        <v>2023</v>
      </c>
      <c r="I254" s="9" t="str">
        <f>TEXT(Call_Table_Data[[#This Row],[Date of Call]],"DDDD")</f>
        <v>Monday</v>
      </c>
      <c r="J254" s="9" t="str" cm="1">
        <f t="array" ref="J254">_xlfn.IFS(Call_Table_Data[[#This Row],[Duration]]&lt;=10,"Under 10 Mins",Call_Table_Data[[#This Row],[Duration]]&lt;=30,"10 to 30 Mins",Call_Table_Data[[#This Row],[Duration]]&lt;=60,"30 to 60 Mins",Call_Table_Data[[#This Row],[Duration]]&lt;=120,"1 to 2 Hours",TRUE,"More Than 2 Hours")</f>
        <v>1 to 2 Hours</v>
      </c>
      <c r="K254" s="9">
        <f>ROUND(Call_Table_Data[[#This Row],[Satisfaction Rating]],0)</f>
        <v>3</v>
      </c>
    </row>
    <row r="255" spans="1:11" x14ac:dyDescent="0.3">
      <c r="A255" s="9" t="s">
        <v>292</v>
      </c>
      <c r="B255" s="9" t="s">
        <v>26</v>
      </c>
      <c r="C255" s="9">
        <v>102</v>
      </c>
      <c r="D255" s="10" t="s">
        <v>33</v>
      </c>
      <c r="E255" s="11">
        <v>45006</v>
      </c>
      <c r="F255" s="9">
        <v>81</v>
      </c>
      <c r="G255" s="9">
        <v>4</v>
      </c>
      <c r="H255" s="9">
        <f>IF(MONTH(Call_Table_Data[[#This Row],[Date of Call]])&lt;=3,YEAR(Call_Table_Data[[#This Row],[Date of Call]]),YEAR(Call_Table_Data[[#This Row],[Date of Call]])+1)</f>
        <v>2023</v>
      </c>
      <c r="I255" s="9" t="str">
        <f>TEXT(Call_Table_Data[[#This Row],[Date of Call]],"DDDD")</f>
        <v>Tuesday</v>
      </c>
      <c r="J255" s="9" t="str" cm="1">
        <f t="array" ref="J255">_xlfn.IFS(Call_Table_Data[[#This Row],[Duration]]&lt;=10,"Under 10 Mins",Call_Table_Data[[#This Row],[Duration]]&lt;=30,"10 to 30 Mins",Call_Table_Data[[#This Row],[Duration]]&lt;=60,"30 to 60 Mins",Call_Table_Data[[#This Row],[Duration]]&lt;=120,"1 to 2 Hours",TRUE,"More Than 2 Hours")</f>
        <v>1 to 2 Hours</v>
      </c>
      <c r="K255" s="9">
        <f>ROUND(Call_Table_Data[[#This Row],[Satisfaction Rating]],0)</f>
        <v>4</v>
      </c>
    </row>
    <row r="256" spans="1:11" x14ac:dyDescent="0.3">
      <c r="A256" s="9" t="s">
        <v>293</v>
      </c>
      <c r="B256" s="9" t="s">
        <v>30</v>
      </c>
      <c r="C256" s="9">
        <v>155</v>
      </c>
      <c r="D256" s="10" t="s">
        <v>46</v>
      </c>
      <c r="E256" s="11">
        <v>45006</v>
      </c>
      <c r="F256" s="9">
        <v>70</v>
      </c>
      <c r="G256" s="9">
        <v>4.4000000000000004</v>
      </c>
      <c r="H256" s="9">
        <f>IF(MONTH(Call_Table_Data[[#This Row],[Date of Call]])&lt;=3,YEAR(Call_Table_Data[[#This Row],[Date of Call]]),YEAR(Call_Table_Data[[#This Row],[Date of Call]])+1)</f>
        <v>2023</v>
      </c>
      <c r="I256" s="9" t="str">
        <f>TEXT(Call_Table_Data[[#This Row],[Date of Call]],"DDDD")</f>
        <v>Tuesday</v>
      </c>
      <c r="J256" s="9" t="str" cm="1">
        <f t="array" ref="J256">_xlfn.IFS(Call_Table_Data[[#This Row],[Duration]]&lt;=10,"Under 10 Mins",Call_Table_Data[[#This Row],[Duration]]&lt;=30,"10 to 30 Mins",Call_Table_Data[[#This Row],[Duration]]&lt;=60,"30 to 60 Mins",Call_Table_Data[[#This Row],[Duration]]&lt;=120,"1 to 2 Hours",TRUE,"More Than 2 Hours")</f>
        <v>More Than 2 Hours</v>
      </c>
      <c r="K256" s="9">
        <f>ROUND(Call_Table_Data[[#This Row],[Satisfaction Rating]],0)</f>
        <v>4</v>
      </c>
    </row>
    <row r="257" spans="1:11" x14ac:dyDescent="0.3">
      <c r="A257" s="9" t="s">
        <v>294</v>
      </c>
      <c r="B257" s="9" t="s">
        <v>22</v>
      </c>
      <c r="C257" s="9">
        <v>63</v>
      </c>
      <c r="D257" s="10" t="s">
        <v>46</v>
      </c>
      <c r="E257" s="11">
        <v>45006</v>
      </c>
      <c r="F257" s="9">
        <v>148</v>
      </c>
      <c r="G257" s="9">
        <v>5</v>
      </c>
      <c r="H257" s="9">
        <f>IF(MONTH(Call_Table_Data[[#This Row],[Date of Call]])&lt;=3,YEAR(Call_Table_Data[[#This Row],[Date of Call]]),YEAR(Call_Table_Data[[#This Row],[Date of Call]])+1)</f>
        <v>2023</v>
      </c>
      <c r="I257" s="9" t="str">
        <f>TEXT(Call_Table_Data[[#This Row],[Date of Call]],"DDDD")</f>
        <v>Tuesday</v>
      </c>
      <c r="J257" s="9" t="str" cm="1">
        <f t="array" ref="J257">_xlfn.IFS(Call_Table_Data[[#This Row],[Duration]]&lt;=10,"Under 10 Mins",Call_Table_Data[[#This Row],[Duration]]&lt;=30,"10 to 30 Mins",Call_Table_Data[[#This Row],[Duration]]&lt;=60,"30 to 60 Mins",Call_Table_Data[[#This Row],[Duration]]&lt;=120,"1 to 2 Hours",TRUE,"More Than 2 Hours")</f>
        <v>1 to 2 Hours</v>
      </c>
      <c r="K257" s="9">
        <f>ROUND(Call_Table_Data[[#This Row],[Satisfaction Rating]],0)</f>
        <v>5</v>
      </c>
    </row>
    <row r="258" spans="1:11" x14ac:dyDescent="0.3">
      <c r="A258" s="9" t="s">
        <v>295</v>
      </c>
      <c r="B258" s="9" t="s">
        <v>37</v>
      </c>
      <c r="C258" s="9">
        <v>59</v>
      </c>
      <c r="D258" s="10" t="s">
        <v>33</v>
      </c>
      <c r="E258" s="11">
        <v>45006</v>
      </c>
      <c r="F258" s="9">
        <v>215</v>
      </c>
      <c r="G258" s="9">
        <v>4.0999999999999996</v>
      </c>
      <c r="H258" s="9">
        <f>IF(MONTH(Call_Table_Data[[#This Row],[Date of Call]])&lt;=3,YEAR(Call_Table_Data[[#This Row],[Date of Call]]),YEAR(Call_Table_Data[[#This Row],[Date of Call]])+1)</f>
        <v>2023</v>
      </c>
      <c r="I258" s="9" t="str">
        <f>TEXT(Call_Table_Data[[#This Row],[Date of Call]],"DDDD")</f>
        <v>Tuesday</v>
      </c>
      <c r="J258" s="9" t="str" cm="1">
        <f t="array" ref="J258">_xlfn.IFS(Call_Table_Data[[#This Row],[Duration]]&lt;=10,"Under 10 Mins",Call_Table_Data[[#This Row],[Duration]]&lt;=30,"10 to 30 Mins",Call_Table_Data[[#This Row],[Duration]]&lt;=60,"30 to 60 Mins",Call_Table_Data[[#This Row],[Duration]]&lt;=120,"1 to 2 Hours",TRUE,"More Than 2 Hours")</f>
        <v>30 to 60 Mins</v>
      </c>
      <c r="K258" s="9">
        <f>ROUND(Call_Table_Data[[#This Row],[Satisfaction Rating]],0)</f>
        <v>4</v>
      </c>
    </row>
    <row r="259" spans="1:11" x14ac:dyDescent="0.3">
      <c r="A259" s="9" t="s">
        <v>296</v>
      </c>
      <c r="B259" s="9" t="s">
        <v>37</v>
      </c>
      <c r="C259" s="9">
        <v>144</v>
      </c>
      <c r="D259" s="10" t="s">
        <v>27</v>
      </c>
      <c r="E259" s="11">
        <v>45006</v>
      </c>
      <c r="F259" s="9">
        <v>124</v>
      </c>
      <c r="G259" s="9">
        <v>4.4000000000000004</v>
      </c>
      <c r="H259" s="9">
        <f>IF(MONTH(Call_Table_Data[[#This Row],[Date of Call]])&lt;=3,YEAR(Call_Table_Data[[#This Row],[Date of Call]]),YEAR(Call_Table_Data[[#This Row],[Date of Call]])+1)</f>
        <v>2023</v>
      </c>
      <c r="I259" s="9" t="str">
        <f>TEXT(Call_Table_Data[[#This Row],[Date of Call]],"DDDD")</f>
        <v>Tuesday</v>
      </c>
      <c r="J259" s="9" t="str" cm="1">
        <f t="array" ref="J259">_xlfn.IFS(Call_Table_Data[[#This Row],[Duration]]&lt;=10,"Under 10 Mins",Call_Table_Data[[#This Row],[Duration]]&lt;=30,"10 to 30 Mins",Call_Table_Data[[#This Row],[Duration]]&lt;=60,"30 to 60 Mins",Call_Table_Data[[#This Row],[Duration]]&lt;=120,"1 to 2 Hours",TRUE,"More Than 2 Hours")</f>
        <v>More Than 2 Hours</v>
      </c>
      <c r="K259" s="9">
        <f>ROUND(Call_Table_Data[[#This Row],[Satisfaction Rating]],0)</f>
        <v>4</v>
      </c>
    </row>
    <row r="260" spans="1:11" x14ac:dyDescent="0.3">
      <c r="A260" s="9" t="s">
        <v>297</v>
      </c>
      <c r="B260" s="9" t="s">
        <v>35</v>
      </c>
      <c r="C260" s="9">
        <v>113</v>
      </c>
      <c r="D260" s="10" t="s">
        <v>40</v>
      </c>
      <c r="E260" s="11">
        <v>45006</v>
      </c>
      <c r="F260" s="9">
        <v>168</v>
      </c>
      <c r="G260" s="9">
        <v>4.0999999999999996</v>
      </c>
      <c r="H260" s="9">
        <f>IF(MONTH(Call_Table_Data[[#This Row],[Date of Call]])&lt;=3,YEAR(Call_Table_Data[[#This Row],[Date of Call]]),YEAR(Call_Table_Data[[#This Row],[Date of Call]])+1)</f>
        <v>2023</v>
      </c>
      <c r="I260" s="9" t="str">
        <f>TEXT(Call_Table_Data[[#This Row],[Date of Call]],"DDDD")</f>
        <v>Tuesday</v>
      </c>
      <c r="J260" s="9" t="str" cm="1">
        <f t="array" ref="J260">_xlfn.IFS(Call_Table_Data[[#This Row],[Duration]]&lt;=10,"Under 10 Mins",Call_Table_Data[[#This Row],[Duration]]&lt;=30,"10 to 30 Mins",Call_Table_Data[[#This Row],[Duration]]&lt;=60,"30 to 60 Mins",Call_Table_Data[[#This Row],[Duration]]&lt;=120,"1 to 2 Hours",TRUE,"More Than 2 Hours")</f>
        <v>1 to 2 Hours</v>
      </c>
      <c r="K260" s="9">
        <f>ROUND(Call_Table_Data[[#This Row],[Satisfaction Rating]],0)</f>
        <v>4</v>
      </c>
    </row>
    <row r="261" spans="1:11" x14ac:dyDescent="0.3">
      <c r="A261" s="9" t="s">
        <v>298</v>
      </c>
      <c r="B261" s="9" t="s">
        <v>50</v>
      </c>
      <c r="C261" s="9">
        <v>154</v>
      </c>
      <c r="D261" s="10" t="s">
        <v>17</v>
      </c>
      <c r="E261" s="11">
        <v>45006</v>
      </c>
      <c r="F261" s="9">
        <v>90</v>
      </c>
      <c r="G261" s="9">
        <v>4.5</v>
      </c>
      <c r="H261" s="9">
        <f>IF(MONTH(Call_Table_Data[[#This Row],[Date of Call]])&lt;=3,YEAR(Call_Table_Data[[#This Row],[Date of Call]]),YEAR(Call_Table_Data[[#This Row],[Date of Call]])+1)</f>
        <v>2023</v>
      </c>
      <c r="I261" s="9" t="str">
        <f>TEXT(Call_Table_Data[[#This Row],[Date of Call]],"DDDD")</f>
        <v>Tuesday</v>
      </c>
      <c r="J261" s="9" t="str" cm="1">
        <f t="array" ref="J261">_xlfn.IFS(Call_Table_Data[[#This Row],[Duration]]&lt;=10,"Under 10 Mins",Call_Table_Data[[#This Row],[Duration]]&lt;=30,"10 to 30 Mins",Call_Table_Data[[#This Row],[Duration]]&lt;=60,"30 to 60 Mins",Call_Table_Data[[#This Row],[Duration]]&lt;=120,"1 to 2 Hours",TRUE,"More Than 2 Hours")</f>
        <v>More Than 2 Hours</v>
      </c>
      <c r="K261" s="9">
        <f>ROUND(Call_Table_Data[[#This Row],[Satisfaction Rating]],0)</f>
        <v>5</v>
      </c>
    </row>
    <row r="262" spans="1:11" x14ac:dyDescent="0.3">
      <c r="A262" s="9" t="s">
        <v>299</v>
      </c>
      <c r="B262" s="9" t="s">
        <v>50</v>
      </c>
      <c r="C262" s="9">
        <v>58</v>
      </c>
      <c r="D262" s="10" t="s">
        <v>33</v>
      </c>
      <c r="E262" s="11">
        <v>45007</v>
      </c>
      <c r="F262" s="9">
        <v>176</v>
      </c>
      <c r="G262" s="9">
        <v>4.2</v>
      </c>
      <c r="H262" s="9">
        <f>IF(MONTH(Call_Table_Data[[#This Row],[Date of Call]])&lt;=3,YEAR(Call_Table_Data[[#This Row],[Date of Call]]),YEAR(Call_Table_Data[[#This Row],[Date of Call]])+1)</f>
        <v>2023</v>
      </c>
      <c r="I262" s="9" t="str">
        <f>TEXT(Call_Table_Data[[#This Row],[Date of Call]],"DDDD")</f>
        <v>Wednesday</v>
      </c>
      <c r="J262" s="9" t="str" cm="1">
        <f t="array" ref="J262">_xlfn.IFS(Call_Table_Data[[#This Row],[Duration]]&lt;=10,"Under 10 Mins",Call_Table_Data[[#This Row],[Duration]]&lt;=30,"10 to 30 Mins",Call_Table_Data[[#This Row],[Duration]]&lt;=60,"30 to 60 Mins",Call_Table_Data[[#This Row],[Duration]]&lt;=120,"1 to 2 Hours",TRUE,"More Than 2 Hours")</f>
        <v>30 to 60 Mins</v>
      </c>
      <c r="K262" s="9">
        <f>ROUND(Call_Table_Data[[#This Row],[Satisfaction Rating]],0)</f>
        <v>4</v>
      </c>
    </row>
    <row r="263" spans="1:11" x14ac:dyDescent="0.3">
      <c r="A263" s="9" t="s">
        <v>300</v>
      </c>
      <c r="B263" s="9" t="s">
        <v>32</v>
      </c>
      <c r="C263" s="9">
        <v>63</v>
      </c>
      <c r="D263" s="10" t="s">
        <v>46</v>
      </c>
      <c r="E263" s="11">
        <v>45007</v>
      </c>
      <c r="F263" s="9">
        <v>87</v>
      </c>
      <c r="G263" s="9">
        <v>4.5999999999999996</v>
      </c>
      <c r="H263" s="9">
        <f>IF(MONTH(Call_Table_Data[[#This Row],[Date of Call]])&lt;=3,YEAR(Call_Table_Data[[#This Row],[Date of Call]]),YEAR(Call_Table_Data[[#This Row],[Date of Call]])+1)</f>
        <v>2023</v>
      </c>
      <c r="I263" s="9" t="str">
        <f>TEXT(Call_Table_Data[[#This Row],[Date of Call]],"DDDD")</f>
        <v>Wednesday</v>
      </c>
      <c r="J263" s="9" t="str" cm="1">
        <f t="array" ref="J263">_xlfn.IFS(Call_Table_Data[[#This Row],[Duration]]&lt;=10,"Under 10 Mins",Call_Table_Data[[#This Row],[Duration]]&lt;=30,"10 to 30 Mins",Call_Table_Data[[#This Row],[Duration]]&lt;=60,"30 to 60 Mins",Call_Table_Data[[#This Row],[Duration]]&lt;=120,"1 to 2 Hours",TRUE,"More Than 2 Hours")</f>
        <v>1 to 2 Hours</v>
      </c>
      <c r="K263" s="9">
        <f>ROUND(Call_Table_Data[[#This Row],[Satisfaction Rating]],0)</f>
        <v>5</v>
      </c>
    </row>
    <row r="264" spans="1:11" x14ac:dyDescent="0.3">
      <c r="A264" s="9" t="s">
        <v>301</v>
      </c>
      <c r="B264" s="9" t="s">
        <v>43</v>
      </c>
      <c r="C264" s="9">
        <v>59</v>
      </c>
      <c r="D264" s="10" t="s">
        <v>27</v>
      </c>
      <c r="E264" s="11">
        <v>45007</v>
      </c>
      <c r="F264" s="9">
        <v>128</v>
      </c>
      <c r="G264" s="9">
        <v>4.5</v>
      </c>
      <c r="H264" s="9">
        <f>IF(MONTH(Call_Table_Data[[#This Row],[Date of Call]])&lt;=3,YEAR(Call_Table_Data[[#This Row],[Date of Call]]),YEAR(Call_Table_Data[[#This Row],[Date of Call]])+1)</f>
        <v>2023</v>
      </c>
      <c r="I264" s="9" t="str">
        <f>TEXT(Call_Table_Data[[#This Row],[Date of Call]],"DDDD")</f>
        <v>Wednesday</v>
      </c>
      <c r="J264" s="9" t="str" cm="1">
        <f t="array" ref="J264">_xlfn.IFS(Call_Table_Data[[#This Row],[Duration]]&lt;=10,"Under 10 Mins",Call_Table_Data[[#This Row],[Duration]]&lt;=30,"10 to 30 Mins",Call_Table_Data[[#This Row],[Duration]]&lt;=60,"30 to 60 Mins",Call_Table_Data[[#This Row],[Duration]]&lt;=120,"1 to 2 Hours",TRUE,"More Than 2 Hours")</f>
        <v>30 to 60 Mins</v>
      </c>
      <c r="K264" s="9">
        <f>ROUND(Call_Table_Data[[#This Row],[Satisfaction Rating]],0)</f>
        <v>5</v>
      </c>
    </row>
    <row r="265" spans="1:11" x14ac:dyDescent="0.3">
      <c r="A265" s="9" t="s">
        <v>302</v>
      </c>
      <c r="B265" s="9" t="s">
        <v>41</v>
      </c>
      <c r="C265" s="9">
        <v>129</v>
      </c>
      <c r="D265" s="10" t="s">
        <v>46</v>
      </c>
      <c r="E265" s="11">
        <v>45007</v>
      </c>
      <c r="F265" s="9">
        <v>120</v>
      </c>
      <c r="G265" s="9">
        <v>4.0999999999999996</v>
      </c>
      <c r="H265" s="9">
        <f>IF(MONTH(Call_Table_Data[[#This Row],[Date of Call]])&lt;=3,YEAR(Call_Table_Data[[#This Row],[Date of Call]]),YEAR(Call_Table_Data[[#This Row],[Date of Call]])+1)</f>
        <v>2023</v>
      </c>
      <c r="I265" s="9" t="str">
        <f>TEXT(Call_Table_Data[[#This Row],[Date of Call]],"DDDD")</f>
        <v>Wednesday</v>
      </c>
      <c r="J265" s="9" t="str" cm="1">
        <f t="array" ref="J265">_xlfn.IFS(Call_Table_Data[[#This Row],[Duration]]&lt;=10,"Under 10 Mins",Call_Table_Data[[#This Row],[Duration]]&lt;=30,"10 to 30 Mins",Call_Table_Data[[#This Row],[Duration]]&lt;=60,"30 to 60 Mins",Call_Table_Data[[#This Row],[Duration]]&lt;=120,"1 to 2 Hours",TRUE,"More Than 2 Hours")</f>
        <v>More Than 2 Hours</v>
      </c>
      <c r="K265" s="9">
        <f>ROUND(Call_Table_Data[[#This Row],[Satisfaction Rating]],0)</f>
        <v>4</v>
      </c>
    </row>
    <row r="266" spans="1:11" x14ac:dyDescent="0.3">
      <c r="A266" s="9" t="s">
        <v>303</v>
      </c>
      <c r="B266" s="9" t="s">
        <v>23</v>
      </c>
      <c r="C266" s="9">
        <v>101</v>
      </c>
      <c r="D266" s="10" t="s">
        <v>40</v>
      </c>
      <c r="E266" s="11">
        <v>45007</v>
      </c>
      <c r="F266" s="9">
        <v>130</v>
      </c>
      <c r="G266" s="9">
        <v>4.8</v>
      </c>
      <c r="H266" s="9">
        <f>IF(MONTH(Call_Table_Data[[#This Row],[Date of Call]])&lt;=3,YEAR(Call_Table_Data[[#This Row],[Date of Call]]),YEAR(Call_Table_Data[[#This Row],[Date of Call]])+1)</f>
        <v>2023</v>
      </c>
      <c r="I266" s="9" t="str">
        <f>TEXT(Call_Table_Data[[#This Row],[Date of Call]],"DDDD")</f>
        <v>Wednesday</v>
      </c>
      <c r="J266" s="9" t="str" cm="1">
        <f t="array" ref="J266">_xlfn.IFS(Call_Table_Data[[#This Row],[Duration]]&lt;=10,"Under 10 Mins",Call_Table_Data[[#This Row],[Duration]]&lt;=30,"10 to 30 Mins",Call_Table_Data[[#This Row],[Duration]]&lt;=60,"30 to 60 Mins",Call_Table_Data[[#This Row],[Duration]]&lt;=120,"1 to 2 Hours",TRUE,"More Than 2 Hours")</f>
        <v>1 to 2 Hours</v>
      </c>
      <c r="K266" s="9">
        <f>ROUND(Call_Table_Data[[#This Row],[Satisfaction Rating]],0)</f>
        <v>5</v>
      </c>
    </row>
    <row r="267" spans="1:11" x14ac:dyDescent="0.3">
      <c r="A267" s="9" t="s">
        <v>304</v>
      </c>
      <c r="B267" s="9" t="s">
        <v>54</v>
      </c>
      <c r="C267" s="9">
        <v>154</v>
      </c>
      <c r="D267" s="10" t="s">
        <v>27</v>
      </c>
      <c r="E267" s="11">
        <v>45007</v>
      </c>
      <c r="F267" s="9">
        <v>172</v>
      </c>
      <c r="G267" s="9">
        <v>3.1</v>
      </c>
      <c r="H267" s="9">
        <f>IF(MONTH(Call_Table_Data[[#This Row],[Date of Call]])&lt;=3,YEAR(Call_Table_Data[[#This Row],[Date of Call]]),YEAR(Call_Table_Data[[#This Row],[Date of Call]])+1)</f>
        <v>2023</v>
      </c>
      <c r="I267" s="9" t="str">
        <f>TEXT(Call_Table_Data[[#This Row],[Date of Call]],"DDDD")</f>
        <v>Wednesday</v>
      </c>
      <c r="J267" s="9" t="str" cm="1">
        <f t="array" ref="J267">_xlfn.IFS(Call_Table_Data[[#This Row],[Duration]]&lt;=10,"Under 10 Mins",Call_Table_Data[[#This Row],[Duration]]&lt;=30,"10 to 30 Mins",Call_Table_Data[[#This Row],[Duration]]&lt;=60,"30 to 60 Mins",Call_Table_Data[[#This Row],[Duration]]&lt;=120,"1 to 2 Hours",TRUE,"More Than 2 Hours")</f>
        <v>More Than 2 Hours</v>
      </c>
      <c r="K267" s="9">
        <f>ROUND(Call_Table_Data[[#This Row],[Satisfaction Rating]],0)</f>
        <v>3</v>
      </c>
    </row>
    <row r="268" spans="1:11" x14ac:dyDescent="0.3">
      <c r="A268" s="9" t="s">
        <v>305</v>
      </c>
      <c r="B268" s="9" t="s">
        <v>45</v>
      </c>
      <c r="C268" s="9">
        <v>131</v>
      </c>
      <c r="D268" s="10" t="s">
        <v>27</v>
      </c>
      <c r="E268" s="11">
        <v>45007</v>
      </c>
      <c r="F268" s="9">
        <v>58</v>
      </c>
      <c r="G268" s="9">
        <v>4.9000000000000004</v>
      </c>
      <c r="H268" s="9">
        <f>IF(MONTH(Call_Table_Data[[#This Row],[Date of Call]])&lt;=3,YEAR(Call_Table_Data[[#This Row],[Date of Call]]),YEAR(Call_Table_Data[[#This Row],[Date of Call]])+1)</f>
        <v>2023</v>
      </c>
      <c r="I268" s="9" t="str">
        <f>TEXT(Call_Table_Data[[#This Row],[Date of Call]],"DDDD")</f>
        <v>Wednesday</v>
      </c>
      <c r="J268" s="9" t="str" cm="1">
        <f t="array" ref="J268">_xlfn.IFS(Call_Table_Data[[#This Row],[Duration]]&lt;=10,"Under 10 Mins",Call_Table_Data[[#This Row],[Duration]]&lt;=30,"10 to 30 Mins",Call_Table_Data[[#This Row],[Duration]]&lt;=60,"30 to 60 Mins",Call_Table_Data[[#This Row],[Duration]]&lt;=120,"1 to 2 Hours",TRUE,"More Than 2 Hours")</f>
        <v>More Than 2 Hours</v>
      </c>
      <c r="K268" s="9">
        <f>ROUND(Call_Table_Data[[#This Row],[Satisfaction Rating]],0)</f>
        <v>5</v>
      </c>
    </row>
    <row r="269" spans="1:11" x14ac:dyDescent="0.3">
      <c r="A269" s="9" t="s">
        <v>306</v>
      </c>
      <c r="B269" s="9" t="s">
        <v>37</v>
      </c>
      <c r="C269" s="9">
        <v>111</v>
      </c>
      <c r="D269" s="10" t="s">
        <v>40</v>
      </c>
      <c r="E269" s="11">
        <v>45008</v>
      </c>
      <c r="F269" s="9">
        <v>86</v>
      </c>
      <c r="G269" s="9">
        <v>4.0999999999999996</v>
      </c>
      <c r="H269" s="9">
        <f>IF(MONTH(Call_Table_Data[[#This Row],[Date of Call]])&lt;=3,YEAR(Call_Table_Data[[#This Row],[Date of Call]]),YEAR(Call_Table_Data[[#This Row],[Date of Call]])+1)</f>
        <v>2023</v>
      </c>
      <c r="I269" s="9" t="str">
        <f>TEXT(Call_Table_Data[[#This Row],[Date of Call]],"DDDD")</f>
        <v>Thursday</v>
      </c>
      <c r="J269" s="9" t="str" cm="1">
        <f t="array" ref="J269">_xlfn.IFS(Call_Table_Data[[#This Row],[Duration]]&lt;=10,"Under 10 Mins",Call_Table_Data[[#This Row],[Duration]]&lt;=30,"10 to 30 Mins",Call_Table_Data[[#This Row],[Duration]]&lt;=60,"30 to 60 Mins",Call_Table_Data[[#This Row],[Duration]]&lt;=120,"1 to 2 Hours",TRUE,"More Than 2 Hours")</f>
        <v>1 to 2 Hours</v>
      </c>
      <c r="K269" s="9">
        <f>ROUND(Call_Table_Data[[#This Row],[Satisfaction Rating]],0)</f>
        <v>4</v>
      </c>
    </row>
    <row r="270" spans="1:11" x14ac:dyDescent="0.3">
      <c r="A270" s="9" t="s">
        <v>307</v>
      </c>
      <c r="B270" s="9" t="s">
        <v>50</v>
      </c>
      <c r="C270" s="9">
        <v>142</v>
      </c>
      <c r="D270" s="10" t="s">
        <v>40</v>
      </c>
      <c r="E270" s="11">
        <v>45009</v>
      </c>
      <c r="F270" s="9">
        <v>31</v>
      </c>
      <c r="G270" s="9">
        <v>4.4000000000000004</v>
      </c>
      <c r="H270" s="9">
        <f>IF(MONTH(Call_Table_Data[[#This Row],[Date of Call]])&lt;=3,YEAR(Call_Table_Data[[#This Row],[Date of Call]]),YEAR(Call_Table_Data[[#This Row],[Date of Call]])+1)</f>
        <v>2023</v>
      </c>
      <c r="I270" s="9" t="str">
        <f>TEXT(Call_Table_Data[[#This Row],[Date of Call]],"DDDD")</f>
        <v>Friday</v>
      </c>
      <c r="J270" s="9" t="str" cm="1">
        <f t="array" ref="J270">_xlfn.IFS(Call_Table_Data[[#This Row],[Duration]]&lt;=10,"Under 10 Mins",Call_Table_Data[[#This Row],[Duration]]&lt;=30,"10 to 30 Mins",Call_Table_Data[[#This Row],[Duration]]&lt;=60,"30 to 60 Mins",Call_Table_Data[[#This Row],[Duration]]&lt;=120,"1 to 2 Hours",TRUE,"More Than 2 Hours")</f>
        <v>More Than 2 Hours</v>
      </c>
      <c r="K270" s="9">
        <f>ROUND(Call_Table_Data[[#This Row],[Satisfaction Rating]],0)</f>
        <v>4</v>
      </c>
    </row>
    <row r="271" spans="1:11" x14ac:dyDescent="0.3">
      <c r="A271" s="9" t="s">
        <v>308</v>
      </c>
      <c r="B271" s="9" t="s">
        <v>26</v>
      </c>
      <c r="C271" s="9">
        <v>93</v>
      </c>
      <c r="D271" s="10" t="s">
        <v>46</v>
      </c>
      <c r="E271" s="11">
        <v>45009</v>
      </c>
      <c r="F271" s="9">
        <v>72</v>
      </c>
      <c r="G271" s="9">
        <v>4.4000000000000004</v>
      </c>
      <c r="H271" s="9">
        <f>IF(MONTH(Call_Table_Data[[#This Row],[Date of Call]])&lt;=3,YEAR(Call_Table_Data[[#This Row],[Date of Call]]),YEAR(Call_Table_Data[[#This Row],[Date of Call]])+1)</f>
        <v>2023</v>
      </c>
      <c r="I271" s="9" t="str">
        <f>TEXT(Call_Table_Data[[#This Row],[Date of Call]],"DDDD")</f>
        <v>Friday</v>
      </c>
      <c r="J271" s="9" t="str" cm="1">
        <f t="array" ref="J271">_xlfn.IFS(Call_Table_Data[[#This Row],[Duration]]&lt;=10,"Under 10 Mins",Call_Table_Data[[#This Row],[Duration]]&lt;=30,"10 to 30 Mins",Call_Table_Data[[#This Row],[Duration]]&lt;=60,"30 to 60 Mins",Call_Table_Data[[#This Row],[Duration]]&lt;=120,"1 to 2 Hours",TRUE,"More Than 2 Hours")</f>
        <v>1 to 2 Hours</v>
      </c>
      <c r="K271" s="9">
        <f>ROUND(Call_Table_Data[[#This Row],[Satisfaction Rating]],0)</f>
        <v>4</v>
      </c>
    </row>
    <row r="272" spans="1:11" x14ac:dyDescent="0.3">
      <c r="A272" s="9" t="s">
        <v>309</v>
      </c>
      <c r="B272" s="9" t="s">
        <v>50</v>
      </c>
      <c r="C272" s="9">
        <v>125</v>
      </c>
      <c r="D272" s="10" t="s">
        <v>17</v>
      </c>
      <c r="E272" s="11">
        <v>45010</v>
      </c>
      <c r="F272" s="9">
        <v>27</v>
      </c>
      <c r="G272" s="9">
        <v>3</v>
      </c>
      <c r="H272" s="9">
        <f>IF(MONTH(Call_Table_Data[[#This Row],[Date of Call]])&lt;=3,YEAR(Call_Table_Data[[#This Row],[Date of Call]]),YEAR(Call_Table_Data[[#This Row],[Date of Call]])+1)</f>
        <v>2023</v>
      </c>
      <c r="I272" s="9" t="str">
        <f>TEXT(Call_Table_Data[[#This Row],[Date of Call]],"DDDD")</f>
        <v>Saturday</v>
      </c>
      <c r="J272" s="9" t="str" cm="1">
        <f t="array" ref="J272">_xlfn.IFS(Call_Table_Data[[#This Row],[Duration]]&lt;=10,"Under 10 Mins",Call_Table_Data[[#This Row],[Duration]]&lt;=30,"10 to 30 Mins",Call_Table_Data[[#This Row],[Duration]]&lt;=60,"30 to 60 Mins",Call_Table_Data[[#This Row],[Duration]]&lt;=120,"1 to 2 Hours",TRUE,"More Than 2 Hours")</f>
        <v>More Than 2 Hours</v>
      </c>
      <c r="K272" s="9">
        <f>ROUND(Call_Table_Data[[#This Row],[Satisfaction Rating]],0)</f>
        <v>3</v>
      </c>
    </row>
    <row r="273" spans="1:11" x14ac:dyDescent="0.3">
      <c r="A273" s="9" t="s">
        <v>310</v>
      </c>
      <c r="B273" s="9" t="s">
        <v>41</v>
      </c>
      <c r="C273" s="9">
        <v>76</v>
      </c>
      <c r="D273" s="10" t="s">
        <v>27</v>
      </c>
      <c r="E273" s="11">
        <v>45010</v>
      </c>
      <c r="F273" s="9">
        <v>110</v>
      </c>
      <c r="G273" s="9">
        <v>4.4000000000000004</v>
      </c>
      <c r="H273" s="9">
        <f>IF(MONTH(Call_Table_Data[[#This Row],[Date of Call]])&lt;=3,YEAR(Call_Table_Data[[#This Row],[Date of Call]]),YEAR(Call_Table_Data[[#This Row],[Date of Call]])+1)</f>
        <v>2023</v>
      </c>
      <c r="I273" s="9" t="str">
        <f>TEXT(Call_Table_Data[[#This Row],[Date of Call]],"DDDD")</f>
        <v>Saturday</v>
      </c>
      <c r="J273" s="9" t="str" cm="1">
        <f t="array" ref="J273">_xlfn.IFS(Call_Table_Data[[#This Row],[Duration]]&lt;=10,"Under 10 Mins",Call_Table_Data[[#This Row],[Duration]]&lt;=30,"10 to 30 Mins",Call_Table_Data[[#This Row],[Duration]]&lt;=60,"30 to 60 Mins",Call_Table_Data[[#This Row],[Duration]]&lt;=120,"1 to 2 Hours",TRUE,"More Than 2 Hours")</f>
        <v>1 to 2 Hours</v>
      </c>
      <c r="K273" s="9">
        <f>ROUND(Call_Table_Data[[#This Row],[Satisfaction Rating]],0)</f>
        <v>4</v>
      </c>
    </row>
    <row r="274" spans="1:11" x14ac:dyDescent="0.3">
      <c r="A274" s="9" t="s">
        <v>311</v>
      </c>
      <c r="B274" s="9" t="s">
        <v>35</v>
      </c>
      <c r="C274" s="9">
        <v>69</v>
      </c>
      <c r="D274" s="10" t="s">
        <v>46</v>
      </c>
      <c r="E274" s="11">
        <v>45010</v>
      </c>
      <c r="F274" s="9">
        <v>126</v>
      </c>
      <c r="G274" s="9">
        <v>3.7</v>
      </c>
      <c r="H274" s="9">
        <f>IF(MONTH(Call_Table_Data[[#This Row],[Date of Call]])&lt;=3,YEAR(Call_Table_Data[[#This Row],[Date of Call]]),YEAR(Call_Table_Data[[#This Row],[Date of Call]])+1)</f>
        <v>2023</v>
      </c>
      <c r="I274" s="9" t="str">
        <f>TEXT(Call_Table_Data[[#This Row],[Date of Call]],"DDDD")</f>
        <v>Saturday</v>
      </c>
      <c r="J274" s="9" t="str" cm="1">
        <f t="array" ref="J274">_xlfn.IFS(Call_Table_Data[[#This Row],[Duration]]&lt;=10,"Under 10 Mins",Call_Table_Data[[#This Row],[Duration]]&lt;=30,"10 to 30 Mins",Call_Table_Data[[#This Row],[Duration]]&lt;=60,"30 to 60 Mins",Call_Table_Data[[#This Row],[Duration]]&lt;=120,"1 to 2 Hours",TRUE,"More Than 2 Hours")</f>
        <v>1 to 2 Hours</v>
      </c>
      <c r="K274" s="9">
        <f>ROUND(Call_Table_Data[[#This Row],[Satisfaction Rating]],0)</f>
        <v>4</v>
      </c>
    </row>
    <row r="275" spans="1:11" x14ac:dyDescent="0.3">
      <c r="A275" s="9" t="s">
        <v>312</v>
      </c>
      <c r="B275" s="9" t="s">
        <v>43</v>
      </c>
      <c r="C275" s="9">
        <v>149</v>
      </c>
      <c r="D275" s="10" t="s">
        <v>17</v>
      </c>
      <c r="E275" s="11">
        <v>45010</v>
      </c>
      <c r="F275" s="9">
        <v>60</v>
      </c>
      <c r="G275" s="9">
        <v>3.9</v>
      </c>
      <c r="H275" s="9">
        <f>IF(MONTH(Call_Table_Data[[#This Row],[Date of Call]])&lt;=3,YEAR(Call_Table_Data[[#This Row],[Date of Call]]),YEAR(Call_Table_Data[[#This Row],[Date of Call]])+1)</f>
        <v>2023</v>
      </c>
      <c r="I275" s="9" t="str">
        <f>TEXT(Call_Table_Data[[#This Row],[Date of Call]],"DDDD")</f>
        <v>Saturday</v>
      </c>
      <c r="J275" s="9" t="str" cm="1">
        <f t="array" ref="J275">_xlfn.IFS(Call_Table_Data[[#This Row],[Duration]]&lt;=10,"Under 10 Mins",Call_Table_Data[[#This Row],[Duration]]&lt;=30,"10 to 30 Mins",Call_Table_Data[[#This Row],[Duration]]&lt;=60,"30 to 60 Mins",Call_Table_Data[[#This Row],[Duration]]&lt;=120,"1 to 2 Hours",TRUE,"More Than 2 Hours")</f>
        <v>More Than 2 Hours</v>
      </c>
      <c r="K275" s="9">
        <f>ROUND(Call_Table_Data[[#This Row],[Satisfaction Rating]],0)</f>
        <v>4</v>
      </c>
    </row>
    <row r="276" spans="1:11" x14ac:dyDescent="0.3">
      <c r="A276" s="9" t="s">
        <v>313</v>
      </c>
      <c r="B276" s="9" t="s">
        <v>50</v>
      </c>
      <c r="C276" s="9">
        <v>57</v>
      </c>
      <c r="D276" s="10" t="s">
        <v>46</v>
      </c>
      <c r="E276" s="11">
        <v>45010</v>
      </c>
      <c r="F276" s="9">
        <v>35</v>
      </c>
      <c r="G276" s="9">
        <v>3.5</v>
      </c>
      <c r="H276" s="9">
        <f>IF(MONTH(Call_Table_Data[[#This Row],[Date of Call]])&lt;=3,YEAR(Call_Table_Data[[#This Row],[Date of Call]]),YEAR(Call_Table_Data[[#This Row],[Date of Call]])+1)</f>
        <v>2023</v>
      </c>
      <c r="I276" s="9" t="str">
        <f>TEXT(Call_Table_Data[[#This Row],[Date of Call]],"DDDD")</f>
        <v>Saturday</v>
      </c>
      <c r="J276" s="9" t="str" cm="1">
        <f t="array" ref="J276">_xlfn.IFS(Call_Table_Data[[#This Row],[Duration]]&lt;=10,"Under 10 Mins",Call_Table_Data[[#This Row],[Duration]]&lt;=30,"10 to 30 Mins",Call_Table_Data[[#This Row],[Duration]]&lt;=60,"30 to 60 Mins",Call_Table_Data[[#This Row],[Duration]]&lt;=120,"1 to 2 Hours",TRUE,"More Than 2 Hours")</f>
        <v>30 to 60 Mins</v>
      </c>
      <c r="K276" s="9">
        <f>ROUND(Call_Table_Data[[#This Row],[Satisfaction Rating]],0)</f>
        <v>4</v>
      </c>
    </row>
    <row r="277" spans="1:11" x14ac:dyDescent="0.3">
      <c r="A277" s="9" t="s">
        <v>314</v>
      </c>
      <c r="B277" s="9" t="s">
        <v>22</v>
      </c>
      <c r="C277" s="9">
        <v>113</v>
      </c>
      <c r="D277" s="10" t="s">
        <v>27</v>
      </c>
      <c r="E277" s="11">
        <v>45010</v>
      </c>
      <c r="F277" s="9">
        <v>81</v>
      </c>
      <c r="G277" s="9">
        <v>3.5</v>
      </c>
      <c r="H277" s="9">
        <f>IF(MONTH(Call_Table_Data[[#This Row],[Date of Call]])&lt;=3,YEAR(Call_Table_Data[[#This Row],[Date of Call]]),YEAR(Call_Table_Data[[#This Row],[Date of Call]])+1)</f>
        <v>2023</v>
      </c>
      <c r="I277" s="9" t="str">
        <f>TEXT(Call_Table_Data[[#This Row],[Date of Call]],"DDDD")</f>
        <v>Saturday</v>
      </c>
      <c r="J277" s="9" t="str" cm="1">
        <f t="array" ref="J277">_xlfn.IFS(Call_Table_Data[[#This Row],[Duration]]&lt;=10,"Under 10 Mins",Call_Table_Data[[#This Row],[Duration]]&lt;=30,"10 to 30 Mins",Call_Table_Data[[#This Row],[Duration]]&lt;=60,"30 to 60 Mins",Call_Table_Data[[#This Row],[Duration]]&lt;=120,"1 to 2 Hours",TRUE,"More Than 2 Hours")</f>
        <v>1 to 2 Hours</v>
      </c>
      <c r="K277" s="9">
        <f>ROUND(Call_Table_Data[[#This Row],[Satisfaction Rating]],0)</f>
        <v>4</v>
      </c>
    </row>
    <row r="278" spans="1:11" x14ac:dyDescent="0.3">
      <c r="A278" s="9" t="s">
        <v>315</v>
      </c>
      <c r="B278" s="9" t="s">
        <v>16</v>
      </c>
      <c r="C278" s="9">
        <v>160</v>
      </c>
      <c r="D278" s="10" t="s">
        <v>17</v>
      </c>
      <c r="E278" s="11">
        <v>45010</v>
      </c>
      <c r="F278" s="9">
        <v>116</v>
      </c>
      <c r="G278" s="9">
        <v>3.4</v>
      </c>
      <c r="H278" s="9">
        <f>IF(MONTH(Call_Table_Data[[#This Row],[Date of Call]])&lt;=3,YEAR(Call_Table_Data[[#This Row],[Date of Call]]),YEAR(Call_Table_Data[[#This Row],[Date of Call]])+1)</f>
        <v>2023</v>
      </c>
      <c r="I278" s="9" t="str">
        <f>TEXT(Call_Table_Data[[#This Row],[Date of Call]],"DDDD")</f>
        <v>Saturday</v>
      </c>
      <c r="J278" s="9" t="str" cm="1">
        <f t="array" ref="J278">_xlfn.IFS(Call_Table_Data[[#This Row],[Duration]]&lt;=10,"Under 10 Mins",Call_Table_Data[[#This Row],[Duration]]&lt;=30,"10 to 30 Mins",Call_Table_Data[[#This Row],[Duration]]&lt;=60,"30 to 60 Mins",Call_Table_Data[[#This Row],[Duration]]&lt;=120,"1 to 2 Hours",TRUE,"More Than 2 Hours")</f>
        <v>More Than 2 Hours</v>
      </c>
      <c r="K278" s="9">
        <f>ROUND(Call_Table_Data[[#This Row],[Satisfaction Rating]],0)</f>
        <v>3</v>
      </c>
    </row>
    <row r="279" spans="1:11" x14ac:dyDescent="0.3">
      <c r="A279" s="9" t="s">
        <v>316</v>
      </c>
      <c r="B279" s="9" t="s">
        <v>32</v>
      </c>
      <c r="C279" s="9">
        <v>158</v>
      </c>
      <c r="D279" s="10" t="s">
        <v>33</v>
      </c>
      <c r="E279" s="11">
        <v>45010</v>
      </c>
      <c r="F279" s="9">
        <v>60</v>
      </c>
      <c r="G279" s="9">
        <v>4.5</v>
      </c>
      <c r="H279" s="9">
        <f>IF(MONTH(Call_Table_Data[[#This Row],[Date of Call]])&lt;=3,YEAR(Call_Table_Data[[#This Row],[Date of Call]]),YEAR(Call_Table_Data[[#This Row],[Date of Call]])+1)</f>
        <v>2023</v>
      </c>
      <c r="I279" s="9" t="str">
        <f>TEXT(Call_Table_Data[[#This Row],[Date of Call]],"DDDD")</f>
        <v>Saturday</v>
      </c>
      <c r="J279" s="9" t="str" cm="1">
        <f t="array" ref="J279">_xlfn.IFS(Call_Table_Data[[#This Row],[Duration]]&lt;=10,"Under 10 Mins",Call_Table_Data[[#This Row],[Duration]]&lt;=30,"10 to 30 Mins",Call_Table_Data[[#This Row],[Duration]]&lt;=60,"30 to 60 Mins",Call_Table_Data[[#This Row],[Duration]]&lt;=120,"1 to 2 Hours",TRUE,"More Than 2 Hours")</f>
        <v>More Than 2 Hours</v>
      </c>
      <c r="K279" s="9">
        <f>ROUND(Call_Table_Data[[#This Row],[Satisfaction Rating]],0)</f>
        <v>5</v>
      </c>
    </row>
    <row r="280" spans="1:11" x14ac:dyDescent="0.3">
      <c r="A280" s="9" t="s">
        <v>317</v>
      </c>
      <c r="B280" s="9" t="s">
        <v>35</v>
      </c>
      <c r="C280" s="9">
        <v>77</v>
      </c>
      <c r="D280" s="10" t="s">
        <v>17</v>
      </c>
      <c r="E280" s="11">
        <v>45011</v>
      </c>
      <c r="F280" s="9">
        <v>130</v>
      </c>
      <c r="G280" s="9">
        <v>4.2</v>
      </c>
      <c r="H280" s="9">
        <f>IF(MONTH(Call_Table_Data[[#This Row],[Date of Call]])&lt;=3,YEAR(Call_Table_Data[[#This Row],[Date of Call]]),YEAR(Call_Table_Data[[#This Row],[Date of Call]])+1)</f>
        <v>2023</v>
      </c>
      <c r="I280" s="9" t="str">
        <f>TEXT(Call_Table_Data[[#This Row],[Date of Call]],"DDDD")</f>
        <v>Sunday</v>
      </c>
      <c r="J280" s="9" t="str" cm="1">
        <f t="array" ref="J280">_xlfn.IFS(Call_Table_Data[[#This Row],[Duration]]&lt;=10,"Under 10 Mins",Call_Table_Data[[#This Row],[Duration]]&lt;=30,"10 to 30 Mins",Call_Table_Data[[#This Row],[Duration]]&lt;=60,"30 to 60 Mins",Call_Table_Data[[#This Row],[Duration]]&lt;=120,"1 to 2 Hours",TRUE,"More Than 2 Hours")</f>
        <v>1 to 2 Hours</v>
      </c>
      <c r="K280" s="9">
        <f>ROUND(Call_Table_Data[[#This Row],[Satisfaction Rating]],0)</f>
        <v>4</v>
      </c>
    </row>
    <row r="281" spans="1:11" x14ac:dyDescent="0.3">
      <c r="A281" s="9" t="s">
        <v>318</v>
      </c>
      <c r="B281" s="9" t="s">
        <v>49</v>
      </c>
      <c r="C281" s="9">
        <v>118</v>
      </c>
      <c r="D281" s="10" t="s">
        <v>40</v>
      </c>
      <c r="E281" s="11">
        <v>45011</v>
      </c>
      <c r="F281" s="9">
        <v>99</v>
      </c>
      <c r="G281" s="9">
        <v>5</v>
      </c>
      <c r="H281" s="9">
        <f>IF(MONTH(Call_Table_Data[[#This Row],[Date of Call]])&lt;=3,YEAR(Call_Table_Data[[#This Row],[Date of Call]]),YEAR(Call_Table_Data[[#This Row],[Date of Call]])+1)</f>
        <v>2023</v>
      </c>
      <c r="I281" s="9" t="str">
        <f>TEXT(Call_Table_Data[[#This Row],[Date of Call]],"DDDD")</f>
        <v>Sunday</v>
      </c>
      <c r="J281" s="9" t="str" cm="1">
        <f t="array" ref="J281">_xlfn.IFS(Call_Table_Data[[#This Row],[Duration]]&lt;=10,"Under 10 Mins",Call_Table_Data[[#This Row],[Duration]]&lt;=30,"10 to 30 Mins",Call_Table_Data[[#This Row],[Duration]]&lt;=60,"30 to 60 Mins",Call_Table_Data[[#This Row],[Duration]]&lt;=120,"1 to 2 Hours",TRUE,"More Than 2 Hours")</f>
        <v>1 to 2 Hours</v>
      </c>
      <c r="K281" s="9">
        <f>ROUND(Call_Table_Data[[#This Row],[Satisfaction Rating]],0)</f>
        <v>5</v>
      </c>
    </row>
    <row r="282" spans="1:11" x14ac:dyDescent="0.3">
      <c r="A282" s="9" t="s">
        <v>319</v>
      </c>
      <c r="B282" s="9" t="s">
        <v>54</v>
      </c>
      <c r="C282" s="9">
        <v>75</v>
      </c>
      <c r="D282" s="10" t="s">
        <v>27</v>
      </c>
      <c r="E282" s="11">
        <v>45011</v>
      </c>
      <c r="F282" s="9">
        <v>135</v>
      </c>
      <c r="G282" s="9">
        <v>4.7</v>
      </c>
      <c r="H282" s="9">
        <f>IF(MONTH(Call_Table_Data[[#This Row],[Date of Call]])&lt;=3,YEAR(Call_Table_Data[[#This Row],[Date of Call]]),YEAR(Call_Table_Data[[#This Row],[Date of Call]])+1)</f>
        <v>2023</v>
      </c>
      <c r="I282" s="9" t="str">
        <f>TEXT(Call_Table_Data[[#This Row],[Date of Call]],"DDDD")</f>
        <v>Sunday</v>
      </c>
      <c r="J282" s="9" t="str" cm="1">
        <f t="array" ref="J282">_xlfn.IFS(Call_Table_Data[[#This Row],[Duration]]&lt;=10,"Under 10 Mins",Call_Table_Data[[#This Row],[Duration]]&lt;=30,"10 to 30 Mins",Call_Table_Data[[#This Row],[Duration]]&lt;=60,"30 to 60 Mins",Call_Table_Data[[#This Row],[Duration]]&lt;=120,"1 to 2 Hours",TRUE,"More Than 2 Hours")</f>
        <v>1 to 2 Hours</v>
      </c>
      <c r="K282" s="9">
        <f>ROUND(Call_Table_Data[[#This Row],[Satisfaction Rating]],0)</f>
        <v>5</v>
      </c>
    </row>
    <row r="283" spans="1:11" x14ac:dyDescent="0.3">
      <c r="A283" s="9" t="s">
        <v>320</v>
      </c>
      <c r="B283" s="9" t="s">
        <v>22</v>
      </c>
      <c r="C283" s="9">
        <v>103</v>
      </c>
      <c r="D283" s="10" t="s">
        <v>17</v>
      </c>
      <c r="E283" s="11">
        <v>45011</v>
      </c>
      <c r="F283" s="9">
        <v>42</v>
      </c>
      <c r="G283" s="9">
        <v>2.8</v>
      </c>
      <c r="H283" s="9">
        <f>IF(MONTH(Call_Table_Data[[#This Row],[Date of Call]])&lt;=3,YEAR(Call_Table_Data[[#This Row],[Date of Call]]),YEAR(Call_Table_Data[[#This Row],[Date of Call]])+1)</f>
        <v>2023</v>
      </c>
      <c r="I283" s="9" t="str">
        <f>TEXT(Call_Table_Data[[#This Row],[Date of Call]],"DDDD")</f>
        <v>Sunday</v>
      </c>
      <c r="J283" s="9" t="str" cm="1">
        <f t="array" ref="J283">_xlfn.IFS(Call_Table_Data[[#This Row],[Duration]]&lt;=10,"Under 10 Mins",Call_Table_Data[[#This Row],[Duration]]&lt;=30,"10 to 30 Mins",Call_Table_Data[[#This Row],[Duration]]&lt;=60,"30 to 60 Mins",Call_Table_Data[[#This Row],[Duration]]&lt;=120,"1 to 2 Hours",TRUE,"More Than 2 Hours")</f>
        <v>1 to 2 Hours</v>
      </c>
      <c r="K283" s="9">
        <f>ROUND(Call_Table_Data[[#This Row],[Satisfaction Rating]],0)</f>
        <v>3</v>
      </c>
    </row>
    <row r="284" spans="1:11" x14ac:dyDescent="0.3">
      <c r="A284" s="9" t="s">
        <v>321</v>
      </c>
      <c r="B284" s="9" t="s">
        <v>35</v>
      </c>
      <c r="C284" s="9">
        <v>116</v>
      </c>
      <c r="D284" s="10" t="s">
        <v>40</v>
      </c>
      <c r="E284" s="11">
        <v>45012</v>
      </c>
      <c r="F284" s="9">
        <v>63</v>
      </c>
      <c r="G284" s="9">
        <v>3.4</v>
      </c>
      <c r="H284" s="9">
        <f>IF(MONTH(Call_Table_Data[[#This Row],[Date of Call]])&lt;=3,YEAR(Call_Table_Data[[#This Row],[Date of Call]]),YEAR(Call_Table_Data[[#This Row],[Date of Call]])+1)</f>
        <v>2023</v>
      </c>
      <c r="I284" s="9" t="str">
        <f>TEXT(Call_Table_Data[[#This Row],[Date of Call]],"DDDD")</f>
        <v>Monday</v>
      </c>
      <c r="J284" s="9" t="str" cm="1">
        <f t="array" ref="J284">_xlfn.IFS(Call_Table_Data[[#This Row],[Duration]]&lt;=10,"Under 10 Mins",Call_Table_Data[[#This Row],[Duration]]&lt;=30,"10 to 30 Mins",Call_Table_Data[[#This Row],[Duration]]&lt;=60,"30 to 60 Mins",Call_Table_Data[[#This Row],[Duration]]&lt;=120,"1 to 2 Hours",TRUE,"More Than 2 Hours")</f>
        <v>1 to 2 Hours</v>
      </c>
      <c r="K284" s="9">
        <f>ROUND(Call_Table_Data[[#This Row],[Satisfaction Rating]],0)</f>
        <v>3</v>
      </c>
    </row>
    <row r="285" spans="1:11" x14ac:dyDescent="0.3">
      <c r="A285" s="9" t="s">
        <v>322</v>
      </c>
      <c r="B285" s="9" t="s">
        <v>37</v>
      </c>
      <c r="C285" s="9">
        <v>61</v>
      </c>
      <c r="D285" s="10" t="s">
        <v>33</v>
      </c>
      <c r="E285" s="11">
        <v>45012</v>
      </c>
      <c r="F285" s="9">
        <v>140</v>
      </c>
      <c r="G285" s="9">
        <v>1.8</v>
      </c>
      <c r="H285" s="9">
        <f>IF(MONTH(Call_Table_Data[[#This Row],[Date of Call]])&lt;=3,YEAR(Call_Table_Data[[#This Row],[Date of Call]]),YEAR(Call_Table_Data[[#This Row],[Date of Call]])+1)</f>
        <v>2023</v>
      </c>
      <c r="I285" s="9" t="str">
        <f>TEXT(Call_Table_Data[[#This Row],[Date of Call]],"DDDD")</f>
        <v>Monday</v>
      </c>
      <c r="J285" s="9" t="str" cm="1">
        <f t="array" ref="J285">_xlfn.IFS(Call_Table_Data[[#This Row],[Duration]]&lt;=10,"Under 10 Mins",Call_Table_Data[[#This Row],[Duration]]&lt;=30,"10 to 30 Mins",Call_Table_Data[[#This Row],[Duration]]&lt;=60,"30 to 60 Mins",Call_Table_Data[[#This Row],[Duration]]&lt;=120,"1 to 2 Hours",TRUE,"More Than 2 Hours")</f>
        <v>1 to 2 Hours</v>
      </c>
      <c r="K285" s="9">
        <f>ROUND(Call_Table_Data[[#This Row],[Satisfaction Rating]],0)</f>
        <v>2</v>
      </c>
    </row>
    <row r="286" spans="1:11" x14ac:dyDescent="0.3">
      <c r="A286" s="9" t="s">
        <v>323</v>
      </c>
      <c r="B286" s="9" t="s">
        <v>50</v>
      </c>
      <c r="C286" s="9">
        <v>126</v>
      </c>
      <c r="D286" s="10" t="s">
        <v>27</v>
      </c>
      <c r="E286" s="11">
        <v>45012</v>
      </c>
      <c r="F286" s="9">
        <v>128</v>
      </c>
      <c r="G286" s="9">
        <v>4.2</v>
      </c>
      <c r="H286" s="9">
        <f>IF(MONTH(Call_Table_Data[[#This Row],[Date of Call]])&lt;=3,YEAR(Call_Table_Data[[#This Row],[Date of Call]]),YEAR(Call_Table_Data[[#This Row],[Date of Call]])+1)</f>
        <v>2023</v>
      </c>
      <c r="I286" s="9" t="str">
        <f>TEXT(Call_Table_Data[[#This Row],[Date of Call]],"DDDD")</f>
        <v>Monday</v>
      </c>
      <c r="J286" s="9" t="str" cm="1">
        <f t="array" ref="J286">_xlfn.IFS(Call_Table_Data[[#This Row],[Duration]]&lt;=10,"Under 10 Mins",Call_Table_Data[[#This Row],[Duration]]&lt;=30,"10 to 30 Mins",Call_Table_Data[[#This Row],[Duration]]&lt;=60,"30 to 60 Mins",Call_Table_Data[[#This Row],[Duration]]&lt;=120,"1 to 2 Hours",TRUE,"More Than 2 Hours")</f>
        <v>More Than 2 Hours</v>
      </c>
      <c r="K286" s="9">
        <f>ROUND(Call_Table_Data[[#This Row],[Satisfaction Rating]],0)</f>
        <v>4</v>
      </c>
    </row>
    <row r="287" spans="1:11" x14ac:dyDescent="0.3">
      <c r="A287" s="9" t="s">
        <v>324</v>
      </c>
      <c r="B287" s="9" t="s">
        <v>23</v>
      </c>
      <c r="C287" s="9">
        <v>141</v>
      </c>
      <c r="D287" s="10" t="s">
        <v>46</v>
      </c>
      <c r="E287" s="11">
        <v>45012</v>
      </c>
      <c r="F287" s="9">
        <v>80</v>
      </c>
      <c r="G287" s="9">
        <v>4.4000000000000004</v>
      </c>
      <c r="H287" s="9">
        <f>IF(MONTH(Call_Table_Data[[#This Row],[Date of Call]])&lt;=3,YEAR(Call_Table_Data[[#This Row],[Date of Call]]),YEAR(Call_Table_Data[[#This Row],[Date of Call]])+1)</f>
        <v>2023</v>
      </c>
      <c r="I287" s="9" t="str">
        <f>TEXT(Call_Table_Data[[#This Row],[Date of Call]],"DDDD")</f>
        <v>Monday</v>
      </c>
      <c r="J287" s="9" t="str" cm="1">
        <f t="array" ref="J287">_xlfn.IFS(Call_Table_Data[[#This Row],[Duration]]&lt;=10,"Under 10 Mins",Call_Table_Data[[#This Row],[Duration]]&lt;=30,"10 to 30 Mins",Call_Table_Data[[#This Row],[Duration]]&lt;=60,"30 to 60 Mins",Call_Table_Data[[#This Row],[Duration]]&lt;=120,"1 to 2 Hours",TRUE,"More Than 2 Hours")</f>
        <v>More Than 2 Hours</v>
      </c>
      <c r="K287" s="9">
        <f>ROUND(Call_Table_Data[[#This Row],[Satisfaction Rating]],0)</f>
        <v>4</v>
      </c>
    </row>
    <row r="288" spans="1:11" x14ac:dyDescent="0.3">
      <c r="A288" s="9" t="s">
        <v>325</v>
      </c>
      <c r="B288" s="9" t="s">
        <v>32</v>
      </c>
      <c r="C288" s="9">
        <v>95</v>
      </c>
      <c r="D288" s="10" t="s">
        <v>40</v>
      </c>
      <c r="E288" s="11">
        <v>45012</v>
      </c>
      <c r="F288" s="9">
        <v>28</v>
      </c>
      <c r="G288" s="9">
        <v>2.7</v>
      </c>
      <c r="H288" s="9">
        <f>IF(MONTH(Call_Table_Data[[#This Row],[Date of Call]])&lt;=3,YEAR(Call_Table_Data[[#This Row],[Date of Call]]),YEAR(Call_Table_Data[[#This Row],[Date of Call]])+1)</f>
        <v>2023</v>
      </c>
      <c r="I288" s="9" t="str">
        <f>TEXT(Call_Table_Data[[#This Row],[Date of Call]],"DDDD")</f>
        <v>Monday</v>
      </c>
      <c r="J288" s="9" t="str" cm="1">
        <f t="array" ref="J288">_xlfn.IFS(Call_Table_Data[[#This Row],[Duration]]&lt;=10,"Under 10 Mins",Call_Table_Data[[#This Row],[Duration]]&lt;=30,"10 to 30 Mins",Call_Table_Data[[#This Row],[Duration]]&lt;=60,"30 to 60 Mins",Call_Table_Data[[#This Row],[Duration]]&lt;=120,"1 to 2 Hours",TRUE,"More Than 2 Hours")</f>
        <v>1 to 2 Hours</v>
      </c>
      <c r="K288" s="9">
        <f>ROUND(Call_Table_Data[[#This Row],[Satisfaction Rating]],0)</f>
        <v>3</v>
      </c>
    </row>
    <row r="289" spans="1:11" x14ac:dyDescent="0.3">
      <c r="A289" s="9" t="s">
        <v>326</v>
      </c>
      <c r="B289" s="9" t="s">
        <v>54</v>
      </c>
      <c r="C289" s="9">
        <v>39</v>
      </c>
      <c r="D289" s="10" t="s">
        <v>33</v>
      </c>
      <c r="E289" s="11">
        <v>45013</v>
      </c>
      <c r="F289" s="9">
        <v>81</v>
      </c>
      <c r="G289" s="9">
        <v>5</v>
      </c>
      <c r="H289" s="9">
        <f>IF(MONTH(Call_Table_Data[[#This Row],[Date of Call]])&lt;=3,YEAR(Call_Table_Data[[#This Row],[Date of Call]]),YEAR(Call_Table_Data[[#This Row],[Date of Call]])+1)</f>
        <v>2023</v>
      </c>
      <c r="I289" s="9" t="str">
        <f>TEXT(Call_Table_Data[[#This Row],[Date of Call]],"DDDD")</f>
        <v>Tuesday</v>
      </c>
      <c r="J289" s="9" t="str" cm="1">
        <f t="array" ref="J289">_xlfn.IFS(Call_Table_Data[[#This Row],[Duration]]&lt;=10,"Under 10 Mins",Call_Table_Data[[#This Row],[Duration]]&lt;=30,"10 to 30 Mins",Call_Table_Data[[#This Row],[Duration]]&lt;=60,"30 to 60 Mins",Call_Table_Data[[#This Row],[Duration]]&lt;=120,"1 to 2 Hours",TRUE,"More Than 2 Hours")</f>
        <v>30 to 60 Mins</v>
      </c>
      <c r="K289" s="9">
        <f>ROUND(Call_Table_Data[[#This Row],[Satisfaction Rating]],0)</f>
        <v>5</v>
      </c>
    </row>
    <row r="290" spans="1:11" x14ac:dyDescent="0.3">
      <c r="A290" s="9" t="s">
        <v>327</v>
      </c>
      <c r="B290" s="9" t="s">
        <v>22</v>
      </c>
      <c r="C290" s="9">
        <v>127</v>
      </c>
      <c r="D290" s="10" t="s">
        <v>27</v>
      </c>
      <c r="E290" s="11">
        <v>45013</v>
      </c>
      <c r="F290" s="9">
        <v>99</v>
      </c>
      <c r="G290" s="9">
        <v>3.9</v>
      </c>
      <c r="H290" s="9">
        <f>IF(MONTH(Call_Table_Data[[#This Row],[Date of Call]])&lt;=3,YEAR(Call_Table_Data[[#This Row],[Date of Call]]),YEAR(Call_Table_Data[[#This Row],[Date of Call]])+1)</f>
        <v>2023</v>
      </c>
      <c r="I290" s="9" t="str">
        <f>TEXT(Call_Table_Data[[#This Row],[Date of Call]],"DDDD")</f>
        <v>Tuesday</v>
      </c>
      <c r="J290" s="9" t="str" cm="1">
        <f t="array" ref="J290">_xlfn.IFS(Call_Table_Data[[#This Row],[Duration]]&lt;=10,"Under 10 Mins",Call_Table_Data[[#This Row],[Duration]]&lt;=30,"10 to 30 Mins",Call_Table_Data[[#This Row],[Duration]]&lt;=60,"30 to 60 Mins",Call_Table_Data[[#This Row],[Duration]]&lt;=120,"1 to 2 Hours",TRUE,"More Than 2 Hours")</f>
        <v>More Than 2 Hours</v>
      </c>
      <c r="K290" s="9">
        <f>ROUND(Call_Table_Data[[#This Row],[Satisfaction Rating]],0)</f>
        <v>4</v>
      </c>
    </row>
    <row r="291" spans="1:11" x14ac:dyDescent="0.3">
      <c r="A291" s="9" t="s">
        <v>328</v>
      </c>
      <c r="B291" s="9" t="s">
        <v>37</v>
      </c>
      <c r="C291" s="9">
        <v>78</v>
      </c>
      <c r="D291" s="10" t="s">
        <v>27</v>
      </c>
      <c r="E291" s="11">
        <v>45013</v>
      </c>
      <c r="F291" s="9">
        <v>43</v>
      </c>
      <c r="G291" s="9">
        <v>3.8</v>
      </c>
      <c r="H291" s="9">
        <f>IF(MONTH(Call_Table_Data[[#This Row],[Date of Call]])&lt;=3,YEAR(Call_Table_Data[[#This Row],[Date of Call]]),YEAR(Call_Table_Data[[#This Row],[Date of Call]])+1)</f>
        <v>2023</v>
      </c>
      <c r="I291" s="9" t="str">
        <f>TEXT(Call_Table_Data[[#This Row],[Date of Call]],"DDDD")</f>
        <v>Tuesday</v>
      </c>
      <c r="J291" s="9" t="str" cm="1">
        <f t="array" ref="J291">_xlfn.IFS(Call_Table_Data[[#This Row],[Duration]]&lt;=10,"Under 10 Mins",Call_Table_Data[[#This Row],[Duration]]&lt;=30,"10 to 30 Mins",Call_Table_Data[[#This Row],[Duration]]&lt;=60,"30 to 60 Mins",Call_Table_Data[[#This Row],[Duration]]&lt;=120,"1 to 2 Hours",TRUE,"More Than 2 Hours")</f>
        <v>1 to 2 Hours</v>
      </c>
      <c r="K291" s="9">
        <f>ROUND(Call_Table_Data[[#This Row],[Satisfaction Rating]],0)</f>
        <v>4</v>
      </c>
    </row>
    <row r="292" spans="1:11" x14ac:dyDescent="0.3">
      <c r="A292" s="9" t="s">
        <v>329</v>
      </c>
      <c r="B292" s="9" t="s">
        <v>49</v>
      </c>
      <c r="C292" s="9">
        <v>40</v>
      </c>
      <c r="D292" s="10" t="s">
        <v>27</v>
      </c>
      <c r="E292" s="11">
        <v>45013</v>
      </c>
      <c r="F292" s="9">
        <v>34</v>
      </c>
      <c r="G292" s="9">
        <v>4.5999999999999996</v>
      </c>
      <c r="H292" s="9">
        <f>IF(MONTH(Call_Table_Data[[#This Row],[Date of Call]])&lt;=3,YEAR(Call_Table_Data[[#This Row],[Date of Call]]),YEAR(Call_Table_Data[[#This Row],[Date of Call]])+1)</f>
        <v>2023</v>
      </c>
      <c r="I292" s="9" t="str">
        <f>TEXT(Call_Table_Data[[#This Row],[Date of Call]],"DDDD")</f>
        <v>Tuesday</v>
      </c>
      <c r="J292" s="9" t="str" cm="1">
        <f t="array" ref="J292">_xlfn.IFS(Call_Table_Data[[#This Row],[Duration]]&lt;=10,"Under 10 Mins",Call_Table_Data[[#This Row],[Duration]]&lt;=30,"10 to 30 Mins",Call_Table_Data[[#This Row],[Duration]]&lt;=60,"30 to 60 Mins",Call_Table_Data[[#This Row],[Duration]]&lt;=120,"1 to 2 Hours",TRUE,"More Than 2 Hours")</f>
        <v>30 to 60 Mins</v>
      </c>
      <c r="K292" s="9">
        <f>ROUND(Call_Table_Data[[#This Row],[Satisfaction Rating]],0)</f>
        <v>5</v>
      </c>
    </row>
    <row r="293" spans="1:11" x14ac:dyDescent="0.3">
      <c r="A293" s="9" t="s">
        <v>330</v>
      </c>
      <c r="B293" s="9" t="s">
        <v>37</v>
      </c>
      <c r="C293" s="9">
        <v>56</v>
      </c>
      <c r="D293" s="10" t="s">
        <v>33</v>
      </c>
      <c r="E293" s="11">
        <v>45013</v>
      </c>
      <c r="F293" s="9">
        <v>225</v>
      </c>
      <c r="G293" s="9">
        <v>4.5999999999999996</v>
      </c>
      <c r="H293" s="9">
        <f>IF(MONTH(Call_Table_Data[[#This Row],[Date of Call]])&lt;=3,YEAR(Call_Table_Data[[#This Row],[Date of Call]]),YEAR(Call_Table_Data[[#This Row],[Date of Call]])+1)</f>
        <v>2023</v>
      </c>
      <c r="I293" s="9" t="str">
        <f>TEXT(Call_Table_Data[[#This Row],[Date of Call]],"DDDD")</f>
        <v>Tuesday</v>
      </c>
      <c r="J293" s="9" t="str" cm="1">
        <f t="array" ref="J293">_xlfn.IFS(Call_Table_Data[[#This Row],[Duration]]&lt;=10,"Under 10 Mins",Call_Table_Data[[#This Row],[Duration]]&lt;=30,"10 to 30 Mins",Call_Table_Data[[#This Row],[Duration]]&lt;=60,"30 to 60 Mins",Call_Table_Data[[#This Row],[Duration]]&lt;=120,"1 to 2 Hours",TRUE,"More Than 2 Hours")</f>
        <v>30 to 60 Mins</v>
      </c>
      <c r="K293" s="9">
        <f>ROUND(Call_Table_Data[[#This Row],[Satisfaction Rating]],0)</f>
        <v>5</v>
      </c>
    </row>
    <row r="294" spans="1:11" x14ac:dyDescent="0.3">
      <c r="A294" s="9" t="s">
        <v>331</v>
      </c>
      <c r="B294" s="9" t="s">
        <v>54</v>
      </c>
      <c r="C294" s="9">
        <v>59</v>
      </c>
      <c r="D294" s="10" t="s">
        <v>46</v>
      </c>
      <c r="E294" s="11">
        <v>45013</v>
      </c>
      <c r="F294" s="9">
        <v>210</v>
      </c>
      <c r="G294" s="9">
        <v>4.5</v>
      </c>
      <c r="H294" s="9">
        <f>IF(MONTH(Call_Table_Data[[#This Row],[Date of Call]])&lt;=3,YEAR(Call_Table_Data[[#This Row],[Date of Call]]),YEAR(Call_Table_Data[[#This Row],[Date of Call]])+1)</f>
        <v>2023</v>
      </c>
      <c r="I294" s="9" t="str">
        <f>TEXT(Call_Table_Data[[#This Row],[Date of Call]],"DDDD")</f>
        <v>Tuesday</v>
      </c>
      <c r="J294" s="9" t="str" cm="1">
        <f t="array" ref="J294">_xlfn.IFS(Call_Table_Data[[#This Row],[Duration]]&lt;=10,"Under 10 Mins",Call_Table_Data[[#This Row],[Duration]]&lt;=30,"10 to 30 Mins",Call_Table_Data[[#This Row],[Duration]]&lt;=60,"30 to 60 Mins",Call_Table_Data[[#This Row],[Duration]]&lt;=120,"1 to 2 Hours",TRUE,"More Than 2 Hours")</f>
        <v>30 to 60 Mins</v>
      </c>
      <c r="K294" s="9">
        <f>ROUND(Call_Table_Data[[#This Row],[Satisfaction Rating]],0)</f>
        <v>5</v>
      </c>
    </row>
    <row r="295" spans="1:11" x14ac:dyDescent="0.3">
      <c r="A295" s="9" t="s">
        <v>332</v>
      </c>
      <c r="B295" s="9" t="s">
        <v>50</v>
      </c>
      <c r="C295" s="9">
        <v>30</v>
      </c>
      <c r="D295" s="10" t="s">
        <v>27</v>
      </c>
      <c r="E295" s="11">
        <v>45013</v>
      </c>
      <c r="F295" s="9">
        <v>168</v>
      </c>
      <c r="G295" s="9">
        <v>4.2</v>
      </c>
      <c r="H295" s="9">
        <f>IF(MONTH(Call_Table_Data[[#This Row],[Date of Call]])&lt;=3,YEAR(Call_Table_Data[[#This Row],[Date of Call]]),YEAR(Call_Table_Data[[#This Row],[Date of Call]])+1)</f>
        <v>2023</v>
      </c>
      <c r="I295" s="9" t="str">
        <f>TEXT(Call_Table_Data[[#This Row],[Date of Call]],"DDDD")</f>
        <v>Tuesday</v>
      </c>
      <c r="J295" s="9" t="str" cm="1">
        <f t="array" ref="J295">_xlfn.IFS(Call_Table_Data[[#This Row],[Duration]]&lt;=10,"Under 10 Mins",Call_Table_Data[[#This Row],[Duration]]&lt;=30,"10 to 30 Mins",Call_Table_Data[[#This Row],[Duration]]&lt;=60,"30 to 60 Mins",Call_Table_Data[[#This Row],[Duration]]&lt;=120,"1 to 2 Hours",TRUE,"More Than 2 Hours")</f>
        <v>10 to 30 Mins</v>
      </c>
      <c r="K295" s="9">
        <f>ROUND(Call_Table_Data[[#This Row],[Satisfaction Rating]],0)</f>
        <v>4</v>
      </c>
    </row>
    <row r="296" spans="1:11" x14ac:dyDescent="0.3">
      <c r="A296" s="9" t="s">
        <v>333</v>
      </c>
      <c r="B296" s="9" t="s">
        <v>49</v>
      </c>
      <c r="C296" s="9">
        <v>63</v>
      </c>
      <c r="D296" s="10" t="s">
        <v>17</v>
      </c>
      <c r="E296" s="11">
        <v>45014</v>
      </c>
      <c r="F296" s="9">
        <v>82</v>
      </c>
      <c r="G296" s="9">
        <v>4.5</v>
      </c>
      <c r="H296" s="9">
        <f>IF(MONTH(Call_Table_Data[[#This Row],[Date of Call]])&lt;=3,YEAR(Call_Table_Data[[#This Row],[Date of Call]]),YEAR(Call_Table_Data[[#This Row],[Date of Call]])+1)</f>
        <v>2023</v>
      </c>
      <c r="I296" s="9" t="str">
        <f>TEXT(Call_Table_Data[[#This Row],[Date of Call]],"DDDD")</f>
        <v>Wednesday</v>
      </c>
      <c r="J296" s="9" t="str" cm="1">
        <f t="array" ref="J296">_xlfn.IFS(Call_Table_Data[[#This Row],[Duration]]&lt;=10,"Under 10 Mins",Call_Table_Data[[#This Row],[Duration]]&lt;=30,"10 to 30 Mins",Call_Table_Data[[#This Row],[Duration]]&lt;=60,"30 to 60 Mins",Call_Table_Data[[#This Row],[Duration]]&lt;=120,"1 to 2 Hours",TRUE,"More Than 2 Hours")</f>
        <v>1 to 2 Hours</v>
      </c>
      <c r="K296" s="9">
        <f>ROUND(Call_Table_Data[[#This Row],[Satisfaction Rating]],0)</f>
        <v>5</v>
      </c>
    </row>
    <row r="297" spans="1:11" x14ac:dyDescent="0.3">
      <c r="A297" s="9" t="s">
        <v>334</v>
      </c>
      <c r="B297" s="9" t="s">
        <v>26</v>
      </c>
      <c r="C297" s="9">
        <v>56</v>
      </c>
      <c r="D297" s="10" t="s">
        <v>40</v>
      </c>
      <c r="E297" s="11">
        <v>45014</v>
      </c>
      <c r="F297" s="9">
        <v>88</v>
      </c>
      <c r="G297" s="9">
        <v>4.0999999999999996</v>
      </c>
      <c r="H297" s="9">
        <f>IF(MONTH(Call_Table_Data[[#This Row],[Date of Call]])&lt;=3,YEAR(Call_Table_Data[[#This Row],[Date of Call]]),YEAR(Call_Table_Data[[#This Row],[Date of Call]])+1)</f>
        <v>2023</v>
      </c>
      <c r="I297" s="9" t="str">
        <f>TEXT(Call_Table_Data[[#This Row],[Date of Call]],"DDDD")</f>
        <v>Wednesday</v>
      </c>
      <c r="J297" s="9" t="str" cm="1">
        <f t="array" ref="J297">_xlfn.IFS(Call_Table_Data[[#This Row],[Duration]]&lt;=10,"Under 10 Mins",Call_Table_Data[[#This Row],[Duration]]&lt;=30,"10 to 30 Mins",Call_Table_Data[[#This Row],[Duration]]&lt;=60,"30 to 60 Mins",Call_Table_Data[[#This Row],[Duration]]&lt;=120,"1 to 2 Hours",TRUE,"More Than 2 Hours")</f>
        <v>30 to 60 Mins</v>
      </c>
      <c r="K297" s="9">
        <f>ROUND(Call_Table_Data[[#This Row],[Satisfaction Rating]],0)</f>
        <v>4</v>
      </c>
    </row>
    <row r="298" spans="1:11" x14ac:dyDescent="0.3">
      <c r="A298" s="9" t="s">
        <v>335</v>
      </c>
      <c r="B298" s="9" t="s">
        <v>41</v>
      </c>
      <c r="C298" s="9">
        <v>95</v>
      </c>
      <c r="D298" s="10" t="s">
        <v>17</v>
      </c>
      <c r="E298" s="11">
        <v>45014</v>
      </c>
      <c r="F298" s="9">
        <v>111</v>
      </c>
      <c r="G298" s="9">
        <v>3.3</v>
      </c>
      <c r="H298" s="9">
        <f>IF(MONTH(Call_Table_Data[[#This Row],[Date of Call]])&lt;=3,YEAR(Call_Table_Data[[#This Row],[Date of Call]]),YEAR(Call_Table_Data[[#This Row],[Date of Call]])+1)</f>
        <v>2023</v>
      </c>
      <c r="I298" s="9" t="str">
        <f>TEXT(Call_Table_Data[[#This Row],[Date of Call]],"DDDD")</f>
        <v>Wednesday</v>
      </c>
      <c r="J298" s="9" t="str" cm="1">
        <f t="array" ref="J298">_xlfn.IFS(Call_Table_Data[[#This Row],[Duration]]&lt;=10,"Under 10 Mins",Call_Table_Data[[#This Row],[Duration]]&lt;=30,"10 to 30 Mins",Call_Table_Data[[#This Row],[Duration]]&lt;=60,"30 to 60 Mins",Call_Table_Data[[#This Row],[Duration]]&lt;=120,"1 to 2 Hours",TRUE,"More Than 2 Hours")</f>
        <v>1 to 2 Hours</v>
      </c>
      <c r="K298" s="9">
        <f>ROUND(Call_Table_Data[[#This Row],[Satisfaction Rating]],0)</f>
        <v>3</v>
      </c>
    </row>
    <row r="299" spans="1:11" x14ac:dyDescent="0.3">
      <c r="A299" s="9" t="s">
        <v>336</v>
      </c>
      <c r="B299" s="9" t="s">
        <v>18</v>
      </c>
      <c r="C299" s="9">
        <v>128</v>
      </c>
      <c r="D299" s="10" t="s">
        <v>46</v>
      </c>
      <c r="E299" s="11">
        <v>45014</v>
      </c>
      <c r="F299" s="9">
        <v>60</v>
      </c>
      <c r="G299" s="9">
        <v>3.8</v>
      </c>
      <c r="H299" s="9">
        <f>IF(MONTH(Call_Table_Data[[#This Row],[Date of Call]])&lt;=3,YEAR(Call_Table_Data[[#This Row],[Date of Call]]),YEAR(Call_Table_Data[[#This Row],[Date of Call]])+1)</f>
        <v>2023</v>
      </c>
      <c r="I299" s="9" t="str">
        <f>TEXT(Call_Table_Data[[#This Row],[Date of Call]],"DDDD")</f>
        <v>Wednesday</v>
      </c>
      <c r="J299" s="9" t="str" cm="1">
        <f t="array" ref="J299">_xlfn.IFS(Call_Table_Data[[#This Row],[Duration]]&lt;=10,"Under 10 Mins",Call_Table_Data[[#This Row],[Duration]]&lt;=30,"10 to 30 Mins",Call_Table_Data[[#This Row],[Duration]]&lt;=60,"30 to 60 Mins",Call_Table_Data[[#This Row],[Duration]]&lt;=120,"1 to 2 Hours",TRUE,"More Than 2 Hours")</f>
        <v>More Than 2 Hours</v>
      </c>
      <c r="K299" s="9">
        <f>ROUND(Call_Table_Data[[#This Row],[Satisfaction Rating]],0)</f>
        <v>4</v>
      </c>
    </row>
    <row r="300" spans="1:11" x14ac:dyDescent="0.3">
      <c r="A300" s="9" t="s">
        <v>337</v>
      </c>
      <c r="B300" s="9" t="s">
        <v>32</v>
      </c>
      <c r="C300" s="9">
        <v>49</v>
      </c>
      <c r="D300" s="10" t="s">
        <v>17</v>
      </c>
      <c r="E300" s="11">
        <v>45014</v>
      </c>
      <c r="F300" s="9">
        <v>80</v>
      </c>
      <c r="G300" s="9">
        <v>3</v>
      </c>
      <c r="H300" s="9">
        <f>IF(MONTH(Call_Table_Data[[#This Row],[Date of Call]])&lt;=3,YEAR(Call_Table_Data[[#This Row],[Date of Call]]),YEAR(Call_Table_Data[[#This Row],[Date of Call]])+1)</f>
        <v>2023</v>
      </c>
      <c r="I300" s="9" t="str">
        <f>TEXT(Call_Table_Data[[#This Row],[Date of Call]],"DDDD")</f>
        <v>Wednesday</v>
      </c>
      <c r="J300" s="9" t="str" cm="1">
        <f t="array" ref="J300">_xlfn.IFS(Call_Table_Data[[#This Row],[Duration]]&lt;=10,"Under 10 Mins",Call_Table_Data[[#This Row],[Duration]]&lt;=30,"10 to 30 Mins",Call_Table_Data[[#This Row],[Duration]]&lt;=60,"30 to 60 Mins",Call_Table_Data[[#This Row],[Duration]]&lt;=120,"1 to 2 Hours",TRUE,"More Than 2 Hours")</f>
        <v>30 to 60 Mins</v>
      </c>
      <c r="K300" s="9">
        <f>ROUND(Call_Table_Data[[#This Row],[Satisfaction Rating]],0)</f>
        <v>3</v>
      </c>
    </row>
    <row r="301" spans="1:11" x14ac:dyDescent="0.3">
      <c r="A301" s="9" t="s">
        <v>338</v>
      </c>
      <c r="B301" s="9" t="s">
        <v>18</v>
      </c>
      <c r="C301" s="9">
        <v>89</v>
      </c>
      <c r="D301" s="10" t="s">
        <v>33</v>
      </c>
      <c r="E301" s="11">
        <v>45016</v>
      </c>
      <c r="F301" s="9">
        <v>90</v>
      </c>
      <c r="G301" s="9">
        <v>4.5999999999999996</v>
      </c>
      <c r="H301" s="9">
        <f>IF(MONTH(Call_Table_Data[[#This Row],[Date of Call]])&lt;=3,YEAR(Call_Table_Data[[#This Row],[Date of Call]]),YEAR(Call_Table_Data[[#This Row],[Date of Call]])+1)</f>
        <v>2023</v>
      </c>
      <c r="I301" s="9" t="str">
        <f>TEXT(Call_Table_Data[[#This Row],[Date of Call]],"DDDD")</f>
        <v>Friday</v>
      </c>
      <c r="J301" s="9" t="str" cm="1">
        <f t="array" ref="J301">_xlfn.IFS(Call_Table_Data[[#This Row],[Duration]]&lt;=10,"Under 10 Mins",Call_Table_Data[[#This Row],[Duration]]&lt;=30,"10 to 30 Mins",Call_Table_Data[[#This Row],[Duration]]&lt;=60,"30 to 60 Mins",Call_Table_Data[[#This Row],[Duration]]&lt;=120,"1 to 2 Hours",TRUE,"More Than 2 Hours")</f>
        <v>1 to 2 Hours</v>
      </c>
      <c r="K301" s="9">
        <f>ROUND(Call_Table_Data[[#This Row],[Satisfaction Rating]],0)</f>
        <v>5</v>
      </c>
    </row>
    <row r="302" spans="1:11" x14ac:dyDescent="0.3">
      <c r="A302" s="9" t="s">
        <v>339</v>
      </c>
      <c r="B302" s="9" t="s">
        <v>43</v>
      </c>
      <c r="C302" s="9">
        <v>87</v>
      </c>
      <c r="D302" s="10" t="s">
        <v>17</v>
      </c>
      <c r="E302" s="11">
        <v>45016</v>
      </c>
      <c r="F302" s="9">
        <v>225</v>
      </c>
      <c r="G302" s="9">
        <v>2.9</v>
      </c>
      <c r="H302" s="9">
        <f>IF(MONTH(Call_Table_Data[[#This Row],[Date of Call]])&lt;=3,YEAR(Call_Table_Data[[#This Row],[Date of Call]]),YEAR(Call_Table_Data[[#This Row],[Date of Call]])+1)</f>
        <v>2023</v>
      </c>
      <c r="I302" s="9" t="str">
        <f>TEXT(Call_Table_Data[[#This Row],[Date of Call]],"DDDD")</f>
        <v>Friday</v>
      </c>
      <c r="J302" s="9" t="str" cm="1">
        <f t="array" ref="J302">_xlfn.IFS(Call_Table_Data[[#This Row],[Duration]]&lt;=10,"Under 10 Mins",Call_Table_Data[[#This Row],[Duration]]&lt;=30,"10 to 30 Mins",Call_Table_Data[[#This Row],[Duration]]&lt;=60,"30 to 60 Mins",Call_Table_Data[[#This Row],[Duration]]&lt;=120,"1 to 2 Hours",TRUE,"More Than 2 Hours")</f>
        <v>1 to 2 Hours</v>
      </c>
      <c r="K302" s="9">
        <f>ROUND(Call_Table_Data[[#This Row],[Satisfaction Rating]],0)</f>
        <v>3</v>
      </c>
    </row>
    <row r="303" spans="1:11" x14ac:dyDescent="0.3">
      <c r="A303" s="9" t="s">
        <v>340</v>
      </c>
      <c r="B303" s="9" t="s">
        <v>16</v>
      </c>
      <c r="C303" s="9">
        <v>60</v>
      </c>
      <c r="D303" s="10" t="s">
        <v>27</v>
      </c>
      <c r="E303" s="11">
        <v>45017</v>
      </c>
      <c r="F303" s="9">
        <v>215</v>
      </c>
      <c r="G303" s="9">
        <v>3.2</v>
      </c>
      <c r="H303" s="9">
        <f>IF(MONTH(Call_Table_Data[[#This Row],[Date of Call]])&lt;=3,YEAR(Call_Table_Data[[#This Row],[Date of Call]]),YEAR(Call_Table_Data[[#This Row],[Date of Call]])+1)</f>
        <v>2024</v>
      </c>
      <c r="I303" s="9" t="str">
        <f>TEXT(Call_Table_Data[[#This Row],[Date of Call]],"DDDD")</f>
        <v>Saturday</v>
      </c>
      <c r="J303" s="9" t="str" cm="1">
        <f t="array" ref="J303">_xlfn.IFS(Call_Table_Data[[#This Row],[Duration]]&lt;=10,"Under 10 Mins",Call_Table_Data[[#This Row],[Duration]]&lt;=30,"10 to 30 Mins",Call_Table_Data[[#This Row],[Duration]]&lt;=60,"30 to 60 Mins",Call_Table_Data[[#This Row],[Duration]]&lt;=120,"1 to 2 Hours",TRUE,"More Than 2 Hours")</f>
        <v>30 to 60 Mins</v>
      </c>
      <c r="K303" s="9">
        <f>ROUND(Call_Table_Data[[#This Row],[Satisfaction Rating]],0)</f>
        <v>3</v>
      </c>
    </row>
    <row r="304" spans="1:11" x14ac:dyDescent="0.3">
      <c r="A304" s="9" t="s">
        <v>341</v>
      </c>
      <c r="B304" s="9" t="s">
        <v>30</v>
      </c>
      <c r="C304" s="9">
        <v>42</v>
      </c>
      <c r="D304" s="10" t="s">
        <v>33</v>
      </c>
      <c r="E304" s="11">
        <v>45017</v>
      </c>
      <c r="F304" s="9">
        <v>45</v>
      </c>
      <c r="G304" s="9">
        <v>1.5</v>
      </c>
      <c r="H304" s="9">
        <f>IF(MONTH(Call_Table_Data[[#This Row],[Date of Call]])&lt;=3,YEAR(Call_Table_Data[[#This Row],[Date of Call]]),YEAR(Call_Table_Data[[#This Row],[Date of Call]])+1)</f>
        <v>2024</v>
      </c>
      <c r="I304" s="9" t="str">
        <f>TEXT(Call_Table_Data[[#This Row],[Date of Call]],"DDDD")</f>
        <v>Saturday</v>
      </c>
      <c r="J304" s="9" t="str" cm="1">
        <f t="array" ref="J304">_xlfn.IFS(Call_Table_Data[[#This Row],[Duration]]&lt;=10,"Under 10 Mins",Call_Table_Data[[#This Row],[Duration]]&lt;=30,"10 to 30 Mins",Call_Table_Data[[#This Row],[Duration]]&lt;=60,"30 to 60 Mins",Call_Table_Data[[#This Row],[Duration]]&lt;=120,"1 to 2 Hours",TRUE,"More Than 2 Hours")</f>
        <v>30 to 60 Mins</v>
      </c>
      <c r="K304" s="9">
        <f>ROUND(Call_Table_Data[[#This Row],[Satisfaction Rating]],0)</f>
        <v>2</v>
      </c>
    </row>
    <row r="305" spans="1:11" x14ac:dyDescent="0.3">
      <c r="A305" s="9" t="s">
        <v>342</v>
      </c>
      <c r="B305" s="9" t="s">
        <v>45</v>
      </c>
      <c r="C305" s="9">
        <v>99</v>
      </c>
      <c r="D305" s="10" t="s">
        <v>27</v>
      </c>
      <c r="E305" s="11">
        <v>45017</v>
      </c>
      <c r="F305" s="9">
        <v>74</v>
      </c>
      <c r="G305" s="9">
        <v>4</v>
      </c>
      <c r="H305" s="9">
        <f>IF(MONTH(Call_Table_Data[[#This Row],[Date of Call]])&lt;=3,YEAR(Call_Table_Data[[#This Row],[Date of Call]]),YEAR(Call_Table_Data[[#This Row],[Date of Call]])+1)</f>
        <v>2024</v>
      </c>
      <c r="I305" s="9" t="str">
        <f>TEXT(Call_Table_Data[[#This Row],[Date of Call]],"DDDD")</f>
        <v>Saturday</v>
      </c>
      <c r="J305" s="9" t="str" cm="1">
        <f t="array" ref="J305">_xlfn.IFS(Call_Table_Data[[#This Row],[Duration]]&lt;=10,"Under 10 Mins",Call_Table_Data[[#This Row],[Duration]]&lt;=30,"10 to 30 Mins",Call_Table_Data[[#This Row],[Duration]]&lt;=60,"30 to 60 Mins",Call_Table_Data[[#This Row],[Duration]]&lt;=120,"1 to 2 Hours",TRUE,"More Than 2 Hours")</f>
        <v>1 to 2 Hours</v>
      </c>
      <c r="K305" s="9">
        <f>ROUND(Call_Table_Data[[#This Row],[Satisfaction Rating]],0)</f>
        <v>4</v>
      </c>
    </row>
    <row r="306" spans="1:11" x14ac:dyDescent="0.3">
      <c r="A306" s="9" t="s">
        <v>343</v>
      </c>
      <c r="B306" s="9" t="s">
        <v>26</v>
      </c>
      <c r="C306" s="9">
        <v>20</v>
      </c>
      <c r="D306" s="10" t="s">
        <v>33</v>
      </c>
      <c r="E306" s="11">
        <v>45017</v>
      </c>
      <c r="F306" s="9">
        <v>60</v>
      </c>
      <c r="G306" s="9">
        <v>3.6</v>
      </c>
      <c r="H306" s="9">
        <f>IF(MONTH(Call_Table_Data[[#This Row],[Date of Call]])&lt;=3,YEAR(Call_Table_Data[[#This Row],[Date of Call]]),YEAR(Call_Table_Data[[#This Row],[Date of Call]])+1)</f>
        <v>2024</v>
      </c>
      <c r="I306" s="9" t="str">
        <f>TEXT(Call_Table_Data[[#This Row],[Date of Call]],"DDDD")</f>
        <v>Saturday</v>
      </c>
      <c r="J306" s="9" t="str" cm="1">
        <f t="array" ref="J306">_xlfn.IFS(Call_Table_Data[[#This Row],[Duration]]&lt;=10,"Under 10 Mins",Call_Table_Data[[#This Row],[Duration]]&lt;=30,"10 to 30 Mins",Call_Table_Data[[#This Row],[Duration]]&lt;=60,"30 to 60 Mins",Call_Table_Data[[#This Row],[Duration]]&lt;=120,"1 to 2 Hours",TRUE,"More Than 2 Hours")</f>
        <v>10 to 30 Mins</v>
      </c>
      <c r="K306" s="9">
        <f>ROUND(Call_Table_Data[[#This Row],[Satisfaction Rating]],0)</f>
        <v>4</v>
      </c>
    </row>
    <row r="307" spans="1:11" x14ac:dyDescent="0.3">
      <c r="A307" s="9" t="s">
        <v>344</v>
      </c>
      <c r="B307" s="9" t="s">
        <v>49</v>
      </c>
      <c r="C307" s="9">
        <v>65</v>
      </c>
      <c r="D307" s="10" t="s">
        <v>27</v>
      </c>
      <c r="E307" s="11">
        <v>45017</v>
      </c>
      <c r="F307" s="9">
        <v>64</v>
      </c>
      <c r="G307" s="9">
        <v>3.7</v>
      </c>
      <c r="H307" s="9">
        <f>IF(MONTH(Call_Table_Data[[#This Row],[Date of Call]])&lt;=3,YEAR(Call_Table_Data[[#This Row],[Date of Call]]),YEAR(Call_Table_Data[[#This Row],[Date of Call]])+1)</f>
        <v>2024</v>
      </c>
      <c r="I307" s="9" t="str">
        <f>TEXT(Call_Table_Data[[#This Row],[Date of Call]],"DDDD")</f>
        <v>Saturday</v>
      </c>
      <c r="J307" s="9" t="str" cm="1">
        <f t="array" ref="J307">_xlfn.IFS(Call_Table_Data[[#This Row],[Duration]]&lt;=10,"Under 10 Mins",Call_Table_Data[[#This Row],[Duration]]&lt;=30,"10 to 30 Mins",Call_Table_Data[[#This Row],[Duration]]&lt;=60,"30 to 60 Mins",Call_Table_Data[[#This Row],[Duration]]&lt;=120,"1 to 2 Hours",TRUE,"More Than 2 Hours")</f>
        <v>1 to 2 Hours</v>
      </c>
      <c r="K307" s="9">
        <f>ROUND(Call_Table_Data[[#This Row],[Satisfaction Rating]],0)</f>
        <v>4</v>
      </c>
    </row>
    <row r="308" spans="1:11" x14ac:dyDescent="0.3">
      <c r="A308" s="9" t="s">
        <v>345</v>
      </c>
      <c r="B308" s="9" t="s">
        <v>50</v>
      </c>
      <c r="C308" s="9">
        <v>71</v>
      </c>
      <c r="D308" s="10" t="s">
        <v>17</v>
      </c>
      <c r="E308" s="11">
        <v>45018</v>
      </c>
      <c r="F308" s="9">
        <v>110</v>
      </c>
      <c r="G308" s="9">
        <v>4.8</v>
      </c>
      <c r="H308" s="9">
        <f>IF(MONTH(Call_Table_Data[[#This Row],[Date of Call]])&lt;=3,YEAR(Call_Table_Data[[#This Row],[Date of Call]]),YEAR(Call_Table_Data[[#This Row],[Date of Call]])+1)</f>
        <v>2024</v>
      </c>
      <c r="I308" s="9" t="str">
        <f>TEXT(Call_Table_Data[[#This Row],[Date of Call]],"DDDD")</f>
        <v>Sunday</v>
      </c>
      <c r="J308" s="9" t="str" cm="1">
        <f t="array" ref="J308">_xlfn.IFS(Call_Table_Data[[#This Row],[Duration]]&lt;=10,"Under 10 Mins",Call_Table_Data[[#This Row],[Duration]]&lt;=30,"10 to 30 Mins",Call_Table_Data[[#This Row],[Duration]]&lt;=60,"30 to 60 Mins",Call_Table_Data[[#This Row],[Duration]]&lt;=120,"1 to 2 Hours",TRUE,"More Than 2 Hours")</f>
        <v>1 to 2 Hours</v>
      </c>
      <c r="K308" s="9">
        <f>ROUND(Call_Table_Data[[#This Row],[Satisfaction Rating]],0)</f>
        <v>5</v>
      </c>
    </row>
    <row r="309" spans="1:11" x14ac:dyDescent="0.3">
      <c r="A309" s="9" t="s">
        <v>346</v>
      </c>
      <c r="B309" s="9" t="s">
        <v>22</v>
      </c>
      <c r="C309" s="9">
        <v>95</v>
      </c>
      <c r="D309" s="10" t="s">
        <v>46</v>
      </c>
      <c r="E309" s="11">
        <v>45018</v>
      </c>
      <c r="F309" s="9">
        <v>52</v>
      </c>
      <c r="G309" s="9">
        <v>1.2</v>
      </c>
      <c r="H309" s="9">
        <f>IF(MONTH(Call_Table_Data[[#This Row],[Date of Call]])&lt;=3,YEAR(Call_Table_Data[[#This Row],[Date of Call]]),YEAR(Call_Table_Data[[#This Row],[Date of Call]])+1)</f>
        <v>2024</v>
      </c>
      <c r="I309" s="9" t="str">
        <f>TEXT(Call_Table_Data[[#This Row],[Date of Call]],"DDDD")</f>
        <v>Sunday</v>
      </c>
      <c r="J309" s="9" t="str" cm="1">
        <f t="array" ref="J309">_xlfn.IFS(Call_Table_Data[[#This Row],[Duration]]&lt;=10,"Under 10 Mins",Call_Table_Data[[#This Row],[Duration]]&lt;=30,"10 to 30 Mins",Call_Table_Data[[#This Row],[Duration]]&lt;=60,"30 to 60 Mins",Call_Table_Data[[#This Row],[Duration]]&lt;=120,"1 to 2 Hours",TRUE,"More Than 2 Hours")</f>
        <v>1 to 2 Hours</v>
      </c>
      <c r="K309" s="9">
        <f>ROUND(Call_Table_Data[[#This Row],[Satisfaction Rating]],0)</f>
        <v>1</v>
      </c>
    </row>
    <row r="310" spans="1:11" x14ac:dyDescent="0.3">
      <c r="A310" s="9" t="s">
        <v>347</v>
      </c>
      <c r="B310" s="9" t="s">
        <v>26</v>
      </c>
      <c r="C310" s="9">
        <v>81</v>
      </c>
      <c r="D310" s="10" t="s">
        <v>40</v>
      </c>
      <c r="E310" s="11">
        <v>45019</v>
      </c>
      <c r="F310" s="9">
        <v>160</v>
      </c>
      <c r="G310" s="9">
        <v>4.7</v>
      </c>
      <c r="H310" s="9">
        <f>IF(MONTH(Call_Table_Data[[#This Row],[Date of Call]])&lt;=3,YEAR(Call_Table_Data[[#This Row],[Date of Call]]),YEAR(Call_Table_Data[[#This Row],[Date of Call]])+1)</f>
        <v>2024</v>
      </c>
      <c r="I310" s="9" t="str">
        <f>TEXT(Call_Table_Data[[#This Row],[Date of Call]],"DDDD")</f>
        <v>Monday</v>
      </c>
      <c r="J310" s="9" t="str" cm="1">
        <f t="array" ref="J310">_xlfn.IFS(Call_Table_Data[[#This Row],[Duration]]&lt;=10,"Under 10 Mins",Call_Table_Data[[#This Row],[Duration]]&lt;=30,"10 to 30 Mins",Call_Table_Data[[#This Row],[Duration]]&lt;=60,"30 to 60 Mins",Call_Table_Data[[#This Row],[Duration]]&lt;=120,"1 to 2 Hours",TRUE,"More Than 2 Hours")</f>
        <v>1 to 2 Hours</v>
      </c>
      <c r="K310" s="9">
        <f>ROUND(Call_Table_Data[[#This Row],[Satisfaction Rating]],0)</f>
        <v>5</v>
      </c>
    </row>
    <row r="311" spans="1:11" x14ac:dyDescent="0.3">
      <c r="A311" s="9" t="s">
        <v>348</v>
      </c>
      <c r="B311" s="9" t="s">
        <v>35</v>
      </c>
      <c r="C311" s="9">
        <v>137</v>
      </c>
      <c r="D311" s="10" t="s">
        <v>40</v>
      </c>
      <c r="E311" s="11">
        <v>45019</v>
      </c>
      <c r="F311" s="9">
        <v>215</v>
      </c>
      <c r="G311" s="9">
        <v>4.7</v>
      </c>
      <c r="H311" s="9">
        <f>IF(MONTH(Call_Table_Data[[#This Row],[Date of Call]])&lt;=3,YEAR(Call_Table_Data[[#This Row],[Date of Call]]),YEAR(Call_Table_Data[[#This Row],[Date of Call]])+1)</f>
        <v>2024</v>
      </c>
      <c r="I311" s="9" t="str">
        <f>TEXT(Call_Table_Data[[#This Row],[Date of Call]],"DDDD")</f>
        <v>Monday</v>
      </c>
      <c r="J311" s="9" t="str" cm="1">
        <f t="array" ref="J311">_xlfn.IFS(Call_Table_Data[[#This Row],[Duration]]&lt;=10,"Under 10 Mins",Call_Table_Data[[#This Row],[Duration]]&lt;=30,"10 to 30 Mins",Call_Table_Data[[#This Row],[Duration]]&lt;=60,"30 to 60 Mins",Call_Table_Data[[#This Row],[Duration]]&lt;=120,"1 to 2 Hours",TRUE,"More Than 2 Hours")</f>
        <v>More Than 2 Hours</v>
      </c>
      <c r="K311" s="9">
        <f>ROUND(Call_Table_Data[[#This Row],[Satisfaction Rating]],0)</f>
        <v>5</v>
      </c>
    </row>
    <row r="312" spans="1:11" x14ac:dyDescent="0.3">
      <c r="A312" s="9" t="s">
        <v>349</v>
      </c>
      <c r="B312" s="9" t="s">
        <v>35</v>
      </c>
      <c r="C312" s="9">
        <v>40</v>
      </c>
      <c r="D312" s="10" t="s">
        <v>46</v>
      </c>
      <c r="E312" s="11">
        <v>45019</v>
      </c>
      <c r="F312" s="9">
        <v>220</v>
      </c>
      <c r="G312" s="9">
        <v>4.5</v>
      </c>
      <c r="H312" s="9">
        <f>IF(MONTH(Call_Table_Data[[#This Row],[Date of Call]])&lt;=3,YEAR(Call_Table_Data[[#This Row],[Date of Call]]),YEAR(Call_Table_Data[[#This Row],[Date of Call]])+1)</f>
        <v>2024</v>
      </c>
      <c r="I312" s="9" t="str">
        <f>TEXT(Call_Table_Data[[#This Row],[Date of Call]],"DDDD")</f>
        <v>Monday</v>
      </c>
      <c r="J312" s="9" t="str" cm="1">
        <f t="array" ref="J312">_xlfn.IFS(Call_Table_Data[[#This Row],[Duration]]&lt;=10,"Under 10 Mins",Call_Table_Data[[#This Row],[Duration]]&lt;=30,"10 to 30 Mins",Call_Table_Data[[#This Row],[Duration]]&lt;=60,"30 to 60 Mins",Call_Table_Data[[#This Row],[Duration]]&lt;=120,"1 to 2 Hours",TRUE,"More Than 2 Hours")</f>
        <v>30 to 60 Mins</v>
      </c>
      <c r="K312" s="9">
        <f>ROUND(Call_Table_Data[[#This Row],[Satisfaction Rating]],0)</f>
        <v>5</v>
      </c>
    </row>
    <row r="313" spans="1:11" x14ac:dyDescent="0.3">
      <c r="A313" s="9" t="s">
        <v>350</v>
      </c>
      <c r="B313" s="9" t="s">
        <v>45</v>
      </c>
      <c r="C313" s="9">
        <v>111</v>
      </c>
      <c r="D313" s="10" t="s">
        <v>27</v>
      </c>
      <c r="E313" s="11">
        <v>45020</v>
      </c>
      <c r="F313" s="9">
        <v>175</v>
      </c>
      <c r="G313" s="9">
        <v>3.5</v>
      </c>
      <c r="H313" s="9">
        <f>IF(MONTH(Call_Table_Data[[#This Row],[Date of Call]])&lt;=3,YEAR(Call_Table_Data[[#This Row],[Date of Call]]),YEAR(Call_Table_Data[[#This Row],[Date of Call]])+1)</f>
        <v>2024</v>
      </c>
      <c r="I313" s="9" t="str">
        <f>TEXT(Call_Table_Data[[#This Row],[Date of Call]],"DDDD")</f>
        <v>Tuesday</v>
      </c>
      <c r="J313" s="9" t="str" cm="1">
        <f t="array" ref="J313">_xlfn.IFS(Call_Table_Data[[#This Row],[Duration]]&lt;=10,"Under 10 Mins",Call_Table_Data[[#This Row],[Duration]]&lt;=30,"10 to 30 Mins",Call_Table_Data[[#This Row],[Duration]]&lt;=60,"30 to 60 Mins",Call_Table_Data[[#This Row],[Duration]]&lt;=120,"1 to 2 Hours",TRUE,"More Than 2 Hours")</f>
        <v>1 to 2 Hours</v>
      </c>
      <c r="K313" s="9">
        <f>ROUND(Call_Table_Data[[#This Row],[Satisfaction Rating]],0)</f>
        <v>4</v>
      </c>
    </row>
    <row r="314" spans="1:11" x14ac:dyDescent="0.3">
      <c r="A314" s="9" t="s">
        <v>351</v>
      </c>
      <c r="B314" s="9" t="s">
        <v>50</v>
      </c>
      <c r="C314" s="9">
        <v>106</v>
      </c>
      <c r="D314" s="10" t="s">
        <v>27</v>
      </c>
      <c r="E314" s="11">
        <v>45020</v>
      </c>
      <c r="F314" s="9">
        <v>145</v>
      </c>
      <c r="G314" s="9">
        <v>4.0999999999999996</v>
      </c>
      <c r="H314" s="9">
        <f>IF(MONTH(Call_Table_Data[[#This Row],[Date of Call]])&lt;=3,YEAR(Call_Table_Data[[#This Row],[Date of Call]]),YEAR(Call_Table_Data[[#This Row],[Date of Call]])+1)</f>
        <v>2024</v>
      </c>
      <c r="I314" s="9" t="str">
        <f>TEXT(Call_Table_Data[[#This Row],[Date of Call]],"DDDD")</f>
        <v>Tuesday</v>
      </c>
      <c r="J314" s="9" t="str" cm="1">
        <f t="array" ref="J314">_xlfn.IFS(Call_Table_Data[[#This Row],[Duration]]&lt;=10,"Under 10 Mins",Call_Table_Data[[#This Row],[Duration]]&lt;=30,"10 to 30 Mins",Call_Table_Data[[#This Row],[Duration]]&lt;=60,"30 to 60 Mins",Call_Table_Data[[#This Row],[Duration]]&lt;=120,"1 to 2 Hours",TRUE,"More Than 2 Hours")</f>
        <v>1 to 2 Hours</v>
      </c>
      <c r="K314" s="9">
        <f>ROUND(Call_Table_Data[[#This Row],[Satisfaction Rating]],0)</f>
        <v>4</v>
      </c>
    </row>
    <row r="315" spans="1:11" x14ac:dyDescent="0.3">
      <c r="A315" s="9" t="s">
        <v>352</v>
      </c>
      <c r="B315" s="9" t="s">
        <v>30</v>
      </c>
      <c r="C315" s="9">
        <v>133</v>
      </c>
      <c r="D315" s="10" t="s">
        <v>33</v>
      </c>
      <c r="E315" s="11">
        <v>45020</v>
      </c>
      <c r="F315" s="9">
        <v>72</v>
      </c>
      <c r="G315" s="9">
        <v>4.4000000000000004</v>
      </c>
      <c r="H315" s="9">
        <f>IF(MONTH(Call_Table_Data[[#This Row],[Date of Call]])&lt;=3,YEAR(Call_Table_Data[[#This Row],[Date of Call]]),YEAR(Call_Table_Data[[#This Row],[Date of Call]])+1)</f>
        <v>2024</v>
      </c>
      <c r="I315" s="9" t="str">
        <f>TEXT(Call_Table_Data[[#This Row],[Date of Call]],"DDDD")</f>
        <v>Tuesday</v>
      </c>
      <c r="J315" s="9" t="str" cm="1">
        <f t="array" ref="J315">_xlfn.IFS(Call_Table_Data[[#This Row],[Duration]]&lt;=10,"Under 10 Mins",Call_Table_Data[[#This Row],[Duration]]&lt;=30,"10 to 30 Mins",Call_Table_Data[[#This Row],[Duration]]&lt;=60,"30 to 60 Mins",Call_Table_Data[[#This Row],[Duration]]&lt;=120,"1 to 2 Hours",TRUE,"More Than 2 Hours")</f>
        <v>More Than 2 Hours</v>
      </c>
      <c r="K315" s="9">
        <f>ROUND(Call_Table_Data[[#This Row],[Satisfaction Rating]],0)</f>
        <v>4</v>
      </c>
    </row>
    <row r="316" spans="1:11" x14ac:dyDescent="0.3">
      <c r="A316" s="9" t="s">
        <v>353</v>
      </c>
      <c r="B316" s="9" t="s">
        <v>37</v>
      </c>
      <c r="C316" s="9">
        <v>38</v>
      </c>
      <c r="D316" s="10" t="s">
        <v>27</v>
      </c>
      <c r="E316" s="11">
        <v>45021</v>
      </c>
      <c r="F316" s="9">
        <v>81</v>
      </c>
      <c r="G316" s="9">
        <v>3.6</v>
      </c>
      <c r="H316" s="9">
        <f>IF(MONTH(Call_Table_Data[[#This Row],[Date of Call]])&lt;=3,YEAR(Call_Table_Data[[#This Row],[Date of Call]]),YEAR(Call_Table_Data[[#This Row],[Date of Call]])+1)</f>
        <v>2024</v>
      </c>
      <c r="I316" s="9" t="str">
        <f>TEXT(Call_Table_Data[[#This Row],[Date of Call]],"DDDD")</f>
        <v>Wednesday</v>
      </c>
      <c r="J316" s="9" t="str" cm="1">
        <f t="array" ref="J316">_xlfn.IFS(Call_Table_Data[[#This Row],[Duration]]&lt;=10,"Under 10 Mins",Call_Table_Data[[#This Row],[Duration]]&lt;=30,"10 to 30 Mins",Call_Table_Data[[#This Row],[Duration]]&lt;=60,"30 to 60 Mins",Call_Table_Data[[#This Row],[Duration]]&lt;=120,"1 to 2 Hours",TRUE,"More Than 2 Hours")</f>
        <v>30 to 60 Mins</v>
      </c>
      <c r="K316" s="9">
        <f>ROUND(Call_Table_Data[[#This Row],[Satisfaction Rating]],0)</f>
        <v>4</v>
      </c>
    </row>
    <row r="317" spans="1:11" x14ac:dyDescent="0.3">
      <c r="A317" s="9" t="s">
        <v>354</v>
      </c>
      <c r="B317" s="9" t="s">
        <v>54</v>
      </c>
      <c r="C317" s="9">
        <v>130</v>
      </c>
      <c r="D317" s="10" t="s">
        <v>46</v>
      </c>
      <c r="E317" s="11">
        <v>45021</v>
      </c>
      <c r="F317" s="9">
        <v>54</v>
      </c>
      <c r="G317" s="9">
        <v>4.0999999999999996</v>
      </c>
      <c r="H317" s="9">
        <f>IF(MONTH(Call_Table_Data[[#This Row],[Date of Call]])&lt;=3,YEAR(Call_Table_Data[[#This Row],[Date of Call]]),YEAR(Call_Table_Data[[#This Row],[Date of Call]])+1)</f>
        <v>2024</v>
      </c>
      <c r="I317" s="9" t="str">
        <f>TEXT(Call_Table_Data[[#This Row],[Date of Call]],"DDDD")</f>
        <v>Wednesday</v>
      </c>
      <c r="J317" s="9" t="str" cm="1">
        <f t="array" ref="J317">_xlfn.IFS(Call_Table_Data[[#This Row],[Duration]]&lt;=10,"Under 10 Mins",Call_Table_Data[[#This Row],[Duration]]&lt;=30,"10 to 30 Mins",Call_Table_Data[[#This Row],[Duration]]&lt;=60,"30 to 60 Mins",Call_Table_Data[[#This Row],[Duration]]&lt;=120,"1 to 2 Hours",TRUE,"More Than 2 Hours")</f>
        <v>More Than 2 Hours</v>
      </c>
      <c r="K317" s="9">
        <f>ROUND(Call_Table_Data[[#This Row],[Satisfaction Rating]],0)</f>
        <v>4</v>
      </c>
    </row>
    <row r="318" spans="1:11" x14ac:dyDescent="0.3">
      <c r="A318" s="9" t="s">
        <v>355</v>
      </c>
      <c r="B318" s="9" t="s">
        <v>49</v>
      </c>
      <c r="C318" s="9">
        <v>23</v>
      </c>
      <c r="D318" s="10" t="s">
        <v>33</v>
      </c>
      <c r="E318" s="11">
        <v>45021</v>
      </c>
      <c r="F318" s="9">
        <v>105</v>
      </c>
      <c r="G318" s="9">
        <v>4.8</v>
      </c>
      <c r="H318" s="9">
        <f>IF(MONTH(Call_Table_Data[[#This Row],[Date of Call]])&lt;=3,YEAR(Call_Table_Data[[#This Row],[Date of Call]]),YEAR(Call_Table_Data[[#This Row],[Date of Call]])+1)</f>
        <v>2024</v>
      </c>
      <c r="I318" s="9" t="str">
        <f>TEXT(Call_Table_Data[[#This Row],[Date of Call]],"DDDD")</f>
        <v>Wednesday</v>
      </c>
      <c r="J318" s="9" t="str" cm="1">
        <f t="array" ref="J318">_xlfn.IFS(Call_Table_Data[[#This Row],[Duration]]&lt;=10,"Under 10 Mins",Call_Table_Data[[#This Row],[Duration]]&lt;=30,"10 to 30 Mins",Call_Table_Data[[#This Row],[Duration]]&lt;=60,"30 to 60 Mins",Call_Table_Data[[#This Row],[Duration]]&lt;=120,"1 to 2 Hours",TRUE,"More Than 2 Hours")</f>
        <v>10 to 30 Mins</v>
      </c>
      <c r="K318" s="9">
        <f>ROUND(Call_Table_Data[[#This Row],[Satisfaction Rating]],0)</f>
        <v>5</v>
      </c>
    </row>
    <row r="319" spans="1:11" x14ac:dyDescent="0.3">
      <c r="A319" s="9" t="s">
        <v>356</v>
      </c>
      <c r="B319" s="9" t="s">
        <v>54</v>
      </c>
      <c r="C319" s="9">
        <v>124</v>
      </c>
      <c r="D319" s="10" t="s">
        <v>27</v>
      </c>
      <c r="E319" s="11">
        <v>45022</v>
      </c>
      <c r="F319" s="9">
        <v>176</v>
      </c>
      <c r="G319" s="9">
        <v>3.9</v>
      </c>
      <c r="H319" s="9">
        <f>IF(MONTH(Call_Table_Data[[#This Row],[Date of Call]])&lt;=3,YEAR(Call_Table_Data[[#This Row],[Date of Call]]),YEAR(Call_Table_Data[[#This Row],[Date of Call]])+1)</f>
        <v>2024</v>
      </c>
      <c r="I319" s="9" t="str">
        <f>TEXT(Call_Table_Data[[#This Row],[Date of Call]],"DDDD")</f>
        <v>Thursday</v>
      </c>
      <c r="J319" s="9" t="str" cm="1">
        <f t="array" ref="J319">_xlfn.IFS(Call_Table_Data[[#This Row],[Duration]]&lt;=10,"Under 10 Mins",Call_Table_Data[[#This Row],[Duration]]&lt;=30,"10 to 30 Mins",Call_Table_Data[[#This Row],[Duration]]&lt;=60,"30 to 60 Mins",Call_Table_Data[[#This Row],[Duration]]&lt;=120,"1 to 2 Hours",TRUE,"More Than 2 Hours")</f>
        <v>More Than 2 Hours</v>
      </c>
      <c r="K319" s="9">
        <f>ROUND(Call_Table_Data[[#This Row],[Satisfaction Rating]],0)</f>
        <v>4</v>
      </c>
    </row>
    <row r="320" spans="1:11" x14ac:dyDescent="0.3">
      <c r="A320" s="9" t="s">
        <v>357</v>
      </c>
      <c r="B320" s="9" t="s">
        <v>26</v>
      </c>
      <c r="C320" s="9">
        <v>107</v>
      </c>
      <c r="D320" s="10" t="s">
        <v>27</v>
      </c>
      <c r="E320" s="11">
        <v>45022</v>
      </c>
      <c r="F320" s="9">
        <v>115</v>
      </c>
      <c r="G320" s="9">
        <v>3.8</v>
      </c>
      <c r="H320" s="9">
        <f>IF(MONTH(Call_Table_Data[[#This Row],[Date of Call]])&lt;=3,YEAR(Call_Table_Data[[#This Row],[Date of Call]]),YEAR(Call_Table_Data[[#This Row],[Date of Call]])+1)</f>
        <v>2024</v>
      </c>
      <c r="I320" s="9" t="str">
        <f>TEXT(Call_Table_Data[[#This Row],[Date of Call]],"DDDD")</f>
        <v>Thursday</v>
      </c>
      <c r="J320" s="9" t="str" cm="1">
        <f t="array" ref="J320">_xlfn.IFS(Call_Table_Data[[#This Row],[Duration]]&lt;=10,"Under 10 Mins",Call_Table_Data[[#This Row],[Duration]]&lt;=30,"10 to 30 Mins",Call_Table_Data[[#This Row],[Duration]]&lt;=60,"30 to 60 Mins",Call_Table_Data[[#This Row],[Duration]]&lt;=120,"1 to 2 Hours",TRUE,"More Than 2 Hours")</f>
        <v>1 to 2 Hours</v>
      </c>
      <c r="K320" s="9">
        <f>ROUND(Call_Table_Data[[#This Row],[Satisfaction Rating]],0)</f>
        <v>4</v>
      </c>
    </row>
    <row r="321" spans="1:11" x14ac:dyDescent="0.3">
      <c r="A321" s="9" t="s">
        <v>358</v>
      </c>
      <c r="B321" s="9" t="s">
        <v>35</v>
      </c>
      <c r="C321" s="9">
        <v>60</v>
      </c>
      <c r="D321" s="10" t="s">
        <v>17</v>
      </c>
      <c r="E321" s="11">
        <v>45022</v>
      </c>
      <c r="F321" s="9">
        <v>116</v>
      </c>
      <c r="G321" s="9">
        <v>3.9</v>
      </c>
      <c r="H321" s="9">
        <f>IF(MONTH(Call_Table_Data[[#This Row],[Date of Call]])&lt;=3,YEAR(Call_Table_Data[[#This Row],[Date of Call]]),YEAR(Call_Table_Data[[#This Row],[Date of Call]])+1)</f>
        <v>2024</v>
      </c>
      <c r="I321" s="9" t="str">
        <f>TEXT(Call_Table_Data[[#This Row],[Date of Call]],"DDDD")</f>
        <v>Thursday</v>
      </c>
      <c r="J321" s="9" t="str" cm="1">
        <f t="array" ref="J321">_xlfn.IFS(Call_Table_Data[[#This Row],[Duration]]&lt;=10,"Under 10 Mins",Call_Table_Data[[#This Row],[Duration]]&lt;=30,"10 to 30 Mins",Call_Table_Data[[#This Row],[Duration]]&lt;=60,"30 to 60 Mins",Call_Table_Data[[#This Row],[Duration]]&lt;=120,"1 to 2 Hours",TRUE,"More Than 2 Hours")</f>
        <v>30 to 60 Mins</v>
      </c>
      <c r="K321" s="9">
        <f>ROUND(Call_Table_Data[[#This Row],[Satisfaction Rating]],0)</f>
        <v>4</v>
      </c>
    </row>
    <row r="322" spans="1:11" x14ac:dyDescent="0.3">
      <c r="A322" s="9" t="s">
        <v>359</v>
      </c>
      <c r="B322" s="9" t="s">
        <v>35</v>
      </c>
      <c r="C322" s="9">
        <v>158</v>
      </c>
      <c r="D322" s="10" t="s">
        <v>46</v>
      </c>
      <c r="E322" s="11">
        <v>45022</v>
      </c>
      <c r="F322" s="9">
        <v>100</v>
      </c>
      <c r="G322" s="9">
        <v>4.0999999999999996</v>
      </c>
      <c r="H322" s="9">
        <f>IF(MONTH(Call_Table_Data[[#This Row],[Date of Call]])&lt;=3,YEAR(Call_Table_Data[[#This Row],[Date of Call]]),YEAR(Call_Table_Data[[#This Row],[Date of Call]])+1)</f>
        <v>2024</v>
      </c>
      <c r="I322" s="9" t="str">
        <f>TEXT(Call_Table_Data[[#This Row],[Date of Call]],"DDDD")</f>
        <v>Thursday</v>
      </c>
      <c r="J322" s="9" t="str" cm="1">
        <f t="array" ref="J322">_xlfn.IFS(Call_Table_Data[[#This Row],[Duration]]&lt;=10,"Under 10 Mins",Call_Table_Data[[#This Row],[Duration]]&lt;=30,"10 to 30 Mins",Call_Table_Data[[#This Row],[Duration]]&lt;=60,"30 to 60 Mins",Call_Table_Data[[#This Row],[Duration]]&lt;=120,"1 to 2 Hours",TRUE,"More Than 2 Hours")</f>
        <v>More Than 2 Hours</v>
      </c>
      <c r="K322" s="9">
        <f>ROUND(Call_Table_Data[[#This Row],[Satisfaction Rating]],0)</f>
        <v>4</v>
      </c>
    </row>
    <row r="323" spans="1:11" x14ac:dyDescent="0.3">
      <c r="A323" s="9" t="s">
        <v>360</v>
      </c>
      <c r="B323" s="9" t="s">
        <v>43</v>
      </c>
      <c r="C323" s="9">
        <v>110</v>
      </c>
      <c r="D323" s="10" t="s">
        <v>46</v>
      </c>
      <c r="E323" s="11">
        <v>45023</v>
      </c>
      <c r="F323" s="9">
        <v>36</v>
      </c>
      <c r="G323" s="9">
        <v>2.2000000000000002</v>
      </c>
      <c r="H323" s="9">
        <f>IF(MONTH(Call_Table_Data[[#This Row],[Date of Call]])&lt;=3,YEAR(Call_Table_Data[[#This Row],[Date of Call]]),YEAR(Call_Table_Data[[#This Row],[Date of Call]])+1)</f>
        <v>2024</v>
      </c>
      <c r="I323" s="9" t="str">
        <f>TEXT(Call_Table_Data[[#This Row],[Date of Call]],"DDDD")</f>
        <v>Friday</v>
      </c>
      <c r="J323" s="9" t="str" cm="1">
        <f t="array" ref="J323">_xlfn.IFS(Call_Table_Data[[#This Row],[Duration]]&lt;=10,"Under 10 Mins",Call_Table_Data[[#This Row],[Duration]]&lt;=30,"10 to 30 Mins",Call_Table_Data[[#This Row],[Duration]]&lt;=60,"30 to 60 Mins",Call_Table_Data[[#This Row],[Duration]]&lt;=120,"1 to 2 Hours",TRUE,"More Than 2 Hours")</f>
        <v>1 to 2 Hours</v>
      </c>
      <c r="K323" s="9">
        <f>ROUND(Call_Table_Data[[#This Row],[Satisfaction Rating]],0)</f>
        <v>2</v>
      </c>
    </row>
    <row r="324" spans="1:11" x14ac:dyDescent="0.3">
      <c r="A324" s="9" t="s">
        <v>361</v>
      </c>
      <c r="B324" s="9" t="s">
        <v>18</v>
      </c>
      <c r="C324" s="9">
        <v>70</v>
      </c>
      <c r="D324" s="10" t="s">
        <v>46</v>
      </c>
      <c r="E324" s="11">
        <v>45023</v>
      </c>
      <c r="F324" s="9">
        <v>114</v>
      </c>
      <c r="G324" s="9">
        <v>5</v>
      </c>
      <c r="H324" s="9">
        <f>IF(MONTH(Call_Table_Data[[#This Row],[Date of Call]])&lt;=3,YEAR(Call_Table_Data[[#This Row],[Date of Call]]),YEAR(Call_Table_Data[[#This Row],[Date of Call]])+1)</f>
        <v>2024</v>
      </c>
      <c r="I324" s="9" t="str">
        <f>TEXT(Call_Table_Data[[#This Row],[Date of Call]],"DDDD")</f>
        <v>Friday</v>
      </c>
      <c r="J324" s="9" t="str" cm="1">
        <f t="array" ref="J324">_xlfn.IFS(Call_Table_Data[[#This Row],[Duration]]&lt;=10,"Under 10 Mins",Call_Table_Data[[#This Row],[Duration]]&lt;=30,"10 to 30 Mins",Call_Table_Data[[#This Row],[Duration]]&lt;=60,"30 to 60 Mins",Call_Table_Data[[#This Row],[Duration]]&lt;=120,"1 to 2 Hours",TRUE,"More Than 2 Hours")</f>
        <v>1 to 2 Hours</v>
      </c>
      <c r="K324" s="9">
        <f>ROUND(Call_Table_Data[[#This Row],[Satisfaction Rating]],0)</f>
        <v>5</v>
      </c>
    </row>
    <row r="325" spans="1:11" x14ac:dyDescent="0.3">
      <c r="A325" s="9" t="s">
        <v>362</v>
      </c>
      <c r="B325" s="9" t="s">
        <v>18</v>
      </c>
      <c r="C325" s="9">
        <v>150</v>
      </c>
      <c r="D325" s="10" t="s">
        <v>17</v>
      </c>
      <c r="E325" s="11">
        <v>45023</v>
      </c>
      <c r="F325" s="9">
        <v>24</v>
      </c>
      <c r="G325" s="9">
        <v>3.8</v>
      </c>
      <c r="H325" s="9">
        <f>IF(MONTH(Call_Table_Data[[#This Row],[Date of Call]])&lt;=3,YEAR(Call_Table_Data[[#This Row],[Date of Call]]),YEAR(Call_Table_Data[[#This Row],[Date of Call]])+1)</f>
        <v>2024</v>
      </c>
      <c r="I325" s="9" t="str">
        <f>TEXT(Call_Table_Data[[#This Row],[Date of Call]],"DDDD")</f>
        <v>Friday</v>
      </c>
      <c r="J325" s="9" t="str" cm="1">
        <f t="array" ref="J325">_xlfn.IFS(Call_Table_Data[[#This Row],[Duration]]&lt;=10,"Under 10 Mins",Call_Table_Data[[#This Row],[Duration]]&lt;=30,"10 to 30 Mins",Call_Table_Data[[#This Row],[Duration]]&lt;=60,"30 to 60 Mins",Call_Table_Data[[#This Row],[Duration]]&lt;=120,"1 to 2 Hours",TRUE,"More Than 2 Hours")</f>
        <v>More Than 2 Hours</v>
      </c>
      <c r="K325" s="9">
        <f>ROUND(Call_Table_Data[[#This Row],[Satisfaction Rating]],0)</f>
        <v>4</v>
      </c>
    </row>
    <row r="326" spans="1:11" x14ac:dyDescent="0.3">
      <c r="A326" s="9" t="s">
        <v>363</v>
      </c>
      <c r="B326" s="9" t="s">
        <v>37</v>
      </c>
      <c r="C326" s="9">
        <v>36</v>
      </c>
      <c r="D326" s="10" t="s">
        <v>27</v>
      </c>
      <c r="E326" s="11">
        <v>45023</v>
      </c>
      <c r="F326" s="9">
        <v>135</v>
      </c>
      <c r="G326" s="9">
        <v>4.5999999999999996</v>
      </c>
      <c r="H326" s="9">
        <f>IF(MONTH(Call_Table_Data[[#This Row],[Date of Call]])&lt;=3,YEAR(Call_Table_Data[[#This Row],[Date of Call]]),YEAR(Call_Table_Data[[#This Row],[Date of Call]])+1)</f>
        <v>2024</v>
      </c>
      <c r="I326" s="9" t="str">
        <f>TEXT(Call_Table_Data[[#This Row],[Date of Call]],"DDDD")</f>
        <v>Friday</v>
      </c>
      <c r="J326" s="9" t="str" cm="1">
        <f t="array" ref="J326">_xlfn.IFS(Call_Table_Data[[#This Row],[Duration]]&lt;=10,"Under 10 Mins",Call_Table_Data[[#This Row],[Duration]]&lt;=30,"10 to 30 Mins",Call_Table_Data[[#This Row],[Duration]]&lt;=60,"30 to 60 Mins",Call_Table_Data[[#This Row],[Duration]]&lt;=120,"1 to 2 Hours",TRUE,"More Than 2 Hours")</f>
        <v>30 to 60 Mins</v>
      </c>
      <c r="K326" s="9">
        <f>ROUND(Call_Table_Data[[#This Row],[Satisfaction Rating]],0)</f>
        <v>5</v>
      </c>
    </row>
    <row r="327" spans="1:11" x14ac:dyDescent="0.3">
      <c r="A327" s="9" t="s">
        <v>364</v>
      </c>
      <c r="B327" s="9" t="s">
        <v>54</v>
      </c>
      <c r="C327" s="9">
        <v>74</v>
      </c>
      <c r="D327" s="10" t="s">
        <v>27</v>
      </c>
      <c r="E327" s="11">
        <v>45023</v>
      </c>
      <c r="F327" s="9">
        <v>30</v>
      </c>
      <c r="G327" s="9">
        <v>4</v>
      </c>
      <c r="H327" s="9">
        <f>IF(MONTH(Call_Table_Data[[#This Row],[Date of Call]])&lt;=3,YEAR(Call_Table_Data[[#This Row],[Date of Call]]),YEAR(Call_Table_Data[[#This Row],[Date of Call]])+1)</f>
        <v>2024</v>
      </c>
      <c r="I327" s="9" t="str">
        <f>TEXT(Call_Table_Data[[#This Row],[Date of Call]],"DDDD")</f>
        <v>Friday</v>
      </c>
      <c r="J327" s="9" t="str" cm="1">
        <f t="array" ref="J327">_xlfn.IFS(Call_Table_Data[[#This Row],[Duration]]&lt;=10,"Under 10 Mins",Call_Table_Data[[#This Row],[Duration]]&lt;=30,"10 to 30 Mins",Call_Table_Data[[#This Row],[Duration]]&lt;=60,"30 to 60 Mins",Call_Table_Data[[#This Row],[Duration]]&lt;=120,"1 to 2 Hours",TRUE,"More Than 2 Hours")</f>
        <v>1 to 2 Hours</v>
      </c>
      <c r="K327" s="9">
        <f>ROUND(Call_Table_Data[[#This Row],[Satisfaction Rating]],0)</f>
        <v>4</v>
      </c>
    </row>
    <row r="328" spans="1:11" x14ac:dyDescent="0.3">
      <c r="A328" s="9" t="s">
        <v>365</v>
      </c>
      <c r="B328" s="9" t="s">
        <v>22</v>
      </c>
      <c r="C328" s="9">
        <v>75</v>
      </c>
      <c r="D328" s="10" t="s">
        <v>27</v>
      </c>
      <c r="E328" s="11">
        <v>45023</v>
      </c>
      <c r="F328" s="9">
        <v>84</v>
      </c>
      <c r="G328" s="9">
        <v>2.8</v>
      </c>
      <c r="H328" s="9">
        <f>IF(MONTH(Call_Table_Data[[#This Row],[Date of Call]])&lt;=3,YEAR(Call_Table_Data[[#This Row],[Date of Call]]),YEAR(Call_Table_Data[[#This Row],[Date of Call]])+1)</f>
        <v>2024</v>
      </c>
      <c r="I328" s="9" t="str">
        <f>TEXT(Call_Table_Data[[#This Row],[Date of Call]],"DDDD")</f>
        <v>Friday</v>
      </c>
      <c r="J328" s="9" t="str" cm="1">
        <f t="array" ref="J328">_xlfn.IFS(Call_Table_Data[[#This Row],[Duration]]&lt;=10,"Under 10 Mins",Call_Table_Data[[#This Row],[Duration]]&lt;=30,"10 to 30 Mins",Call_Table_Data[[#This Row],[Duration]]&lt;=60,"30 to 60 Mins",Call_Table_Data[[#This Row],[Duration]]&lt;=120,"1 to 2 Hours",TRUE,"More Than 2 Hours")</f>
        <v>1 to 2 Hours</v>
      </c>
      <c r="K328" s="9">
        <f>ROUND(Call_Table_Data[[#This Row],[Satisfaction Rating]],0)</f>
        <v>3</v>
      </c>
    </row>
    <row r="329" spans="1:11" x14ac:dyDescent="0.3">
      <c r="A329" s="9" t="s">
        <v>366</v>
      </c>
      <c r="B329" s="9" t="s">
        <v>41</v>
      </c>
      <c r="C329" s="9">
        <v>70</v>
      </c>
      <c r="D329" s="10" t="s">
        <v>40</v>
      </c>
      <c r="E329" s="11">
        <v>45023</v>
      </c>
      <c r="F329" s="9">
        <v>42</v>
      </c>
      <c r="G329" s="9">
        <v>4.4000000000000004</v>
      </c>
      <c r="H329" s="9">
        <f>IF(MONTH(Call_Table_Data[[#This Row],[Date of Call]])&lt;=3,YEAR(Call_Table_Data[[#This Row],[Date of Call]]),YEAR(Call_Table_Data[[#This Row],[Date of Call]])+1)</f>
        <v>2024</v>
      </c>
      <c r="I329" s="9" t="str">
        <f>TEXT(Call_Table_Data[[#This Row],[Date of Call]],"DDDD")</f>
        <v>Friday</v>
      </c>
      <c r="J329" s="9" t="str" cm="1">
        <f t="array" ref="J329">_xlfn.IFS(Call_Table_Data[[#This Row],[Duration]]&lt;=10,"Under 10 Mins",Call_Table_Data[[#This Row],[Duration]]&lt;=30,"10 to 30 Mins",Call_Table_Data[[#This Row],[Duration]]&lt;=60,"30 to 60 Mins",Call_Table_Data[[#This Row],[Duration]]&lt;=120,"1 to 2 Hours",TRUE,"More Than 2 Hours")</f>
        <v>1 to 2 Hours</v>
      </c>
      <c r="K329" s="9">
        <f>ROUND(Call_Table_Data[[#This Row],[Satisfaction Rating]],0)</f>
        <v>4</v>
      </c>
    </row>
    <row r="330" spans="1:11" x14ac:dyDescent="0.3">
      <c r="A330" s="9" t="s">
        <v>367</v>
      </c>
      <c r="B330" s="9" t="s">
        <v>43</v>
      </c>
      <c r="C330" s="9">
        <v>23</v>
      </c>
      <c r="D330" s="10" t="s">
        <v>46</v>
      </c>
      <c r="E330" s="11">
        <v>45023</v>
      </c>
      <c r="F330" s="9">
        <v>117</v>
      </c>
      <c r="G330" s="9">
        <v>2.4</v>
      </c>
      <c r="H330" s="9">
        <f>IF(MONTH(Call_Table_Data[[#This Row],[Date of Call]])&lt;=3,YEAR(Call_Table_Data[[#This Row],[Date of Call]]),YEAR(Call_Table_Data[[#This Row],[Date of Call]])+1)</f>
        <v>2024</v>
      </c>
      <c r="I330" s="9" t="str">
        <f>TEXT(Call_Table_Data[[#This Row],[Date of Call]],"DDDD")</f>
        <v>Friday</v>
      </c>
      <c r="J330" s="9" t="str" cm="1">
        <f t="array" ref="J330">_xlfn.IFS(Call_Table_Data[[#This Row],[Duration]]&lt;=10,"Under 10 Mins",Call_Table_Data[[#This Row],[Duration]]&lt;=30,"10 to 30 Mins",Call_Table_Data[[#This Row],[Duration]]&lt;=60,"30 to 60 Mins",Call_Table_Data[[#This Row],[Duration]]&lt;=120,"1 to 2 Hours",TRUE,"More Than 2 Hours")</f>
        <v>10 to 30 Mins</v>
      </c>
      <c r="K330" s="9">
        <f>ROUND(Call_Table_Data[[#This Row],[Satisfaction Rating]],0)</f>
        <v>2</v>
      </c>
    </row>
    <row r="331" spans="1:11" x14ac:dyDescent="0.3">
      <c r="A331" s="9" t="s">
        <v>368</v>
      </c>
      <c r="B331" s="9" t="s">
        <v>45</v>
      </c>
      <c r="C331" s="9">
        <v>104</v>
      </c>
      <c r="D331" s="10" t="s">
        <v>33</v>
      </c>
      <c r="E331" s="11">
        <v>45023</v>
      </c>
      <c r="F331" s="9">
        <v>164</v>
      </c>
      <c r="G331" s="9">
        <v>4</v>
      </c>
      <c r="H331" s="9">
        <f>IF(MONTH(Call_Table_Data[[#This Row],[Date of Call]])&lt;=3,YEAR(Call_Table_Data[[#This Row],[Date of Call]]),YEAR(Call_Table_Data[[#This Row],[Date of Call]])+1)</f>
        <v>2024</v>
      </c>
      <c r="I331" s="9" t="str">
        <f>TEXT(Call_Table_Data[[#This Row],[Date of Call]],"DDDD")</f>
        <v>Friday</v>
      </c>
      <c r="J331" s="9" t="str" cm="1">
        <f t="array" ref="J331">_xlfn.IFS(Call_Table_Data[[#This Row],[Duration]]&lt;=10,"Under 10 Mins",Call_Table_Data[[#This Row],[Duration]]&lt;=30,"10 to 30 Mins",Call_Table_Data[[#This Row],[Duration]]&lt;=60,"30 to 60 Mins",Call_Table_Data[[#This Row],[Duration]]&lt;=120,"1 to 2 Hours",TRUE,"More Than 2 Hours")</f>
        <v>1 to 2 Hours</v>
      </c>
      <c r="K331" s="9">
        <f>ROUND(Call_Table_Data[[#This Row],[Satisfaction Rating]],0)</f>
        <v>4</v>
      </c>
    </row>
    <row r="332" spans="1:11" x14ac:dyDescent="0.3">
      <c r="A332" s="9" t="s">
        <v>369</v>
      </c>
      <c r="B332" s="9" t="s">
        <v>18</v>
      </c>
      <c r="C332" s="9">
        <v>95</v>
      </c>
      <c r="D332" s="10" t="s">
        <v>40</v>
      </c>
      <c r="E332" s="11">
        <v>45024</v>
      </c>
      <c r="F332" s="9">
        <v>123</v>
      </c>
      <c r="G332" s="9">
        <v>4.4000000000000004</v>
      </c>
      <c r="H332" s="9">
        <f>IF(MONTH(Call_Table_Data[[#This Row],[Date of Call]])&lt;=3,YEAR(Call_Table_Data[[#This Row],[Date of Call]]),YEAR(Call_Table_Data[[#This Row],[Date of Call]])+1)</f>
        <v>2024</v>
      </c>
      <c r="I332" s="9" t="str">
        <f>TEXT(Call_Table_Data[[#This Row],[Date of Call]],"DDDD")</f>
        <v>Saturday</v>
      </c>
      <c r="J332" s="9" t="str" cm="1">
        <f t="array" ref="J332">_xlfn.IFS(Call_Table_Data[[#This Row],[Duration]]&lt;=10,"Under 10 Mins",Call_Table_Data[[#This Row],[Duration]]&lt;=30,"10 to 30 Mins",Call_Table_Data[[#This Row],[Duration]]&lt;=60,"30 to 60 Mins",Call_Table_Data[[#This Row],[Duration]]&lt;=120,"1 to 2 Hours",TRUE,"More Than 2 Hours")</f>
        <v>1 to 2 Hours</v>
      </c>
      <c r="K332" s="9">
        <f>ROUND(Call_Table_Data[[#This Row],[Satisfaction Rating]],0)</f>
        <v>4</v>
      </c>
    </row>
    <row r="333" spans="1:11" x14ac:dyDescent="0.3">
      <c r="A333" s="9" t="s">
        <v>370</v>
      </c>
      <c r="B333" s="9" t="s">
        <v>32</v>
      </c>
      <c r="C333" s="9">
        <v>49</v>
      </c>
      <c r="D333" s="10" t="s">
        <v>17</v>
      </c>
      <c r="E333" s="11">
        <v>45024</v>
      </c>
      <c r="F333" s="9">
        <v>172</v>
      </c>
      <c r="G333" s="9">
        <v>2.9</v>
      </c>
      <c r="H333" s="9">
        <f>IF(MONTH(Call_Table_Data[[#This Row],[Date of Call]])&lt;=3,YEAR(Call_Table_Data[[#This Row],[Date of Call]]),YEAR(Call_Table_Data[[#This Row],[Date of Call]])+1)</f>
        <v>2024</v>
      </c>
      <c r="I333" s="9" t="str">
        <f>TEXT(Call_Table_Data[[#This Row],[Date of Call]],"DDDD")</f>
        <v>Saturday</v>
      </c>
      <c r="J333" s="9" t="str" cm="1">
        <f t="array" ref="J333">_xlfn.IFS(Call_Table_Data[[#This Row],[Duration]]&lt;=10,"Under 10 Mins",Call_Table_Data[[#This Row],[Duration]]&lt;=30,"10 to 30 Mins",Call_Table_Data[[#This Row],[Duration]]&lt;=60,"30 to 60 Mins",Call_Table_Data[[#This Row],[Duration]]&lt;=120,"1 to 2 Hours",TRUE,"More Than 2 Hours")</f>
        <v>30 to 60 Mins</v>
      </c>
      <c r="K333" s="9">
        <f>ROUND(Call_Table_Data[[#This Row],[Satisfaction Rating]],0)</f>
        <v>3</v>
      </c>
    </row>
    <row r="334" spans="1:11" x14ac:dyDescent="0.3">
      <c r="A334" s="9" t="s">
        <v>371</v>
      </c>
      <c r="B334" s="9" t="s">
        <v>50</v>
      </c>
      <c r="C334" s="9">
        <v>8</v>
      </c>
      <c r="D334" s="10" t="s">
        <v>46</v>
      </c>
      <c r="E334" s="11">
        <v>45024</v>
      </c>
      <c r="F334" s="9">
        <v>20</v>
      </c>
      <c r="G334" s="9">
        <v>4.8</v>
      </c>
      <c r="H334" s="9">
        <f>IF(MONTH(Call_Table_Data[[#This Row],[Date of Call]])&lt;=3,YEAR(Call_Table_Data[[#This Row],[Date of Call]]),YEAR(Call_Table_Data[[#This Row],[Date of Call]])+1)</f>
        <v>2024</v>
      </c>
      <c r="I334" s="9" t="str">
        <f>TEXT(Call_Table_Data[[#This Row],[Date of Call]],"DDDD")</f>
        <v>Saturday</v>
      </c>
      <c r="J334" s="9" t="str" cm="1">
        <f t="array" ref="J334">_xlfn.IFS(Call_Table_Data[[#This Row],[Duration]]&lt;=10,"Under 10 Mins",Call_Table_Data[[#This Row],[Duration]]&lt;=30,"10 to 30 Mins",Call_Table_Data[[#This Row],[Duration]]&lt;=60,"30 to 60 Mins",Call_Table_Data[[#This Row],[Duration]]&lt;=120,"1 to 2 Hours",TRUE,"More Than 2 Hours")</f>
        <v>Under 10 Mins</v>
      </c>
      <c r="K334" s="9">
        <f>ROUND(Call_Table_Data[[#This Row],[Satisfaction Rating]],0)</f>
        <v>5</v>
      </c>
    </row>
    <row r="335" spans="1:11" x14ac:dyDescent="0.3">
      <c r="A335" s="9" t="s">
        <v>372</v>
      </c>
      <c r="B335" s="9" t="s">
        <v>18</v>
      </c>
      <c r="C335" s="9">
        <v>157</v>
      </c>
      <c r="D335" s="10" t="s">
        <v>17</v>
      </c>
      <c r="E335" s="11">
        <v>45024</v>
      </c>
      <c r="F335" s="9">
        <v>72</v>
      </c>
      <c r="G335" s="9">
        <v>3.7</v>
      </c>
      <c r="H335" s="9">
        <f>IF(MONTH(Call_Table_Data[[#This Row],[Date of Call]])&lt;=3,YEAR(Call_Table_Data[[#This Row],[Date of Call]]),YEAR(Call_Table_Data[[#This Row],[Date of Call]])+1)</f>
        <v>2024</v>
      </c>
      <c r="I335" s="9" t="str">
        <f>TEXT(Call_Table_Data[[#This Row],[Date of Call]],"DDDD")</f>
        <v>Saturday</v>
      </c>
      <c r="J335" s="9" t="str" cm="1">
        <f t="array" ref="J335">_xlfn.IFS(Call_Table_Data[[#This Row],[Duration]]&lt;=10,"Under 10 Mins",Call_Table_Data[[#This Row],[Duration]]&lt;=30,"10 to 30 Mins",Call_Table_Data[[#This Row],[Duration]]&lt;=60,"30 to 60 Mins",Call_Table_Data[[#This Row],[Duration]]&lt;=120,"1 to 2 Hours",TRUE,"More Than 2 Hours")</f>
        <v>More Than 2 Hours</v>
      </c>
      <c r="K335" s="9">
        <f>ROUND(Call_Table_Data[[#This Row],[Satisfaction Rating]],0)</f>
        <v>4</v>
      </c>
    </row>
    <row r="336" spans="1:11" x14ac:dyDescent="0.3">
      <c r="A336" s="9" t="s">
        <v>373</v>
      </c>
      <c r="B336" s="9" t="s">
        <v>26</v>
      </c>
      <c r="C336" s="9">
        <v>74</v>
      </c>
      <c r="D336" s="10" t="s">
        <v>27</v>
      </c>
      <c r="E336" s="11">
        <v>45024</v>
      </c>
      <c r="F336" s="9">
        <v>32</v>
      </c>
      <c r="G336" s="9">
        <v>4.8</v>
      </c>
      <c r="H336" s="9">
        <f>IF(MONTH(Call_Table_Data[[#This Row],[Date of Call]])&lt;=3,YEAR(Call_Table_Data[[#This Row],[Date of Call]]),YEAR(Call_Table_Data[[#This Row],[Date of Call]])+1)</f>
        <v>2024</v>
      </c>
      <c r="I336" s="9" t="str">
        <f>TEXT(Call_Table_Data[[#This Row],[Date of Call]],"DDDD")</f>
        <v>Saturday</v>
      </c>
      <c r="J336" s="9" t="str" cm="1">
        <f t="array" ref="J336">_xlfn.IFS(Call_Table_Data[[#This Row],[Duration]]&lt;=10,"Under 10 Mins",Call_Table_Data[[#This Row],[Duration]]&lt;=30,"10 to 30 Mins",Call_Table_Data[[#This Row],[Duration]]&lt;=60,"30 to 60 Mins",Call_Table_Data[[#This Row],[Duration]]&lt;=120,"1 to 2 Hours",TRUE,"More Than 2 Hours")</f>
        <v>1 to 2 Hours</v>
      </c>
      <c r="K336" s="9">
        <f>ROUND(Call_Table_Data[[#This Row],[Satisfaction Rating]],0)</f>
        <v>5</v>
      </c>
    </row>
    <row r="337" spans="1:11" x14ac:dyDescent="0.3">
      <c r="A337" s="9" t="s">
        <v>374</v>
      </c>
      <c r="B337" s="9" t="s">
        <v>43</v>
      </c>
      <c r="C337" s="9">
        <v>72</v>
      </c>
      <c r="D337" s="10" t="s">
        <v>40</v>
      </c>
      <c r="E337" s="11">
        <v>45024</v>
      </c>
      <c r="F337" s="9">
        <v>140</v>
      </c>
      <c r="G337" s="9">
        <v>3.2</v>
      </c>
      <c r="H337" s="9">
        <f>IF(MONTH(Call_Table_Data[[#This Row],[Date of Call]])&lt;=3,YEAR(Call_Table_Data[[#This Row],[Date of Call]]),YEAR(Call_Table_Data[[#This Row],[Date of Call]])+1)</f>
        <v>2024</v>
      </c>
      <c r="I337" s="9" t="str">
        <f>TEXT(Call_Table_Data[[#This Row],[Date of Call]],"DDDD")</f>
        <v>Saturday</v>
      </c>
      <c r="J337" s="9" t="str" cm="1">
        <f t="array" ref="J337">_xlfn.IFS(Call_Table_Data[[#This Row],[Duration]]&lt;=10,"Under 10 Mins",Call_Table_Data[[#This Row],[Duration]]&lt;=30,"10 to 30 Mins",Call_Table_Data[[#This Row],[Duration]]&lt;=60,"30 to 60 Mins",Call_Table_Data[[#This Row],[Duration]]&lt;=120,"1 to 2 Hours",TRUE,"More Than 2 Hours")</f>
        <v>1 to 2 Hours</v>
      </c>
      <c r="K337" s="9">
        <f>ROUND(Call_Table_Data[[#This Row],[Satisfaction Rating]],0)</f>
        <v>3</v>
      </c>
    </row>
    <row r="338" spans="1:11" x14ac:dyDescent="0.3">
      <c r="A338" s="9" t="s">
        <v>375</v>
      </c>
      <c r="B338" s="9" t="s">
        <v>26</v>
      </c>
      <c r="C338" s="9">
        <v>79</v>
      </c>
      <c r="D338" s="10" t="s">
        <v>27</v>
      </c>
      <c r="E338" s="11">
        <v>45025</v>
      </c>
      <c r="F338" s="9">
        <v>120</v>
      </c>
      <c r="G338" s="9">
        <v>4.9000000000000004</v>
      </c>
      <c r="H338" s="9">
        <f>IF(MONTH(Call_Table_Data[[#This Row],[Date of Call]])&lt;=3,YEAR(Call_Table_Data[[#This Row],[Date of Call]]),YEAR(Call_Table_Data[[#This Row],[Date of Call]])+1)</f>
        <v>2024</v>
      </c>
      <c r="I338" s="9" t="str">
        <f>TEXT(Call_Table_Data[[#This Row],[Date of Call]],"DDDD")</f>
        <v>Sunday</v>
      </c>
      <c r="J338" s="9" t="str" cm="1">
        <f t="array" ref="J338">_xlfn.IFS(Call_Table_Data[[#This Row],[Duration]]&lt;=10,"Under 10 Mins",Call_Table_Data[[#This Row],[Duration]]&lt;=30,"10 to 30 Mins",Call_Table_Data[[#This Row],[Duration]]&lt;=60,"30 to 60 Mins",Call_Table_Data[[#This Row],[Duration]]&lt;=120,"1 to 2 Hours",TRUE,"More Than 2 Hours")</f>
        <v>1 to 2 Hours</v>
      </c>
      <c r="K338" s="9">
        <f>ROUND(Call_Table_Data[[#This Row],[Satisfaction Rating]],0)</f>
        <v>5</v>
      </c>
    </row>
    <row r="339" spans="1:11" x14ac:dyDescent="0.3">
      <c r="A339" s="9" t="s">
        <v>376</v>
      </c>
      <c r="B339" s="9" t="s">
        <v>54</v>
      </c>
      <c r="C339" s="9">
        <v>23</v>
      </c>
      <c r="D339" s="10" t="s">
        <v>27</v>
      </c>
      <c r="E339" s="11">
        <v>45025</v>
      </c>
      <c r="F339" s="9">
        <v>86</v>
      </c>
      <c r="G339" s="9">
        <v>2.2000000000000002</v>
      </c>
      <c r="H339" s="9">
        <f>IF(MONTH(Call_Table_Data[[#This Row],[Date of Call]])&lt;=3,YEAR(Call_Table_Data[[#This Row],[Date of Call]]),YEAR(Call_Table_Data[[#This Row],[Date of Call]])+1)</f>
        <v>2024</v>
      </c>
      <c r="I339" s="9" t="str">
        <f>TEXT(Call_Table_Data[[#This Row],[Date of Call]],"DDDD")</f>
        <v>Sunday</v>
      </c>
      <c r="J339" s="9" t="str" cm="1">
        <f t="array" ref="J339">_xlfn.IFS(Call_Table_Data[[#This Row],[Duration]]&lt;=10,"Under 10 Mins",Call_Table_Data[[#This Row],[Duration]]&lt;=30,"10 to 30 Mins",Call_Table_Data[[#This Row],[Duration]]&lt;=60,"30 to 60 Mins",Call_Table_Data[[#This Row],[Duration]]&lt;=120,"1 to 2 Hours",TRUE,"More Than 2 Hours")</f>
        <v>10 to 30 Mins</v>
      </c>
      <c r="K339" s="9">
        <f>ROUND(Call_Table_Data[[#This Row],[Satisfaction Rating]],0)</f>
        <v>2</v>
      </c>
    </row>
    <row r="340" spans="1:11" x14ac:dyDescent="0.3">
      <c r="A340" s="9" t="s">
        <v>377</v>
      </c>
      <c r="B340" s="9" t="s">
        <v>22</v>
      </c>
      <c r="C340" s="9">
        <v>69</v>
      </c>
      <c r="D340" s="10" t="s">
        <v>27</v>
      </c>
      <c r="E340" s="11">
        <v>45025</v>
      </c>
      <c r="F340" s="9">
        <v>132</v>
      </c>
      <c r="G340" s="9">
        <v>5</v>
      </c>
      <c r="H340" s="9">
        <f>IF(MONTH(Call_Table_Data[[#This Row],[Date of Call]])&lt;=3,YEAR(Call_Table_Data[[#This Row],[Date of Call]]),YEAR(Call_Table_Data[[#This Row],[Date of Call]])+1)</f>
        <v>2024</v>
      </c>
      <c r="I340" s="9" t="str">
        <f>TEXT(Call_Table_Data[[#This Row],[Date of Call]],"DDDD")</f>
        <v>Sunday</v>
      </c>
      <c r="J340" s="9" t="str" cm="1">
        <f t="array" ref="J340">_xlfn.IFS(Call_Table_Data[[#This Row],[Duration]]&lt;=10,"Under 10 Mins",Call_Table_Data[[#This Row],[Duration]]&lt;=30,"10 to 30 Mins",Call_Table_Data[[#This Row],[Duration]]&lt;=60,"30 to 60 Mins",Call_Table_Data[[#This Row],[Duration]]&lt;=120,"1 to 2 Hours",TRUE,"More Than 2 Hours")</f>
        <v>1 to 2 Hours</v>
      </c>
      <c r="K340" s="9">
        <f>ROUND(Call_Table_Data[[#This Row],[Satisfaction Rating]],0)</f>
        <v>5</v>
      </c>
    </row>
    <row r="341" spans="1:11" x14ac:dyDescent="0.3">
      <c r="A341" s="9" t="s">
        <v>378</v>
      </c>
      <c r="B341" s="9" t="s">
        <v>35</v>
      </c>
      <c r="C341" s="9">
        <v>64</v>
      </c>
      <c r="D341" s="10" t="s">
        <v>27</v>
      </c>
      <c r="E341" s="11">
        <v>45025</v>
      </c>
      <c r="F341" s="9">
        <v>80</v>
      </c>
      <c r="G341" s="9">
        <v>3.3</v>
      </c>
      <c r="H341" s="9">
        <f>IF(MONTH(Call_Table_Data[[#This Row],[Date of Call]])&lt;=3,YEAR(Call_Table_Data[[#This Row],[Date of Call]]),YEAR(Call_Table_Data[[#This Row],[Date of Call]])+1)</f>
        <v>2024</v>
      </c>
      <c r="I341" s="9" t="str">
        <f>TEXT(Call_Table_Data[[#This Row],[Date of Call]],"DDDD")</f>
        <v>Sunday</v>
      </c>
      <c r="J341" s="9" t="str" cm="1">
        <f t="array" ref="J341">_xlfn.IFS(Call_Table_Data[[#This Row],[Duration]]&lt;=10,"Under 10 Mins",Call_Table_Data[[#This Row],[Duration]]&lt;=30,"10 to 30 Mins",Call_Table_Data[[#This Row],[Duration]]&lt;=60,"30 to 60 Mins",Call_Table_Data[[#This Row],[Duration]]&lt;=120,"1 to 2 Hours",TRUE,"More Than 2 Hours")</f>
        <v>1 to 2 Hours</v>
      </c>
      <c r="K341" s="9">
        <f>ROUND(Call_Table_Data[[#This Row],[Satisfaction Rating]],0)</f>
        <v>3</v>
      </c>
    </row>
    <row r="342" spans="1:11" x14ac:dyDescent="0.3">
      <c r="A342" s="9" t="s">
        <v>379</v>
      </c>
      <c r="B342" s="9" t="s">
        <v>23</v>
      </c>
      <c r="C342" s="9">
        <v>47</v>
      </c>
      <c r="D342" s="10" t="s">
        <v>17</v>
      </c>
      <c r="E342" s="11">
        <v>45025</v>
      </c>
      <c r="F342" s="9">
        <v>132</v>
      </c>
      <c r="G342" s="9">
        <v>3.7</v>
      </c>
      <c r="H342" s="9">
        <f>IF(MONTH(Call_Table_Data[[#This Row],[Date of Call]])&lt;=3,YEAR(Call_Table_Data[[#This Row],[Date of Call]]),YEAR(Call_Table_Data[[#This Row],[Date of Call]])+1)</f>
        <v>2024</v>
      </c>
      <c r="I342" s="9" t="str">
        <f>TEXT(Call_Table_Data[[#This Row],[Date of Call]],"DDDD")</f>
        <v>Sunday</v>
      </c>
      <c r="J342" s="9" t="str" cm="1">
        <f t="array" ref="J342">_xlfn.IFS(Call_Table_Data[[#This Row],[Duration]]&lt;=10,"Under 10 Mins",Call_Table_Data[[#This Row],[Duration]]&lt;=30,"10 to 30 Mins",Call_Table_Data[[#This Row],[Duration]]&lt;=60,"30 to 60 Mins",Call_Table_Data[[#This Row],[Duration]]&lt;=120,"1 to 2 Hours",TRUE,"More Than 2 Hours")</f>
        <v>30 to 60 Mins</v>
      </c>
      <c r="K342" s="9">
        <f>ROUND(Call_Table_Data[[#This Row],[Satisfaction Rating]],0)</f>
        <v>4</v>
      </c>
    </row>
    <row r="343" spans="1:11" x14ac:dyDescent="0.3">
      <c r="A343" s="9" t="s">
        <v>380</v>
      </c>
      <c r="B343" s="9" t="s">
        <v>26</v>
      </c>
      <c r="C343" s="9">
        <v>55</v>
      </c>
      <c r="D343" s="10" t="s">
        <v>40</v>
      </c>
      <c r="E343" s="11">
        <v>45025</v>
      </c>
      <c r="F343" s="9">
        <v>27</v>
      </c>
      <c r="G343" s="9">
        <v>3.7</v>
      </c>
      <c r="H343" s="9">
        <f>IF(MONTH(Call_Table_Data[[#This Row],[Date of Call]])&lt;=3,YEAR(Call_Table_Data[[#This Row],[Date of Call]]),YEAR(Call_Table_Data[[#This Row],[Date of Call]])+1)</f>
        <v>2024</v>
      </c>
      <c r="I343" s="9" t="str">
        <f>TEXT(Call_Table_Data[[#This Row],[Date of Call]],"DDDD")</f>
        <v>Sunday</v>
      </c>
      <c r="J343" s="9" t="str" cm="1">
        <f t="array" ref="J343">_xlfn.IFS(Call_Table_Data[[#This Row],[Duration]]&lt;=10,"Under 10 Mins",Call_Table_Data[[#This Row],[Duration]]&lt;=30,"10 to 30 Mins",Call_Table_Data[[#This Row],[Duration]]&lt;=60,"30 to 60 Mins",Call_Table_Data[[#This Row],[Duration]]&lt;=120,"1 to 2 Hours",TRUE,"More Than 2 Hours")</f>
        <v>30 to 60 Mins</v>
      </c>
      <c r="K343" s="9">
        <f>ROUND(Call_Table_Data[[#This Row],[Satisfaction Rating]],0)</f>
        <v>4</v>
      </c>
    </row>
    <row r="344" spans="1:11" x14ac:dyDescent="0.3">
      <c r="A344" s="9" t="s">
        <v>381</v>
      </c>
      <c r="B344" s="9" t="s">
        <v>45</v>
      </c>
      <c r="C344" s="9">
        <v>104</v>
      </c>
      <c r="D344" s="10" t="s">
        <v>40</v>
      </c>
      <c r="E344" s="11">
        <v>45026</v>
      </c>
      <c r="F344" s="9">
        <v>68</v>
      </c>
      <c r="G344" s="9">
        <v>3.6</v>
      </c>
      <c r="H344" s="9">
        <f>IF(MONTH(Call_Table_Data[[#This Row],[Date of Call]])&lt;=3,YEAR(Call_Table_Data[[#This Row],[Date of Call]]),YEAR(Call_Table_Data[[#This Row],[Date of Call]])+1)</f>
        <v>2024</v>
      </c>
      <c r="I344" s="9" t="str">
        <f>TEXT(Call_Table_Data[[#This Row],[Date of Call]],"DDDD")</f>
        <v>Monday</v>
      </c>
      <c r="J344" s="9" t="str" cm="1">
        <f t="array" ref="J344">_xlfn.IFS(Call_Table_Data[[#This Row],[Duration]]&lt;=10,"Under 10 Mins",Call_Table_Data[[#This Row],[Duration]]&lt;=30,"10 to 30 Mins",Call_Table_Data[[#This Row],[Duration]]&lt;=60,"30 to 60 Mins",Call_Table_Data[[#This Row],[Duration]]&lt;=120,"1 to 2 Hours",TRUE,"More Than 2 Hours")</f>
        <v>1 to 2 Hours</v>
      </c>
      <c r="K344" s="9">
        <f>ROUND(Call_Table_Data[[#This Row],[Satisfaction Rating]],0)</f>
        <v>4</v>
      </c>
    </row>
    <row r="345" spans="1:11" x14ac:dyDescent="0.3">
      <c r="A345" s="9" t="s">
        <v>382</v>
      </c>
      <c r="B345" s="9" t="s">
        <v>23</v>
      </c>
      <c r="C345" s="9">
        <v>116</v>
      </c>
      <c r="D345" s="10" t="s">
        <v>27</v>
      </c>
      <c r="E345" s="11">
        <v>45026</v>
      </c>
      <c r="F345" s="9">
        <v>22</v>
      </c>
      <c r="G345" s="9">
        <v>4.7</v>
      </c>
      <c r="H345" s="9">
        <f>IF(MONTH(Call_Table_Data[[#This Row],[Date of Call]])&lt;=3,YEAR(Call_Table_Data[[#This Row],[Date of Call]]),YEAR(Call_Table_Data[[#This Row],[Date of Call]])+1)</f>
        <v>2024</v>
      </c>
      <c r="I345" s="9" t="str">
        <f>TEXT(Call_Table_Data[[#This Row],[Date of Call]],"DDDD")</f>
        <v>Monday</v>
      </c>
      <c r="J345" s="9" t="str" cm="1">
        <f t="array" ref="J345">_xlfn.IFS(Call_Table_Data[[#This Row],[Duration]]&lt;=10,"Under 10 Mins",Call_Table_Data[[#This Row],[Duration]]&lt;=30,"10 to 30 Mins",Call_Table_Data[[#This Row],[Duration]]&lt;=60,"30 to 60 Mins",Call_Table_Data[[#This Row],[Duration]]&lt;=120,"1 to 2 Hours",TRUE,"More Than 2 Hours")</f>
        <v>1 to 2 Hours</v>
      </c>
      <c r="K345" s="9">
        <f>ROUND(Call_Table_Data[[#This Row],[Satisfaction Rating]],0)</f>
        <v>5</v>
      </c>
    </row>
    <row r="346" spans="1:11" x14ac:dyDescent="0.3">
      <c r="A346" s="9" t="s">
        <v>383</v>
      </c>
      <c r="B346" s="9" t="s">
        <v>54</v>
      </c>
      <c r="C346" s="9">
        <v>99</v>
      </c>
      <c r="D346" s="10" t="s">
        <v>40</v>
      </c>
      <c r="E346" s="11">
        <v>45026</v>
      </c>
      <c r="F346" s="9">
        <v>42</v>
      </c>
      <c r="G346" s="9">
        <v>3.1</v>
      </c>
      <c r="H346" s="9">
        <f>IF(MONTH(Call_Table_Data[[#This Row],[Date of Call]])&lt;=3,YEAR(Call_Table_Data[[#This Row],[Date of Call]]),YEAR(Call_Table_Data[[#This Row],[Date of Call]])+1)</f>
        <v>2024</v>
      </c>
      <c r="I346" s="9" t="str">
        <f>TEXT(Call_Table_Data[[#This Row],[Date of Call]],"DDDD")</f>
        <v>Monday</v>
      </c>
      <c r="J346" s="9" t="str" cm="1">
        <f t="array" ref="J346">_xlfn.IFS(Call_Table_Data[[#This Row],[Duration]]&lt;=10,"Under 10 Mins",Call_Table_Data[[#This Row],[Duration]]&lt;=30,"10 to 30 Mins",Call_Table_Data[[#This Row],[Duration]]&lt;=60,"30 to 60 Mins",Call_Table_Data[[#This Row],[Duration]]&lt;=120,"1 to 2 Hours",TRUE,"More Than 2 Hours")</f>
        <v>1 to 2 Hours</v>
      </c>
      <c r="K346" s="9">
        <f>ROUND(Call_Table_Data[[#This Row],[Satisfaction Rating]],0)</f>
        <v>3</v>
      </c>
    </row>
    <row r="347" spans="1:11" x14ac:dyDescent="0.3">
      <c r="A347" s="9" t="s">
        <v>384</v>
      </c>
      <c r="B347" s="9" t="s">
        <v>45</v>
      </c>
      <c r="C347" s="9">
        <v>84</v>
      </c>
      <c r="D347" s="10" t="s">
        <v>40</v>
      </c>
      <c r="E347" s="11">
        <v>45027</v>
      </c>
      <c r="F347" s="9">
        <v>38</v>
      </c>
      <c r="G347" s="9">
        <v>3.3</v>
      </c>
      <c r="H347" s="9">
        <f>IF(MONTH(Call_Table_Data[[#This Row],[Date of Call]])&lt;=3,YEAR(Call_Table_Data[[#This Row],[Date of Call]]),YEAR(Call_Table_Data[[#This Row],[Date of Call]])+1)</f>
        <v>2024</v>
      </c>
      <c r="I347" s="9" t="str">
        <f>TEXT(Call_Table_Data[[#This Row],[Date of Call]],"DDDD")</f>
        <v>Tuesday</v>
      </c>
      <c r="J347" s="9" t="str" cm="1">
        <f t="array" ref="J347">_xlfn.IFS(Call_Table_Data[[#This Row],[Duration]]&lt;=10,"Under 10 Mins",Call_Table_Data[[#This Row],[Duration]]&lt;=30,"10 to 30 Mins",Call_Table_Data[[#This Row],[Duration]]&lt;=60,"30 to 60 Mins",Call_Table_Data[[#This Row],[Duration]]&lt;=120,"1 to 2 Hours",TRUE,"More Than 2 Hours")</f>
        <v>1 to 2 Hours</v>
      </c>
      <c r="K347" s="9">
        <f>ROUND(Call_Table_Data[[#This Row],[Satisfaction Rating]],0)</f>
        <v>3</v>
      </c>
    </row>
    <row r="348" spans="1:11" x14ac:dyDescent="0.3">
      <c r="A348" s="9" t="s">
        <v>385</v>
      </c>
      <c r="B348" s="9" t="s">
        <v>50</v>
      </c>
      <c r="C348" s="9">
        <v>159</v>
      </c>
      <c r="D348" s="10" t="s">
        <v>40</v>
      </c>
      <c r="E348" s="11">
        <v>45027</v>
      </c>
      <c r="F348" s="9">
        <v>42</v>
      </c>
      <c r="G348" s="9">
        <v>4.5</v>
      </c>
      <c r="H348" s="9">
        <f>IF(MONTH(Call_Table_Data[[#This Row],[Date of Call]])&lt;=3,YEAR(Call_Table_Data[[#This Row],[Date of Call]]),YEAR(Call_Table_Data[[#This Row],[Date of Call]])+1)</f>
        <v>2024</v>
      </c>
      <c r="I348" s="9" t="str">
        <f>TEXT(Call_Table_Data[[#This Row],[Date of Call]],"DDDD")</f>
        <v>Tuesday</v>
      </c>
      <c r="J348" s="9" t="str" cm="1">
        <f t="array" ref="J348">_xlfn.IFS(Call_Table_Data[[#This Row],[Duration]]&lt;=10,"Under 10 Mins",Call_Table_Data[[#This Row],[Duration]]&lt;=30,"10 to 30 Mins",Call_Table_Data[[#This Row],[Duration]]&lt;=60,"30 to 60 Mins",Call_Table_Data[[#This Row],[Duration]]&lt;=120,"1 to 2 Hours",TRUE,"More Than 2 Hours")</f>
        <v>More Than 2 Hours</v>
      </c>
      <c r="K348" s="9">
        <f>ROUND(Call_Table_Data[[#This Row],[Satisfaction Rating]],0)</f>
        <v>5</v>
      </c>
    </row>
    <row r="349" spans="1:11" x14ac:dyDescent="0.3">
      <c r="A349" s="9" t="s">
        <v>386</v>
      </c>
      <c r="B349" s="9" t="s">
        <v>37</v>
      </c>
      <c r="C349" s="9">
        <v>25</v>
      </c>
      <c r="D349" s="10" t="s">
        <v>17</v>
      </c>
      <c r="E349" s="11">
        <v>45027</v>
      </c>
      <c r="F349" s="9">
        <v>75</v>
      </c>
      <c r="G349" s="9">
        <v>3.9</v>
      </c>
      <c r="H349" s="9">
        <f>IF(MONTH(Call_Table_Data[[#This Row],[Date of Call]])&lt;=3,YEAR(Call_Table_Data[[#This Row],[Date of Call]]),YEAR(Call_Table_Data[[#This Row],[Date of Call]])+1)</f>
        <v>2024</v>
      </c>
      <c r="I349" s="9" t="str">
        <f>TEXT(Call_Table_Data[[#This Row],[Date of Call]],"DDDD")</f>
        <v>Tuesday</v>
      </c>
      <c r="J349" s="9" t="str" cm="1">
        <f t="array" ref="J349">_xlfn.IFS(Call_Table_Data[[#This Row],[Duration]]&lt;=10,"Under 10 Mins",Call_Table_Data[[#This Row],[Duration]]&lt;=30,"10 to 30 Mins",Call_Table_Data[[#This Row],[Duration]]&lt;=60,"30 to 60 Mins",Call_Table_Data[[#This Row],[Duration]]&lt;=120,"1 to 2 Hours",TRUE,"More Than 2 Hours")</f>
        <v>10 to 30 Mins</v>
      </c>
      <c r="K349" s="9">
        <f>ROUND(Call_Table_Data[[#This Row],[Satisfaction Rating]],0)</f>
        <v>4</v>
      </c>
    </row>
    <row r="350" spans="1:11" x14ac:dyDescent="0.3">
      <c r="A350" s="9" t="s">
        <v>387</v>
      </c>
      <c r="B350" s="9" t="s">
        <v>50</v>
      </c>
      <c r="C350" s="9">
        <v>53</v>
      </c>
      <c r="D350" s="10" t="s">
        <v>46</v>
      </c>
      <c r="E350" s="11">
        <v>45028</v>
      </c>
      <c r="F350" s="9">
        <v>23</v>
      </c>
      <c r="G350" s="9">
        <v>4.9000000000000004</v>
      </c>
      <c r="H350" s="9">
        <f>IF(MONTH(Call_Table_Data[[#This Row],[Date of Call]])&lt;=3,YEAR(Call_Table_Data[[#This Row],[Date of Call]]),YEAR(Call_Table_Data[[#This Row],[Date of Call]])+1)</f>
        <v>2024</v>
      </c>
      <c r="I350" s="9" t="str">
        <f>TEXT(Call_Table_Data[[#This Row],[Date of Call]],"DDDD")</f>
        <v>Wednesday</v>
      </c>
      <c r="J350" s="9" t="str" cm="1">
        <f t="array" ref="J350">_xlfn.IFS(Call_Table_Data[[#This Row],[Duration]]&lt;=10,"Under 10 Mins",Call_Table_Data[[#This Row],[Duration]]&lt;=30,"10 to 30 Mins",Call_Table_Data[[#This Row],[Duration]]&lt;=60,"30 to 60 Mins",Call_Table_Data[[#This Row],[Duration]]&lt;=120,"1 to 2 Hours",TRUE,"More Than 2 Hours")</f>
        <v>30 to 60 Mins</v>
      </c>
      <c r="K350" s="9">
        <f>ROUND(Call_Table_Data[[#This Row],[Satisfaction Rating]],0)</f>
        <v>5</v>
      </c>
    </row>
    <row r="351" spans="1:11" x14ac:dyDescent="0.3">
      <c r="A351" s="9" t="s">
        <v>388</v>
      </c>
      <c r="B351" s="9" t="s">
        <v>50</v>
      </c>
      <c r="C351" s="9">
        <v>89</v>
      </c>
      <c r="D351" s="10" t="s">
        <v>17</v>
      </c>
      <c r="E351" s="11">
        <v>45028</v>
      </c>
      <c r="F351" s="9">
        <v>200</v>
      </c>
      <c r="G351" s="9">
        <v>4.8</v>
      </c>
      <c r="H351" s="9">
        <f>IF(MONTH(Call_Table_Data[[#This Row],[Date of Call]])&lt;=3,YEAR(Call_Table_Data[[#This Row],[Date of Call]]),YEAR(Call_Table_Data[[#This Row],[Date of Call]])+1)</f>
        <v>2024</v>
      </c>
      <c r="I351" s="9" t="str">
        <f>TEXT(Call_Table_Data[[#This Row],[Date of Call]],"DDDD")</f>
        <v>Wednesday</v>
      </c>
      <c r="J351" s="9" t="str" cm="1">
        <f t="array" ref="J351">_xlfn.IFS(Call_Table_Data[[#This Row],[Duration]]&lt;=10,"Under 10 Mins",Call_Table_Data[[#This Row],[Duration]]&lt;=30,"10 to 30 Mins",Call_Table_Data[[#This Row],[Duration]]&lt;=60,"30 to 60 Mins",Call_Table_Data[[#This Row],[Duration]]&lt;=120,"1 to 2 Hours",TRUE,"More Than 2 Hours")</f>
        <v>1 to 2 Hours</v>
      </c>
      <c r="K351" s="9">
        <f>ROUND(Call_Table_Data[[#This Row],[Satisfaction Rating]],0)</f>
        <v>5</v>
      </c>
    </row>
    <row r="352" spans="1:11" x14ac:dyDescent="0.3">
      <c r="A352" s="9" t="s">
        <v>389</v>
      </c>
      <c r="B352" s="9" t="s">
        <v>30</v>
      </c>
      <c r="C352" s="9">
        <v>73</v>
      </c>
      <c r="D352" s="10" t="s">
        <v>27</v>
      </c>
      <c r="E352" s="11">
        <v>45029</v>
      </c>
      <c r="F352" s="9">
        <v>45</v>
      </c>
      <c r="G352" s="9">
        <v>3.6</v>
      </c>
      <c r="H352" s="9">
        <f>IF(MONTH(Call_Table_Data[[#This Row],[Date of Call]])&lt;=3,YEAR(Call_Table_Data[[#This Row],[Date of Call]]),YEAR(Call_Table_Data[[#This Row],[Date of Call]])+1)</f>
        <v>2024</v>
      </c>
      <c r="I352" s="9" t="str">
        <f>TEXT(Call_Table_Data[[#This Row],[Date of Call]],"DDDD")</f>
        <v>Thursday</v>
      </c>
      <c r="J352" s="9" t="str" cm="1">
        <f t="array" ref="J352">_xlfn.IFS(Call_Table_Data[[#This Row],[Duration]]&lt;=10,"Under 10 Mins",Call_Table_Data[[#This Row],[Duration]]&lt;=30,"10 to 30 Mins",Call_Table_Data[[#This Row],[Duration]]&lt;=60,"30 to 60 Mins",Call_Table_Data[[#This Row],[Duration]]&lt;=120,"1 to 2 Hours",TRUE,"More Than 2 Hours")</f>
        <v>1 to 2 Hours</v>
      </c>
      <c r="K352" s="9">
        <f>ROUND(Call_Table_Data[[#This Row],[Satisfaction Rating]],0)</f>
        <v>4</v>
      </c>
    </row>
    <row r="353" spans="1:11" x14ac:dyDescent="0.3">
      <c r="A353" s="9" t="s">
        <v>390</v>
      </c>
      <c r="B353" s="9" t="s">
        <v>54</v>
      </c>
      <c r="C353" s="9">
        <v>50</v>
      </c>
      <c r="D353" s="10" t="s">
        <v>27</v>
      </c>
      <c r="E353" s="11">
        <v>45029</v>
      </c>
      <c r="F353" s="9">
        <v>105</v>
      </c>
      <c r="G353" s="9">
        <v>3.5</v>
      </c>
      <c r="H353" s="9">
        <f>IF(MONTH(Call_Table_Data[[#This Row],[Date of Call]])&lt;=3,YEAR(Call_Table_Data[[#This Row],[Date of Call]]),YEAR(Call_Table_Data[[#This Row],[Date of Call]])+1)</f>
        <v>2024</v>
      </c>
      <c r="I353" s="9" t="str">
        <f>TEXT(Call_Table_Data[[#This Row],[Date of Call]],"DDDD")</f>
        <v>Thursday</v>
      </c>
      <c r="J353" s="9" t="str" cm="1">
        <f t="array" ref="J353">_xlfn.IFS(Call_Table_Data[[#This Row],[Duration]]&lt;=10,"Under 10 Mins",Call_Table_Data[[#This Row],[Duration]]&lt;=30,"10 to 30 Mins",Call_Table_Data[[#This Row],[Duration]]&lt;=60,"30 to 60 Mins",Call_Table_Data[[#This Row],[Duration]]&lt;=120,"1 to 2 Hours",TRUE,"More Than 2 Hours")</f>
        <v>30 to 60 Mins</v>
      </c>
      <c r="K353" s="9">
        <f>ROUND(Call_Table_Data[[#This Row],[Satisfaction Rating]],0)</f>
        <v>4</v>
      </c>
    </row>
    <row r="354" spans="1:11" x14ac:dyDescent="0.3">
      <c r="A354" s="9" t="s">
        <v>391</v>
      </c>
      <c r="B354" s="9" t="s">
        <v>32</v>
      </c>
      <c r="C354" s="9">
        <v>98</v>
      </c>
      <c r="D354" s="10" t="s">
        <v>27</v>
      </c>
      <c r="E354" s="11">
        <v>45029</v>
      </c>
      <c r="F354" s="9">
        <v>22</v>
      </c>
      <c r="G354" s="9">
        <v>3.8</v>
      </c>
      <c r="H354" s="9">
        <f>IF(MONTH(Call_Table_Data[[#This Row],[Date of Call]])&lt;=3,YEAR(Call_Table_Data[[#This Row],[Date of Call]]),YEAR(Call_Table_Data[[#This Row],[Date of Call]])+1)</f>
        <v>2024</v>
      </c>
      <c r="I354" s="9" t="str">
        <f>TEXT(Call_Table_Data[[#This Row],[Date of Call]],"DDDD")</f>
        <v>Thursday</v>
      </c>
      <c r="J354" s="9" t="str" cm="1">
        <f t="array" ref="J354">_xlfn.IFS(Call_Table_Data[[#This Row],[Duration]]&lt;=10,"Under 10 Mins",Call_Table_Data[[#This Row],[Duration]]&lt;=30,"10 to 30 Mins",Call_Table_Data[[#This Row],[Duration]]&lt;=60,"30 to 60 Mins",Call_Table_Data[[#This Row],[Duration]]&lt;=120,"1 to 2 Hours",TRUE,"More Than 2 Hours")</f>
        <v>1 to 2 Hours</v>
      </c>
      <c r="K354" s="9">
        <f>ROUND(Call_Table_Data[[#This Row],[Satisfaction Rating]],0)</f>
        <v>4</v>
      </c>
    </row>
    <row r="355" spans="1:11" x14ac:dyDescent="0.3">
      <c r="A355" s="9" t="s">
        <v>392</v>
      </c>
      <c r="B355" s="9" t="s">
        <v>49</v>
      </c>
      <c r="C355" s="9">
        <v>114</v>
      </c>
      <c r="D355" s="10" t="s">
        <v>40</v>
      </c>
      <c r="E355" s="11">
        <v>45030</v>
      </c>
      <c r="F355" s="9">
        <v>126</v>
      </c>
      <c r="G355" s="9">
        <v>4.4000000000000004</v>
      </c>
      <c r="H355" s="9">
        <f>IF(MONTH(Call_Table_Data[[#This Row],[Date of Call]])&lt;=3,YEAR(Call_Table_Data[[#This Row],[Date of Call]]),YEAR(Call_Table_Data[[#This Row],[Date of Call]])+1)</f>
        <v>2024</v>
      </c>
      <c r="I355" s="9" t="str">
        <f>TEXT(Call_Table_Data[[#This Row],[Date of Call]],"DDDD")</f>
        <v>Friday</v>
      </c>
      <c r="J355" s="9" t="str" cm="1">
        <f t="array" ref="J355">_xlfn.IFS(Call_Table_Data[[#This Row],[Duration]]&lt;=10,"Under 10 Mins",Call_Table_Data[[#This Row],[Duration]]&lt;=30,"10 to 30 Mins",Call_Table_Data[[#This Row],[Duration]]&lt;=60,"30 to 60 Mins",Call_Table_Data[[#This Row],[Duration]]&lt;=120,"1 to 2 Hours",TRUE,"More Than 2 Hours")</f>
        <v>1 to 2 Hours</v>
      </c>
      <c r="K355" s="9">
        <f>ROUND(Call_Table_Data[[#This Row],[Satisfaction Rating]],0)</f>
        <v>4</v>
      </c>
    </row>
    <row r="356" spans="1:11" x14ac:dyDescent="0.3">
      <c r="A356" s="9" t="s">
        <v>393</v>
      </c>
      <c r="B356" s="9" t="s">
        <v>35</v>
      </c>
      <c r="C356" s="9">
        <v>67</v>
      </c>
      <c r="D356" s="10" t="s">
        <v>40</v>
      </c>
      <c r="E356" s="11">
        <v>45030</v>
      </c>
      <c r="F356" s="9">
        <v>35</v>
      </c>
      <c r="G356" s="9">
        <v>3</v>
      </c>
      <c r="H356" s="9">
        <f>IF(MONTH(Call_Table_Data[[#This Row],[Date of Call]])&lt;=3,YEAR(Call_Table_Data[[#This Row],[Date of Call]]),YEAR(Call_Table_Data[[#This Row],[Date of Call]])+1)</f>
        <v>2024</v>
      </c>
      <c r="I356" s="9" t="str">
        <f>TEXT(Call_Table_Data[[#This Row],[Date of Call]],"DDDD")</f>
        <v>Friday</v>
      </c>
      <c r="J356" s="9" t="str" cm="1">
        <f t="array" ref="J356">_xlfn.IFS(Call_Table_Data[[#This Row],[Duration]]&lt;=10,"Under 10 Mins",Call_Table_Data[[#This Row],[Duration]]&lt;=30,"10 to 30 Mins",Call_Table_Data[[#This Row],[Duration]]&lt;=60,"30 to 60 Mins",Call_Table_Data[[#This Row],[Duration]]&lt;=120,"1 to 2 Hours",TRUE,"More Than 2 Hours")</f>
        <v>1 to 2 Hours</v>
      </c>
      <c r="K356" s="9">
        <f>ROUND(Call_Table_Data[[#This Row],[Satisfaction Rating]],0)</f>
        <v>3</v>
      </c>
    </row>
    <row r="357" spans="1:11" x14ac:dyDescent="0.3">
      <c r="A357" s="9" t="s">
        <v>394</v>
      </c>
      <c r="B357" s="9" t="s">
        <v>26</v>
      </c>
      <c r="C357" s="9">
        <v>91</v>
      </c>
      <c r="D357" s="10" t="s">
        <v>27</v>
      </c>
      <c r="E357" s="11">
        <v>45030</v>
      </c>
      <c r="F357" s="9">
        <v>84</v>
      </c>
      <c r="G357" s="9">
        <v>4.5</v>
      </c>
      <c r="H357" s="9">
        <f>IF(MONTH(Call_Table_Data[[#This Row],[Date of Call]])&lt;=3,YEAR(Call_Table_Data[[#This Row],[Date of Call]]),YEAR(Call_Table_Data[[#This Row],[Date of Call]])+1)</f>
        <v>2024</v>
      </c>
      <c r="I357" s="9" t="str">
        <f>TEXT(Call_Table_Data[[#This Row],[Date of Call]],"DDDD")</f>
        <v>Friday</v>
      </c>
      <c r="J357" s="9" t="str" cm="1">
        <f t="array" ref="J357">_xlfn.IFS(Call_Table_Data[[#This Row],[Duration]]&lt;=10,"Under 10 Mins",Call_Table_Data[[#This Row],[Duration]]&lt;=30,"10 to 30 Mins",Call_Table_Data[[#This Row],[Duration]]&lt;=60,"30 to 60 Mins",Call_Table_Data[[#This Row],[Duration]]&lt;=120,"1 to 2 Hours",TRUE,"More Than 2 Hours")</f>
        <v>1 to 2 Hours</v>
      </c>
      <c r="K357" s="9">
        <f>ROUND(Call_Table_Data[[#This Row],[Satisfaction Rating]],0)</f>
        <v>5</v>
      </c>
    </row>
    <row r="358" spans="1:11" x14ac:dyDescent="0.3">
      <c r="A358" s="9" t="s">
        <v>395</v>
      </c>
      <c r="B358" s="9" t="s">
        <v>41</v>
      </c>
      <c r="C358" s="9">
        <v>67</v>
      </c>
      <c r="D358" s="10" t="s">
        <v>27</v>
      </c>
      <c r="E358" s="11">
        <v>45031</v>
      </c>
      <c r="F358" s="9">
        <v>172</v>
      </c>
      <c r="G358" s="9">
        <v>4.5</v>
      </c>
      <c r="H358" s="9">
        <f>IF(MONTH(Call_Table_Data[[#This Row],[Date of Call]])&lt;=3,YEAR(Call_Table_Data[[#This Row],[Date of Call]]),YEAR(Call_Table_Data[[#This Row],[Date of Call]])+1)</f>
        <v>2024</v>
      </c>
      <c r="I358" s="9" t="str">
        <f>TEXT(Call_Table_Data[[#This Row],[Date of Call]],"DDDD")</f>
        <v>Saturday</v>
      </c>
      <c r="J358" s="9" t="str" cm="1">
        <f t="array" ref="J358">_xlfn.IFS(Call_Table_Data[[#This Row],[Duration]]&lt;=10,"Under 10 Mins",Call_Table_Data[[#This Row],[Duration]]&lt;=30,"10 to 30 Mins",Call_Table_Data[[#This Row],[Duration]]&lt;=60,"30 to 60 Mins",Call_Table_Data[[#This Row],[Duration]]&lt;=120,"1 to 2 Hours",TRUE,"More Than 2 Hours")</f>
        <v>1 to 2 Hours</v>
      </c>
      <c r="K358" s="9">
        <f>ROUND(Call_Table_Data[[#This Row],[Satisfaction Rating]],0)</f>
        <v>5</v>
      </c>
    </row>
    <row r="359" spans="1:11" x14ac:dyDescent="0.3">
      <c r="A359" s="9" t="s">
        <v>396</v>
      </c>
      <c r="B359" s="9" t="s">
        <v>49</v>
      </c>
      <c r="C359" s="9">
        <v>139</v>
      </c>
      <c r="D359" s="10" t="s">
        <v>17</v>
      </c>
      <c r="E359" s="11">
        <v>45031</v>
      </c>
      <c r="F359" s="9">
        <v>114</v>
      </c>
      <c r="G359" s="9">
        <v>4</v>
      </c>
      <c r="H359" s="9">
        <f>IF(MONTH(Call_Table_Data[[#This Row],[Date of Call]])&lt;=3,YEAR(Call_Table_Data[[#This Row],[Date of Call]]),YEAR(Call_Table_Data[[#This Row],[Date of Call]])+1)</f>
        <v>2024</v>
      </c>
      <c r="I359" s="9" t="str">
        <f>TEXT(Call_Table_Data[[#This Row],[Date of Call]],"DDDD")</f>
        <v>Saturday</v>
      </c>
      <c r="J359" s="9" t="str" cm="1">
        <f t="array" ref="J359">_xlfn.IFS(Call_Table_Data[[#This Row],[Duration]]&lt;=10,"Under 10 Mins",Call_Table_Data[[#This Row],[Duration]]&lt;=30,"10 to 30 Mins",Call_Table_Data[[#This Row],[Duration]]&lt;=60,"30 to 60 Mins",Call_Table_Data[[#This Row],[Duration]]&lt;=120,"1 to 2 Hours",TRUE,"More Than 2 Hours")</f>
        <v>More Than 2 Hours</v>
      </c>
      <c r="K359" s="9">
        <f>ROUND(Call_Table_Data[[#This Row],[Satisfaction Rating]],0)</f>
        <v>4</v>
      </c>
    </row>
    <row r="360" spans="1:11" x14ac:dyDescent="0.3">
      <c r="A360" s="9" t="s">
        <v>397</v>
      </c>
      <c r="B360" s="9" t="s">
        <v>41</v>
      </c>
      <c r="C360" s="9">
        <v>102</v>
      </c>
      <c r="D360" s="10" t="s">
        <v>17</v>
      </c>
      <c r="E360" s="11">
        <v>45031</v>
      </c>
      <c r="F360" s="9">
        <v>60</v>
      </c>
      <c r="G360" s="9">
        <v>3.8</v>
      </c>
      <c r="H360" s="9">
        <f>IF(MONTH(Call_Table_Data[[#This Row],[Date of Call]])&lt;=3,YEAR(Call_Table_Data[[#This Row],[Date of Call]]),YEAR(Call_Table_Data[[#This Row],[Date of Call]])+1)</f>
        <v>2024</v>
      </c>
      <c r="I360" s="9" t="str">
        <f>TEXT(Call_Table_Data[[#This Row],[Date of Call]],"DDDD")</f>
        <v>Saturday</v>
      </c>
      <c r="J360" s="9" t="str" cm="1">
        <f t="array" ref="J360">_xlfn.IFS(Call_Table_Data[[#This Row],[Duration]]&lt;=10,"Under 10 Mins",Call_Table_Data[[#This Row],[Duration]]&lt;=30,"10 to 30 Mins",Call_Table_Data[[#This Row],[Duration]]&lt;=60,"30 to 60 Mins",Call_Table_Data[[#This Row],[Duration]]&lt;=120,"1 to 2 Hours",TRUE,"More Than 2 Hours")</f>
        <v>1 to 2 Hours</v>
      </c>
      <c r="K360" s="9">
        <f>ROUND(Call_Table_Data[[#This Row],[Satisfaction Rating]],0)</f>
        <v>4</v>
      </c>
    </row>
    <row r="361" spans="1:11" x14ac:dyDescent="0.3">
      <c r="A361" s="9" t="s">
        <v>398</v>
      </c>
      <c r="B361" s="9" t="s">
        <v>18</v>
      </c>
      <c r="C361" s="9">
        <v>108</v>
      </c>
      <c r="D361" s="10" t="s">
        <v>33</v>
      </c>
      <c r="E361" s="11">
        <v>45031</v>
      </c>
      <c r="F361" s="9">
        <v>26</v>
      </c>
      <c r="G361" s="9">
        <v>3.3</v>
      </c>
      <c r="H361" s="9">
        <f>IF(MONTH(Call_Table_Data[[#This Row],[Date of Call]])&lt;=3,YEAR(Call_Table_Data[[#This Row],[Date of Call]]),YEAR(Call_Table_Data[[#This Row],[Date of Call]])+1)</f>
        <v>2024</v>
      </c>
      <c r="I361" s="9" t="str">
        <f>TEXT(Call_Table_Data[[#This Row],[Date of Call]],"DDDD")</f>
        <v>Saturday</v>
      </c>
      <c r="J361" s="9" t="str" cm="1">
        <f t="array" ref="J361">_xlfn.IFS(Call_Table_Data[[#This Row],[Duration]]&lt;=10,"Under 10 Mins",Call_Table_Data[[#This Row],[Duration]]&lt;=30,"10 to 30 Mins",Call_Table_Data[[#This Row],[Duration]]&lt;=60,"30 to 60 Mins",Call_Table_Data[[#This Row],[Duration]]&lt;=120,"1 to 2 Hours",TRUE,"More Than 2 Hours")</f>
        <v>1 to 2 Hours</v>
      </c>
      <c r="K361" s="9">
        <f>ROUND(Call_Table_Data[[#This Row],[Satisfaction Rating]],0)</f>
        <v>3</v>
      </c>
    </row>
    <row r="362" spans="1:11" x14ac:dyDescent="0.3">
      <c r="A362" s="9" t="s">
        <v>399</v>
      </c>
      <c r="B362" s="9" t="s">
        <v>37</v>
      </c>
      <c r="C362" s="9">
        <v>66</v>
      </c>
      <c r="D362" s="10" t="s">
        <v>27</v>
      </c>
      <c r="E362" s="11">
        <v>45031</v>
      </c>
      <c r="F362" s="9">
        <v>210</v>
      </c>
      <c r="G362" s="9">
        <v>4.3</v>
      </c>
      <c r="H362" s="9">
        <f>IF(MONTH(Call_Table_Data[[#This Row],[Date of Call]])&lt;=3,YEAR(Call_Table_Data[[#This Row],[Date of Call]]),YEAR(Call_Table_Data[[#This Row],[Date of Call]])+1)</f>
        <v>2024</v>
      </c>
      <c r="I362" s="9" t="str">
        <f>TEXT(Call_Table_Data[[#This Row],[Date of Call]],"DDDD")</f>
        <v>Saturday</v>
      </c>
      <c r="J362" s="9" t="str" cm="1">
        <f t="array" ref="J362">_xlfn.IFS(Call_Table_Data[[#This Row],[Duration]]&lt;=10,"Under 10 Mins",Call_Table_Data[[#This Row],[Duration]]&lt;=30,"10 to 30 Mins",Call_Table_Data[[#This Row],[Duration]]&lt;=60,"30 to 60 Mins",Call_Table_Data[[#This Row],[Duration]]&lt;=120,"1 to 2 Hours",TRUE,"More Than 2 Hours")</f>
        <v>1 to 2 Hours</v>
      </c>
      <c r="K362" s="9">
        <f>ROUND(Call_Table_Data[[#This Row],[Satisfaction Rating]],0)</f>
        <v>4</v>
      </c>
    </row>
    <row r="363" spans="1:11" x14ac:dyDescent="0.3">
      <c r="A363" s="9" t="s">
        <v>400</v>
      </c>
      <c r="B363" s="9" t="s">
        <v>43</v>
      </c>
      <c r="C363" s="9">
        <v>85</v>
      </c>
      <c r="D363" s="10" t="s">
        <v>17</v>
      </c>
      <c r="E363" s="11">
        <v>45031</v>
      </c>
      <c r="F363" s="9">
        <v>129</v>
      </c>
      <c r="G363" s="9">
        <v>4.2</v>
      </c>
      <c r="H363" s="9">
        <f>IF(MONTH(Call_Table_Data[[#This Row],[Date of Call]])&lt;=3,YEAR(Call_Table_Data[[#This Row],[Date of Call]]),YEAR(Call_Table_Data[[#This Row],[Date of Call]])+1)</f>
        <v>2024</v>
      </c>
      <c r="I363" s="9" t="str">
        <f>TEXT(Call_Table_Data[[#This Row],[Date of Call]],"DDDD")</f>
        <v>Saturday</v>
      </c>
      <c r="J363" s="9" t="str" cm="1">
        <f t="array" ref="J363">_xlfn.IFS(Call_Table_Data[[#This Row],[Duration]]&lt;=10,"Under 10 Mins",Call_Table_Data[[#This Row],[Duration]]&lt;=30,"10 to 30 Mins",Call_Table_Data[[#This Row],[Duration]]&lt;=60,"30 to 60 Mins",Call_Table_Data[[#This Row],[Duration]]&lt;=120,"1 to 2 Hours",TRUE,"More Than 2 Hours")</f>
        <v>1 to 2 Hours</v>
      </c>
      <c r="K363" s="9">
        <f>ROUND(Call_Table_Data[[#This Row],[Satisfaction Rating]],0)</f>
        <v>4</v>
      </c>
    </row>
    <row r="364" spans="1:11" x14ac:dyDescent="0.3">
      <c r="A364" s="9" t="s">
        <v>401</v>
      </c>
      <c r="B364" s="9" t="s">
        <v>35</v>
      </c>
      <c r="C364" s="9">
        <v>55</v>
      </c>
      <c r="D364" s="10" t="s">
        <v>33</v>
      </c>
      <c r="E364" s="11">
        <v>45031</v>
      </c>
      <c r="F364" s="9">
        <v>215</v>
      </c>
      <c r="G364" s="9">
        <v>4.3</v>
      </c>
      <c r="H364" s="9">
        <f>IF(MONTH(Call_Table_Data[[#This Row],[Date of Call]])&lt;=3,YEAR(Call_Table_Data[[#This Row],[Date of Call]]),YEAR(Call_Table_Data[[#This Row],[Date of Call]])+1)</f>
        <v>2024</v>
      </c>
      <c r="I364" s="9" t="str">
        <f>TEXT(Call_Table_Data[[#This Row],[Date of Call]],"DDDD")</f>
        <v>Saturday</v>
      </c>
      <c r="J364" s="9" t="str" cm="1">
        <f t="array" ref="J364">_xlfn.IFS(Call_Table_Data[[#This Row],[Duration]]&lt;=10,"Under 10 Mins",Call_Table_Data[[#This Row],[Duration]]&lt;=30,"10 to 30 Mins",Call_Table_Data[[#This Row],[Duration]]&lt;=60,"30 to 60 Mins",Call_Table_Data[[#This Row],[Duration]]&lt;=120,"1 to 2 Hours",TRUE,"More Than 2 Hours")</f>
        <v>30 to 60 Mins</v>
      </c>
      <c r="K364" s="9">
        <f>ROUND(Call_Table_Data[[#This Row],[Satisfaction Rating]],0)</f>
        <v>4</v>
      </c>
    </row>
    <row r="365" spans="1:11" x14ac:dyDescent="0.3">
      <c r="A365" s="9" t="s">
        <v>402</v>
      </c>
      <c r="B365" s="9" t="s">
        <v>18</v>
      </c>
      <c r="C365" s="9">
        <v>17</v>
      </c>
      <c r="D365" s="10" t="s">
        <v>46</v>
      </c>
      <c r="E365" s="11">
        <v>45031</v>
      </c>
      <c r="F365" s="9">
        <v>69</v>
      </c>
      <c r="G365" s="9">
        <v>4.5999999999999996</v>
      </c>
      <c r="H365" s="9">
        <f>IF(MONTH(Call_Table_Data[[#This Row],[Date of Call]])&lt;=3,YEAR(Call_Table_Data[[#This Row],[Date of Call]]),YEAR(Call_Table_Data[[#This Row],[Date of Call]])+1)</f>
        <v>2024</v>
      </c>
      <c r="I365" s="9" t="str">
        <f>TEXT(Call_Table_Data[[#This Row],[Date of Call]],"DDDD")</f>
        <v>Saturday</v>
      </c>
      <c r="J365" s="9" t="str" cm="1">
        <f t="array" ref="J365">_xlfn.IFS(Call_Table_Data[[#This Row],[Duration]]&lt;=10,"Under 10 Mins",Call_Table_Data[[#This Row],[Duration]]&lt;=30,"10 to 30 Mins",Call_Table_Data[[#This Row],[Duration]]&lt;=60,"30 to 60 Mins",Call_Table_Data[[#This Row],[Duration]]&lt;=120,"1 to 2 Hours",TRUE,"More Than 2 Hours")</f>
        <v>10 to 30 Mins</v>
      </c>
      <c r="K365" s="9">
        <f>ROUND(Call_Table_Data[[#This Row],[Satisfaction Rating]],0)</f>
        <v>5</v>
      </c>
    </row>
    <row r="366" spans="1:11" x14ac:dyDescent="0.3">
      <c r="A366" s="9" t="s">
        <v>403</v>
      </c>
      <c r="B366" s="9" t="s">
        <v>35</v>
      </c>
      <c r="C366" s="9">
        <v>128</v>
      </c>
      <c r="D366" s="10" t="s">
        <v>46</v>
      </c>
      <c r="E366" s="11">
        <v>45031</v>
      </c>
      <c r="F366" s="9">
        <v>140</v>
      </c>
      <c r="G366" s="9">
        <v>3</v>
      </c>
      <c r="H366" s="9">
        <f>IF(MONTH(Call_Table_Data[[#This Row],[Date of Call]])&lt;=3,YEAR(Call_Table_Data[[#This Row],[Date of Call]]),YEAR(Call_Table_Data[[#This Row],[Date of Call]])+1)</f>
        <v>2024</v>
      </c>
      <c r="I366" s="9" t="str">
        <f>TEXT(Call_Table_Data[[#This Row],[Date of Call]],"DDDD")</f>
        <v>Saturday</v>
      </c>
      <c r="J366" s="9" t="str" cm="1">
        <f t="array" ref="J366">_xlfn.IFS(Call_Table_Data[[#This Row],[Duration]]&lt;=10,"Under 10 Mins",Call_Table_Data[[#This Row],[Duration]]&lt;=30,"10 to 30 Mins",Call_Table_Data[[#This Row],[Duration]]&lt;=60,"30 to 60 Mins",Call_Table_Data[[#This Row],[Duration]]&lt;=120,"1 to 2 Hours",TRUE,"More Than 2 Hours")</f>
        <v>More Than 2 Hours</v>
      </c>
      <c r="K366" s="9">
        <f>ROUND(Call_Table_Data[[#This Row],[Satisfaction Rating]],0)</f>
        <v>3</v>
      </c>
    </row>
    <row r="367" spans="1:11" x14ac:dyDescent="0.3">
      <c r="A367" s="9" t="s">
        <v>404</v>
      </c>
      <c r="B367" s="9" t="s">
        <v>54</v>
      </c>
      <c r="C367" s="9">
        <v>45</v>
      </c>
      <c r="D367" s="10" t="s">
        <v>33</v>
      </c>
      <c r="E367" s="11">
        <v>45032</v>
      </c>
      <c r="F367" s="9">
        <v>156</v>
      </c>
      <c r="G367" s="9">
        <v>2.7</v>
      </c>
      <c r="H367" s="9">
        <f>IF(MONTH(Call_Table_Data[[#This Row],[Date of Call]])&lt;=3,YEAR(Call_Table_Data[[#This Row],[Date of Call]]),YEAR(Call_Table_Data[[#This Row],[Date of Call]])+1)</f>
        <v>2024</v>
      </c>
      <c r="I367" s="9" t="str">
        <f>TEXT(Call_Table_Data[[#This Row],[Date of Call]],"DDDD")</f>
        <v>Sunday</v>
      </c>
      <c r="J367" s="9" t="str" cm="1">
        <f t="array" ref="J367">_xlfn.IFS(Call_Table_Data[[#This Row],[Duration]]&lt;=10,"Under 10 Mins",Call_Table_Data[[#This Row],[Duration]]&lt;=30,"10 to 30 Mins",Call_Table_Data[[#This Row],[Duration]]&lt;=60,"30 to 60 Mins",Call_Table_Data[[#This Row],[Duration]]&lt;=120,"1 to 2 Hours",TRUE,"More Than 2 Hours")</f>
        <v>30 to 60 Mins</v>
      </c>
      <c r="K367" s="9">
        <f>ROUND(Call_Table_Data[[#This Row],[Satisfaction Rating]],0)</f>
        <v>3</v>
      </c>
    </row>
    <row r="368" spans="1:11" x14ac:dyDescent="0.3">
      <c r="A368" s="9" t="s">
        <v>405</v>
      </c>
      <c r="B368" s="9" t="s">
        <v>18</v>
      </c>
      <c r="C368" s="9">
        <v>41</v>
      </c>
      <c r="D368" s="10" t="s">
        <v>46</v>
      </c>
      <c r="E368" s="11">
        <v>45032</v>
      </c>
      <c r="F368" s="9">
        <v>164</v>
      </c>
      <c r="G368" s="9">
        <v>3.1</v>
      </c>
      <c r="H368" s="9">
        <f>IF(MONTH(Call_Table_Data[[#This Row],[Date of Call]])&lt;=3,YEAR(Call_Table_Data[[#This Row],[Date of Call]]),YEAR(Call_Table_Data[[#This Row],[Date of Call]])+1)</f>
        <v>2024</v>
      </c>
      <c r="I368" s="9" t="str">
        <f>TEXT(Call_Table_Data[[#This Row],[Date of Call]],"DDDD")</f>
        <v>Sunday</v>
      </c>
      <c r="J368" s="9" t="str" cm="1">
        <f t="array" ref="J368">_xlfn.IFS(Call_Table_Data[[#This Row],[Duration]]&lt;=10,"Under 10 Mins",Call_Table_Data[[#This Row],[Duration]]&lt;=30,"10 to 30 Mins",Call_Table_Data[[#This Row],[Duration]]&lt;=60,"30 to 60 Mins",Call_Table_Data[[#This Row],[Duration]]&lt;=120,"1 to 2 Hours",TRUE,"More Than 2 Hours")</f>
        <v>30 to 60 Mins</v>
      </c>
      <c r="K368" s="9">
        <f>ROUND(Call_Table_Data[[#This Row],[Satisfaction Rating]],0)</f>
        <v>3</v>
      </c>
    </row>
    <row r="369" spans="1:11" x14ac:dyDescent="0.3">
      <c r="A369" s="9" t="s">
        <v>406</v>
      </c>
      <c r="B369" s="9" t="s">
        <v>23</v>
      </c>
      <c r="C369" s="9">
        <v>49</v>
      </c>
      <c r="D369" s="10" t="s">
        <v>46</v>
      </c>
      <c r="E369" s="11">
        <v>45032</v>
      </c>
      <c r="F369" s="9">
        <v>195</v>
      </c>
      <c r="G369" s="9">
        <v>2.6</v>
      </c>
      <c r="H369" s="9">
        <f>IF(MONTH(Call_Table_Data[[#This Row],[Date of Call]])&lt;=3,YEAR(Call_Table_Data[[#This Row],[Date of Call]]),YEAR(Call_Table_Data[[#This Row],[Date of Call]])+1)</f>
        <v>2024</v>
      </c>
      <c r="I369" s="9" t="str">
        <f>TEXT(Call_Table_Data[[#This Row],[Date of Call]],"DDDD")</f>
        <v>Sunday</v>
      </c>
      <c r="J369" s="9" t="str" cm="1">
        <f t="array" ref="J369">_xlfn.IFS(Call_Table_Data[[#This Row],[Duration]]&lt;=10,"Under 10 Mins",Call_Table_Data[[#This Row],[Duration]]&lt;=30,"10 to 30 Mins",Call_Table_Data[[#This Row],[Duration]]&lt;=60,"30 to 60 Mins",Call_Table_Data[[#This Row],[Duration]]&lt;=120,"1 to 2 Hours",TRUE,"More Than 2 Hours")</f>
        <v>30 to 60 Mins</v>
      </c>
      <c r="K369" s="9">
        <f>ROUND(Call_Table_Data[[#This Row],[Satisfaction Rating]],0)</f>
        <v>3</v>
      </c>
    </row>
    <row r="370" spans="1:11" x14ac:dyDescent="0.3">
      <c r="A370" s="9" t="s">
        <v>407</v>
      </c>
      <c r="B370" s="9" t="s">
        <v>22</v>
      </c>
      <c r="C370" s="9">
        <v>21</v>
      </c>
      <c r="D370" s="10" t="s">
        <v>40</v>
      </c>
      <c r="E370" s="11">
        <v>45032</v>
      </c>
      <c r="F370" s="9">
        <v>74</v>
      </c>
      <c r="G370" s="9">
        <v>4.5999999999999996</v>
      </c>
      <c r="H370" s="9">
        <f>IF(MONTH(Call_Table_Data[[#This Row],[Date of Call]])&lt;=3,YEAR(Call_Table_Data[[#This Row],[Date of Call]]),YEAR(Call_Table_Data[[#This Row],[Date of Call]])+1)</f>
        <v>2024</v>
      </c>
      <c r="I370" s="9" t="str">
        <f>TEXT(Call_Table_Data[[#This Row],[Date of Call]],"DDDD")</f>
        <v>Sunday</v>
      </c>
      <c r="J370" s="9" t="str" cm="1">
        <f t="array" ref="J370">_xlfn.IFS(Call_Table_Data[[#This Row],[Duration]]&lt;=10,"Under 10 Mins",Call_Table_Data[[#This Row],[Duration]]&lt;=30,"10 to 30 Mins",Call_Table_Data[[#This Row],[Duration]]&lt;=60,"30 to 60 Mins",Call_Table_Data[[#This Row],[Duration]]&lt;=120,"1 to 2 Hours",TRUE,"More Than 2 Hours")</f>
        <v>10 to 30 Mins</v>
      </c>
      <c r="K370" s="9">
        <f>ROUND(Call_Table_Data[[#This Row],[Satisfaction Rating]],0)</f>
        <v>5</v>
      </c>
    </row>
    <row r="371" spans="1:11" x14ac:dyDescent="0.3">
      <c r="A371" s="9" t="s">
        <v>408</v>
      </c>
      <c r="B371" s="9" t="s">
        <v>50</v>
      </c>
      <c r="C371" s="9">
        <v>133</v>
      </c>
      <c r="D371" s="10" t="s">
        <v>33</v>
      </c>
      <c r="E371" s="11">
        <v>45032</v>
      </c>
      <c r="F371" s="9">
        <v>100</v>
      </c>
      <c r="G371" s="9">
        <v>4</v>
      </c>
      <c r="H371" s="9">
        <f>IF(MONTH(Call_Table_Data[[#This Row],[Date of Call]])&lt;=3,YEAR(Call_Table_Data[[#This Row],[Date of Call]]),YEAR(Call_Table_Data[[#This Row],[Date of Call]])+1)</f>
        <v>2024</v>
      </c>
      <c r="I371" s="9" t="str">
        <f>TEXT(Call_Table_Data[[#This Row],[Date of Call]],"DDDD")</f>
        <v>Sunday</v>
      </c>
      <c r="J371" s="9" t="str" cm="1">
        <f t="array" ref="J371">_xlfn.IFS(Call_Table_Data[[#This Row],[Duration]]&lt;=10,"Under 10 Mins",Call_Table_Data[[#This Row],[Duration]]&lt;=30,"10 to 30 Mins",Call_Table_Data[[#This Row],[Duration]]&lt;=60,"30 to 60 Mins",Call_Table_Data[[#This Row],[Duration]]&lt;=120,"1 to 2 Hours",TRUE,"More Than 2 Hours")</f>
        <v>More Than 2 Hours</v>
      </c>
      <c r="K371" s="9">
        <f>ROUND(Call_Table_Data[[#This Row],[Satisfaction Rating]],0)</f>
        <v>4</v>
      </c>
    </row>
    <row r="372" spans="1:11" x14ac:dyDescent="0.3">
      <c r="A372" s="9" t="s">
        <v>409</v>
      </c>
      <c r="B372" s="9" t="s">
        <v>16</v>
      </c>
      <c r="C372" s="9">
        <v>135</v>
      </c>
      <c r="D372" s="10" t="s">
        <v>27</v>
      </c>
      <c r="E372" s="11">
        <v>45032</v>
      </c>
      <c r="F372" s="9">
        <v>185</v>
      </c>
      <c r="G372" s="9">
        <v>4.5</v>
      </c>
      <c r="H372" s="9">
        <f>IF(MONTH(Call_Table_Data[[#This Row],[Date of Call]])&lt;=3,YEAR(Call_Table_Data[[#This Row],[Date of Call]]),YEAR(Call_Table_Data[[#This Row],[Date of Call]])+1)</f>
        <v>2024</v>
      </c>
      <c r="I372" s="9" t="str">
        <f>TEXT(Call_Table_Data[[#This Row],[Date of Call]],"DDDD")</f>
        <v>Sunday</v>
      </c>
      <c r="J372" s="9" t="str" cm="1">
        <f t="array" ref="J372">_xlfn.IFS(Call_Table_Data[[#This Row],[Duration]]&lt;=10,"Under 10 Mins",Call_Table_Data[[#This Row],[Duration]]&lt;=30,"10 to 30 Mins",Call_Table_Data[[#This Row],[Duration]]&lt;=60,"30 to 60 Mins",Call_Table_Data[[#This Row],[Duration]]&lt;=120,"1 to 2 Hours",TRUE,"More Than 2 Hours")</f>
        <v>More Than 2 Hours</v>
      </c>
      <c r="K372" s="9">
        <f>ROUND(Call_Table_Data[[#This Row],[Satisfaction Rating]],0)</f>
        <v>5</v>
      </c>
    </row>
    <row r="373" spans="1:11" x14ac:dyDescent="0.3">
      <c r="A373" s="9" t="s">
        <v>410</v>
      </c>
      <c r="B373" s="9" t="s">
        <v>49</v>
      </c>
      <c r="C373" s="9">
        <v>69</v>
      </c>
      <c r="D373" s="10" t="s">
        <v>33</v>
      </c>
      <c r="E373" s="11">
        <v>45032</v>
      </c>
      <c r="F373" s="9">
        <v>130</v>
      </c>
      <c r="G373" s="9">
        <v>1.9</v>
      </c>
      <c r="H373" s="9">
        <f>IF(MONTH(Call_Table_Data[[#This Row],[Date of Call]])&lt;=3,YEAR(Call_Table_Data[[#This Row],[Date of Call]]),YEAR(Call_Table_Data[[#This Row],[Date of Call]])+1)</f>
        <v>2024</v>
      </c>
      <c r="I373" s="9" t="str">
        <f>TEXT(Call_Table_Data[[#This Row],[Date of Call]],"DDDD")</f>
        <v>Sunday</v>
      </c>
      <c r="J373" s="9" t="str" cm="1">
        <f t="array" ref="J373">_xlfn.IFS(Call_Table_Data[[#This Row],[Duration]]&lt;=10,"Under 10 Mins",Call_Table_Data[[#This Row],[Duration]]&lt;=30,"10 to 30 Mins",Call_Table_Data[[#This Row],[Duration]]&lt;=60,"30 to 60 Mins",Call_Table_Data[[#This Row],[Duration]]&lt;=120,"1 to 2 Hours",TRUE,"More Than 2 Hours")</f>
        <v>1 to 2 Hours</v>
      </c>
      <c r="K373" s="9">
        <f>ROUND(Call_Table_Data[[#This Row],[Satisfaction Rating]],0)</f>
        <v>2</v>
      </c>
    </row>
    <row r="374" spans="1:11" x14ac:dyDescent="0.3">
      <c r="A374" s="9" t="s">
        <v>411</v>
      </c>
      <c r="B374" s="9" t="s">
        <v>45</v>
      </c>
      <c r="C374" s="9">
        <v>110</v>
      </c>
      <c r="D374" s="10" t="s">
        <v>40</v>
      </c>
      <c r="E374" s="11">
        <v>45033</v>
      </c>
      <c r="F374" s="9">
        <v>21</v>
      </c>
      <c r="G374" s="9">
        <v>2.6</v>
      </c>
      <c r="H374" s="9">
        <f>IF(MONTH(Call_Table_Data[[#This Row],[Date of Call]])&lt;=3,YEAR(Call_Table_Data[[#This Row],[Date of Call]]),YEAR(Call_Table_Data[[#This Row],[Date of Call]])+1)</f>
        <v>2024</v>
      </c>
      <c r="I374" s="9" t="str">
        <f>TEXT(Call_Table_Data[[#This Row],[Date of Call]],"DDDD")</f>
        <v>Monday</v>
      </c>
      <c r="J374" s="9" t="str" cm="1">
        <f t="array" ref="J374">_xlfn.IFS(Call_Table_Data[[#This Row],[Duration]]&lt;=10,"Under 10 Mins",Call_Table_Data[[#This Row],[Duration]]&lt;=30,"10 to 30 Mins",Call_Table_Data[[#This Row],[Duration]]&lt;=60,"30 to 60 Mins",Call_Table_Data[[#This Row],[Duration]]&lt;=120,"1 to 2 Hours",TRUE,"More Than 2 Hours")</f>
        <v>1 to 2 Hours</v>
      </c>
      <c r="K374" s="9">
        <f>ROUND(Call_Table_Data[[#This Row],[Satisfaction Rating]],0)</f>
        <v>3</v>
      </c>
    </row>
    <row r="375" spans="1:11" x14ac:dyDescent="0.3">
      <c r="A375" s="9" t="s">
        <v>412</v>
      </c>
      <c r="B375" s="9" t="s">
        <v>41</v>
      </c>
      <c r="C375" s="9">
        <v>64</v>
      </c>
      <c r="D375" s="10" t="s">
        <v>17</v>
      </c>
      <c r="E375" s="11">
        <v>45033</v>
      </c>
      <c r="F375" s="9">
        <v>88</v>
      </c>
      <c r="G375" s="9">
        <v>4.3</v>
      </c>
      <c r="H375" s="9">
        <f>IF(MONTH(Call_Table_Data[[#This Row],[Date of Call]])&lt;=3,YEAR(Call_Table_Data[[#This Row],[Date of Call]]),YEAR(Call_Table_Data[[#This Row],[Date of Call]])+1)</f>
        <v>2024</v>
      </c>
      <c r="I375" s="9" t="str">
        <f>TEXT(Call_Table_Data[[#This Row],[Date of Call]],"DDDD")</f>
        <v>Monday</v>
      </c>
      <c r="J375" s="9" t="str" cm="1">
        <f t="array" ref="J375">_xlfn.IFS(Call_Table_Data[[#This Row],[Duration]]&lt;=10,"Under 10 Mins",Call_Table_Data[[#This Row],[Duration]]&lt;=30,"10 to 30 Mins",Call_Table_Data[[#This Row],[Duration]]&lt;=60,"30 to 60 Mins",Call_Table_Data[[#This Row],[Duration]]&lt;=120,"1 to 2 Hours",TRUE,"More Than 2 Hours")</f>
        <v>1 to 2 Hours</v>
      </c>
      <c r="K375" s="9">
        <f>ROUND(Call_Table_Data[[#This Row],[Satisfaction Rating]],0)</f>
        <v>4</v>
      </c>
    </row>
    <row r="376" spans="1:11" x14ac:dyDescent="0.3">
      <c r="A376" s="9" t="s">
        <v>413</v>
      </c>
      <c r="B376" s="9" t="s">
        <v>26</v>
      </c>
      <c r="C376" s="9">
        <v>105</v>
      </c>
      <c r="D376" s="10" t="s">
        <v>46</v>
      </c>
      <c r="E376" s="11">
        <v>45033</v>
      </c>
      <c r="F376" s="9">
        <v>35</v>
      </c>
      <c r="G376" s="9">
        <v>4.4000000000000004</v>
      </c>
      <c r="H376" s="9">
        <f>IF(MONTH(Call_Table_Data[[#This Row],[Date of Call]])&lt;=3,YEAR(Call_Table_Data[[#This Row],[Date of Call]]),YEAR(Call_Table_Data[[#This Row],[Date of Call]])+1)</f>
        <v>2024</v>
      </c>
      <c r="I376" s="9" t="str">
        <f>TEXT(Call_Table_Data[[#This Row],[Date of Call]],"DDDD")</f>
        <v>Monday</v>
      </c>
      <c r="J376" s="9" t="str" cm="1">
        <f t="array" ref="J376">_xlfn.IFS(Call_Table_Data[[#This Row],[Duration]]&lt;=10,"Under 10 Mins",Call_Table_Data[[#This Row],[Duration]]&lt;=30,"10 to 30 Mins",Call_Table_Data[[#This Row],[Duration]]&lt;=60,"30 to 60 Mins",Call_Table_Data[[#This Row],[Duration]]&lt;=120,"1 to 2 Hours",TRUE,"More Than 2 Hours")</f>
        <v>1 to 2 Hours</v>
      </c>
      <c r="K376" s="9">
        <f>ROUND(Call_Table_Data[[#This Row],[Satisfaction Rating]],0)</f>
        <v>4</v>
      </c>
    </row>
    <row r="377" spans="1:11" x14ac:dyDescent="0.3">
      <c r="A377" s="9" t="s">
        <v>414</v>
      </c>
      <c r="B377" s="9" t="s">
        <v>41</v>
      </c>
      <c r="C377" s="9">
        <v>165</v>
      </c>
      <c r="D377" s="10" t="s">
        <v>27</v>
      </c>
      <c r="E377" s="11">
        <v>45033</v>
      </c>
      <c r="F377" s="9">
        <v>68</v>
      </c>
      <c r="G377" s="9">
        <v>4.3</v>
      </c>
      <c r="H377" s="9">
        <f>IF(MONTH(Call_Table_Data[[#This Row],[Date of Call]])&lt;=3,YEAR(Call_Table_Data[[#This Row],[Date of Call]]),YEAR(Call_Table_Data[[#This Row],[Date of Call]])+1)</f>
        <v>2024</v>
      </c>
      <c r="I377" s="9" t="str">
        <f>TEXT(Call_Table_Data[[#This Row],[Date of Call]],"DDDD")</f>
        <v>Monday</v>
      </c>
      <c r="J377" s="9" t="str" cm="1">
        <f t="array" ref="J377">_xlfn.IFS(Call_Table_Data[[#This Row],[Duration]]&lt;=10,"Under 10 Mins",Call_Table_Data[[#This Row],[Duration]]&lt;=30,"10 to 30 Mins",Call_Table_Data[[#This Row],[Duration]]&lt;=60,"30 to 60 Mins",Call_Table_Data[[#This Row],[Duration]]&lt;=120,"1 to 2 Hours",TRUE,"More Than 2 Hours")</f>
        <v>More Than 2 Hours</v>
      </c>
      <c r="K377" s="9">
        <f>ROUND(Call_Table_Data[[#This Row],[Satisfaction Rating]],0)</f>
        <v>4</v>
      </c>
    </row>
    <row r="378" spans="1:11" x14ac:dyDescent="0.3">
      <c r="A378" s="9" t="s">
        <v>415</v>
      </c>
      <c r="B378" s="9" t="s">
        <v>54</v>
      </c>
      <c r="C378" s="9">
        <v>125</v>
      </c>
      <c r="D378" s="10" t="s">
        <v>27</v>
      </c>
      <c r="E378" s="11">
        <v>45033</v>
      </c>
      <c r="F378" s="9">
        <v>148</v>
      </c>
      <c r="G378" s="9">
        <v>4.5</v>
      </c>
      <c r="H378" s="9">
        <f>IF(MONTH(Call_Table_Data[[#This Row],[Date of Call]])&lt;=3,YEAR(Call_Table_Data[[#This Row],[Date of Call]]),YEAR(Call_Table_Data[[#This Row],[Date of Call]])+1)</f>
        <v>2024</v>
      </c>
      <c r="I378" s="9" t="str">
        <f>TEXT(Call_Table_Data[[#This Row],[Date of Call]],"DDDD")</f>
        <v>Monday</v>
      </c>
      <c r="J378" s="9" t="str" cm="1">
        <f t="array" ref="J378">_xlfn.IFS(Call_Table_Data[[#This Row],[Duration]]&lt;=10,"Under 10 Mins",Call_Table_Data[[#This Row],[Duration]]&lt;=30,"10 to 30 Mins",Call_Table_Data[[#This Row],[Duration]]&lt;=60,"30 to 60 Mins",Call_Table_Data[[#This Row],[Duration]]&lt;=120,"1 to 2 Hours",TRUE,"More Than 2 Hours")</f>
        <v>More Than 2 Hours</v>
      </c>
      <c r="K378" s="9">
        <f>ROUND(Call_Table_Data[[#This Row],[Satisfaction Rating]],0)</f>
        <v>5</v>
      </c>
    </row>
    <row r="379" spans="1:11" x14ac:dyDescent="0.3">
      <c r="A379" s="9" t="s">
        <v>416</v>
      </c>
      <c r="B379" s="9" t="s">
        <v>26</v>
      </c>
      <c r="C379" s="9">
        <v>88</v>
      </c>
      <c r="D379" s="10" t="s">
        <v>17</v>
      </c>
      <c r="E379" s="11">
        <v>45034</v>
      </c>
      <c r="F379" s="9">
        <v>81</v>
      </c>
      <c r="G379" s="9">
        <v>4.2</v>
      </c>
      <c r="H379" s="9">
        <f>IF(MONTH(Call_Table_Data[[#This Row],[Date of Call]])&lt;=3,YEAR(Call_Table_Data[[#This Row],[Date of Call]]),YEAR(Call_Table_Data[[#This Row],[Date of Call]])+1)</f>
        <v>2024</v>
      </c>
      <c r="I379" s="9" t="str">
        <f>TEXT(Call_Table_Data[[#This Row],[Date of Call]],"DDDD")</f>
        <v>Tuesday</v>
      </c>
      <c r="J379" s="9" t="str" cm="1">
        <f t="array" ref="J379">_xlfn.IFS(Call_Table_Data[[#This Row],[Duration]]&lt;=10,"Under 10 Mins",Call_Table_Data[[#This Row],[Duration]]&lt;=30,"10 to 30 Mins",Call_Table_Data[[#This Row],[Duration]]&lt;=60,"30 to 60 Mins",Call_Table_Data[[#This Row],[Duration]]&lt;=120,"1 to 2 Hours",TRUE,"More Than 2 Hours")</f>
        <v>1 to 2 Hours</v>
      </c>
      <c r="K379" s="9">
        <f>ROUND(Call_Table_Data[[#This Row],[Satisfaction Rating]],0)</f>
        <v>4</v>
      </c>
    </row>
    <row r="380" spans="1:11" x14ac:dyDescent="0.3">
      <c r="A380" s="9" t="s">
        <v>417</v>
      </c>
      <c r="B380" s="9" t="s">
        <v>49</v>
      </c>
      <c r="C380" s="9">
        <v>6</v>
      </c>
      <c r="D380" s="10" t="s">
        <v>17</v>
      </c>
      <c r="E380" s="11">
        <v>45034</v>
      </c>
      <c r="F380" s="9">
        <v>75</v>
      </c>
      <c r="G380" s="9">
        <v>3.9</v>
      </c>
      <c r="H380" s="9">
        <f>IF(MONTH(Call_Table_Data[[#This Row],[Date of Call]])&lt;=3,YEAR(Call_Table_Data[[#This Row],[Date of Call]]),YEAR(Call_Table_Data[[#This Row],[Date of Call]])+1)</f>
        <v>2024</v>
      </c>
      <c r="I380" s="9" t="str">
        <f>TEXT(Call_Table_Data[[#This Row],[Date of Call]],"DDDD")</f>
        <v>Tuesday</v>
      </c>
      <c r="J380" s="9" t="str" cm="1">
        <f t="array" ref="J380">_xlfn.IFS(Call_Table_Data[[#This Row],[Duration]]&lt;=10,"Under 10 Mins",Call_Table_Data[[#This Row],[Duration]]&lt;=30,"10 to 30 Mins",Call_Table_Data[[#This Row],[Duration]]&lt;=60,"30 to 60 Mins",Call_Table_Data[[#This Row],[Duration]]&lt;=120,"1 to 2 Hours",TRUE,"More Than 2 Hours")</f>
        <v>Under 10 Mins</v>
      </c>
      <c r="K380" s="9">
        <f>ROUND(Call_Table_Data[[#This Row],[Satisfaction Rating]],0)</f>
        <v>4</v>
      </c>
    </row>
    <row r="381" spans="1:11" x14ac:dyDescent="0.3">
      <c r="A381" s="9" t="s">
        <v>418</v>
      </c>
      <c r="B381" s="9" t="s">
        <v>43</v>
      </c>
      <c r="C381" s="9">
        <v>69</v>
      </c>
      <c r="D381" s="10" t="s">
        <v>33</v>
      </c>
      <c r="E381" s="11">
        <v>45035</v>
      </c>
      <c r="F381" s="9">
        <v>32</v>
      </c>
      <c r="G381" s="9">
        <v>3.6</v>
      </c>
      <c r="H381" s="9">
        <f>IF(MONTH(Call_Table_Data[[#This Row],[Date of Call]])&lt;=3,YEAR(Call_Table_Data[[#This Row],[Date of Call]]),YEAR(Call_Table_Data[[#This Row],[Date of Call]])+1)</f>
        <v>2024</v>
      </c>
      <c r="I381" s="9" t="str">
        <f>TEXT(Call_Table_Data[[#This Row],[Date of Call]],"DDDD")</f>
        <v>Wednesday</v>
      </c>
      <c r="J381" s="9" t="str" cm="1">
        <f t="array" ref="J381">_xlfn.IFS(Call_Table_Data[[#This Row],[Duration]]&lt;=10,"Under 10 Mins",Call_Table_Data[[#This Row],[Duration]]&lt;=30,"10 to 30 Mins",Call_Table_Data[[#This Row],[Duration]]&lt;=60,"30 to 60 Mins",Call_Table_Data[[#This Row],[Duration]]&lt;=120,"1 to 2 Hours",TRUE,"More Than 2 Hours")</f>
        <v>1 to 2 Hours</v>
      </c>
      <c r="K381" s="9">
        <f>ROUND(Call_Table_Data[[#This Row],[Satisfaction Rating]],0)</f>
        <v>4</v>
      </c>
    </row>
    <row r="382" spans="1:11" x14ac:dyDescent="0.3">
      <c r="A382" s="9" t="s">
        <v>419</v>
      </c>
      <c r="B382" s="9" t="s">
        <v>18</v>
      </c>
      <c r="C382" s="9">
        <v>107</v>
      </c>
      <c r="D382" s="10" t="s">
        <v>33</v>
      </c>
      <c r="E382" s="11">
        <v>45035</v>
      </c>
      <c r="F382" s="9">
        <v>156</v>
      </c>
      <c r="G382" s="9">
        <v>3.8</v>
      </c>
      <c r="H382" s="9">
        <f>IF(MONTH(Call_Table_Data[[#This Row],[Date of Call]])&lt;=3,YEAR(Call_Table_Data[[#This Row],[Date of Call]]),YEAR(Call_Table_Data[[#This Row],[Date of Call]])+1)</f>
        <v>2024</v>
      </c>
      <c r="I382" s="9" t="str">
        <f>TEXT(Call_Table_Data[[#This Row],[Date of Call]],"DDDD")</f>
        <v>Wednesday</v>
      </c>
      <c r="J382" s="9" t="str" cm="1">
        <f t="array" ref="J382">_xlfn.IFS(Call_Table_Data[[#This Row],[Duration]]&lt;=10,"Under 10 Mins",Call_Table_Data[[#This Row],[Duration]]&lt;=30,"10 to 30 Mins",Call_Table_Data[[#This Row],[Duration]]&lt;=60,"30 to 60 Mins",Call_Table_Data[[#This Row],[Duration]]&lt;=120,"1 to 2 Hours",TRUE,"More Than 2 Hours")</f>
        <v>1 to 2 Hours</v>
      </c>
      <c r="K382" s="9">
        <f>ROUND(Call_Table_Data[[#This Row],[Satisfaction Rating]],0)</f>
        <v>4</v>
      </c>
    </row>
    <row r="383" spans="1:11" x14ac:dyDescent="0.3">
      <c r="A383" s="9" t="s">
        <v>420</v>
      </c>
      <c r="B383" s="9" t="s">
        <v>22</v>
      </c>
      <c r="C383" s="9">
        <v>90</v>
      </c>
      <c r="D383" s="10" t="s">
        <v>27</v>
      </c>
      <c r="E383" s="11">
        <v>45035</v>
      </c>
      <c r="F383" s="9">
        <v>99</v>
      </c>
      <c r="G383" s="9">
        <v>4.9000000000000004</v>
      </c>
      <c r="H383" s="9">
        <f>IF(MONTH(Call_Table_Data[[#This Row],[Date of Call]])&lt;=3,YEAR(Call_Table_Data[[#This Row],[Date of Call]]),YEAR(Call_Table_Data[[#This Row],[Date of Call]])+1)</f>
        <v>2024</v>
      </c>
      <c r="I383" s="9" t="str">
        <f>TEXT(Call_Table_Data[[#This Row],[Date of Call]],"DDDD")</f>
        <v>Wednesday</v>
      </c>
      <c r="J383" s="9" t="str" cm="1">
        <f t="array" ref="J383">_xlfn.IFS(Call_Table_Data[[#This Row],[Duration]]&lt;=10,"Under 10 Mins",Call_Table_Data[[#This Row],[Duration]]&lt;=30,"10 to 30 Mins",Call_Table_Data[[#This Row],[Duration]]&lt;=60,"30 to 60 Mins",Call_Table_Data[[#This Row],[Duration]]&lt;=120,"1 to 2 Hours",TRUE,"More Than 2 Hours")</f>
        <v>1 to 2 Hours</v>
      </c>
      <c r="K383" s="9">
        <f>ROUND(Call_Table_Data[[#This Row],[Satisfaction Rating]],0)</f>
        <v>5</v>
      </c>
    </row>
    <row r="384" spans="1:11" x14ac:dyDescent="0.3">
      <c r="A384" s="9" t="s">
        <v>421</v>
      </c>
      <c r="B384" s="9" t="s">
        <v>16</v>
      </c>
      <c r="C384" s="9">
        <v>120</v>
      </c>
      <c r="D384" s="10" t="s">
        <v>46</v>
      </c>
      <c r="E384" s="11">
        <v>45035</v>
      </c>
      <c r="F384" s="9">
        <v>26</v>
      </c>
      <c r="G384" s="9">
        <v>4</v>
      </c>
      <c r="H384" s="9">
        <f>IF(MONTH(Call_Table_Data[[#This Row],[Date of Call]])&lt;=3,YEAR(Call_Table_Data[[#This Row],[Date of Call]]),YEAR(Call_Table_Data[[#This Row],[Date of Call]])+1)</f>
        <v>2024</v>
      </c>
      <c r="I384" s="9" t="str">
        <f>TEXT(Call_Table_Data[[#This Row],[Date of Call]],"DDDD")</f>
        <v>Wednesday</v>
      </c>
      <c r="J384" s="9" t="str" cm="1">
        <f t="array" ref="J384">_xlfn.IFS(Call_Table_Data[[#This Row],[Duration]]&lt;=10,"Under 10 Mins",Call_Table_Data[[#This Row],[Duration]]&lt;=30,"10 to 30 Mins",Call_Table_Data[[#This Row],[Duration]]&lt;=60,"30 to 60 Mins",Call_Table_Data[[#This Row],[Duration]]&lt;=120,"1 to 2 Hours",TRUE,"More Than 2 Hours")</f>
        <v>1 to 2 Hours</v>
      </c>
      <c r="K384" s="9">
        <f>ROUND(Call_Table_Data[[#This Row],[Satisfaction Rating]],0)</f>
        <v>4</v>
      </c>
    </row>
    <row r="385" spans="1:11" x14ac:dyDescent="0.3">
      <c r="A385" s="9" t="s">
        <v>422</v>
      </c>
      <c r="B385" s="9" t="s">
        <v>32</v>
      </c>
      <c r="C385" s="9">
        <v>47</v>
      </c>
      <c r="D385" s="10" t="s">
        <v>33</v>
      </c>
      <c r="E385" s="11">
        <v>45035</v>
      </c>
      <c r="F385" s="9">
        <v>84</v>
      </c>
      <c r="G385" s="9">
        <v>4.0999999999999996</v>
      </c>
      <c r="H385" s="9">
        <f>IF(MONTH(Call_Table_Data[[#This Row],[Date of Call]])&lt;=3,YEAR(Call_Table_Data[[#This Row],[Date of Call]]),YEAR(Call_Table_Data[[#This Row],[Date of Call]])+1)</f>
        <v>2024</v>
      </c>
      <c r="I385" s="9" t="str">
        <f>TEXT(Call_Table_Data[[#This Row],[Date of Call]],"DDDD")</f>
        <v>Wednesday</v>
      </c>
      <c r="J385" s="9" t="str" cm="1">
        <f t="array" ref="J385">_xlfn.IFS(Call_Table_Data[[#This Row],[Duration]]&lt;=10,"Under 10 Mins",Call_Table_Data[[#This Row],[Duration]]&lt;=30,"10 to 30 Mins",Call_Table_Data[[#This Row],[Duration]]&lt;=60,"30 to 60 Mins",Call_Table_Data[[#This Row],[Duration]]&lt;=120,"1 to 2 Hours",TRUE,"More Than 2 Hours")</f>
        <v>30 to 60 Mins</v>
      </c>
      <c r="K385" s="9">
        <f>ROUND(Call_Table_Data[[#This Row],[Satisfaction Rating]],0)</f>
        <v>4</v>
      </c>
    </row>
    <row r="386" spans="1:11" x14ac:dyDescent="0.3">
      <c r="A386" s="9" t="s">
        <v>423</v>
      </c>
      <c r="B386" s="9" t="s">
        <v>30</v>
      </c>
      <c r="C386" s="9">
        <v>60</v>
      </c>
      <c r="D386" s="10" t="s">
        <v>46</v>
      </c>
      <c r="E386" s="11">
        <v>45035</v>
      </c>
      <c r="F386" s="9">
        <v>84</v>
      </c>
      <c r="G386" s="9">
        <v>4.8</v>
      </c>
      <c r="H386" s="9">
        <f>IF(MONTH(Call_Table_Data[[#This Row],[Date of Call]])&lt;=3,YEAR(Call_Table_Data[[#This Row],[Date of Call]]),YEAR(Call_Table_Data[[#This Row],[Date of Call]])+1)</f>
        <v>2024</v>
      </c>
      <c r="I386" s="9" t="str">
        <f>TEXT(Call_Table_Data[[#This Row],[Date of Call]],"DDDD")</f>
        <v>Wednesday</v>
      </c>
      <c r="J386" s="9" t="str" cm="1">
        <f t="array" ref="J386">_xlfn.IFS(Call_Table_Data[[#This Row],[Duration]]&lt;=10,"Under 10 Mins",Call_Table_Data[[#This Row],[Duration]]&lt;=30,"10 to 30 Mins",Call_Table_Data[[#This Row],[Duration]]&lt;=60,"30 to 60 Mins",Call_Table_Data[[#This Row],[Duration]]&lt;=120,"1 to 2 Hours",TRUE,"More Than 2 Hours")</f>
        <v>30 to 60 Mins</v>
      </c>
      <c r="K386" s="9">
        <f>ROUND(Call_Table_Data[[#This Row],[Satisfaction Rating]],0)</f>
        <v>5</v>
      </c>
    </row>
    <row r="387" spans="1:11" x14ac:dyDescent="0.3">
      <c r="A387" s="9" t="s">
        <v>424</v>
      </c>
      <c r="B387" s="9" t="s">
        <v>35</v>
      </c>
      <c r="C387" s="9">
        <v>64</v>
      </c>
      <c r="D387" s="10" t="s">
        <v>27</v>
      </c>
      <c r="E387" s="11">
        <v>45035</v>
      </c>
      <c r="F387" s="9">
        <v>170</v>
      </c>
      <c r="G387" s="9">
        <v>2.2999999999999998</v>
      </c>
      <c r="H387" s="9">
        <f>IF(MONTH(Call_Table_Data[[#This Row],[Date of Call]])&lt;=3,YEAR(Call_Table_Data[[#This Row],[Date of Call]]),YEAR(Call_Table_Data[[#This Row],[Date of Call]])+1)</f>
        <v>2024</v>
      </c>
      <c r="I387" s="9" t="str">
        <f>TEXT(Call_Table_Data[[#This Row],[Date of Call]],"DDDD")</f>
        <v>Wednesday</v>
      </c>
      <c r="J387" s="9" t="str" cm="1">
        <f t="array" ref="J387">_xlfn.IFS(Call_Table_Data[[#This Row],[Duration]]&lt;=10,"Under 10 Mins",Call_Table_Data[[#This Row],[Duration]]&lt;=30,"10 to 30 Mins",Call_Table_Data[[#This Row],[Duration]]&lt;=60,"30 to 60 Mins",Call_Table_Data[[#This Row],[Duration]]&lt;=120,"1 to 2 Hours",TRUE,"More Than 2 Hours")</f>
        <v>1 to 2 Hours</v>
      </c>
      <c r="K387" s="9">
        <f>ROUND(Call_Table_Data[[#This Row],[Satisfaction Rating]],0)</f>
        <v>2</v>
      </c>
    </row>
    <row r="388" spans="1:11" x14ac:dyDescent="0.3">
      <c r="A388" s="9" t="s">
        <v>425</v>
      </c>
      <c r="B388" s="9" t="s">
        <v>41</v>
      </c>
      <c r="C388" s="9">
        <v>62</v>
      </c>
      <c r="D388" s="10" t="s">
        <v>33</v>
      </c>
      <c r="E388" s="11">
        <v>45035</v>
      </c>
      <c r="F388" s="9">
        <v>35</v>
      </c>
      <c r="G388" s="9">
        <v>4.4000000000000004</v>
      </c>
      <c r="H388" s="9">
        <f>IF(MONTH(Call_Table_Data[[#This Row],[Date of Call]])&lt;=3,YEAR(Call_Table_Data[[#This Row],[Date of Call]]),YEAR(Call_Table_Data[[#This Row],[Date of Call]])+1)</f>
        <v>2024</v>
      </c>
      <c r="I388" s="9" t="str">
        <f>TEXT(Call_Table_Data[[#This Row],[Date of Call]],"DDDD")</f>
        <v>Wednesday</v>
      </c>
      <c r="J388" s="9" t="str" cm="1">
        <f t="array" ref="J388">_xlfn.IFS(Call_Table_Data[[#This Row],[Duration]]&lt;=10,"Under 10 Mins",Call_Table_Data[[#This Row],[Duration]]&lt;=30,"10 to 30 Mins",Call_Table_Data[[#This Row],[Duration]]&lt;=60,"30 to 60 Mins",Call_Table_Data[[#This Row],[Duration]]&lt;=120,"1 to 2 Hours",TRUE,"More Than 2 Hours")</f>
        <v>1 to 2 Hours</v>
      </c>
      <c r="K388" s="9">
        <f>ROUND(Call_Table_Data[[#This Row],[Satisfaction Rating]],0)</f>
        <v>4</v>
      </c>
    </row>
    <row r="389" spans="1:11" x14ac:dyDescent="0.3">
      <c r="A389" s="9" t="s">
        <v>426</v>
      </c>
      <c r="B389" s="9" t="s">
        <v>45</v>
      </c>
      <c r="C389" s="9">
        <v>88</v>
      </c>
      <c r="D389" s="10" t="s">
        <v>33</v>
      </c>
      <c r="E389" s="11">
        <v>45036</v>
      </c>
      <c r="F389" s="9">
        <v>35</v>
      </c>
      <c r="G389" s="9">
        <v>3.8</v>
      </c>
      <c r="H389" s="9">
        <f>IF(MONTH(Call_Table_Data[[#This Row],[Date of Call]])&lt;=3,YEAR(Call_Table_Data[[#This Row],[Date of Call]]),YEAR(Call_Table_Data[[#This Row],[Date of Call]])+1)</f>
        <v>2024</v>
      </c>
      <c r="I389" s="9" t="str">
        <f>TEXT(Call_Table_Data[[#This Row],[Date of Call]],"DDDD")</f>
        <v>Thursday</v>
      </c>
      <c r="J389" s="9" t="str" cm="1">
        <f t="array" ref="J389">_xlfn.IFS(Call_Table_Data[[#This Row],[Duration]]&lt;=10,"Under 10 Mins",Call_Table_Data[[#This Row],[Duration]]&lt;=30,"10 to 30 Mins",Call_Table_Data[[#This Row],[Duration]]&lt;=60,"30 to 60 Mins",Call_Table_Data[[#This Row],[Duration]]&lt;=120,"1 to 2 Hours",TRUE,"More Than 2 Hours")</f>
        <v>1 to 2 Hours</v>
      </c>
      <c r="K389" s="9">
        <f>ROUND(Call_Table_Data[[#This Row],[Satisfaction Rating]],0)</f>
        <v>4</v>
      </c>
    </row>
    <row r="390" spans="1:11" x14ac:dyDescent="0.3">
      <c r="A390" s="9" t="s">
        <v>427</v>
      </c>
      <c r="B390" s="9" t="s">
        <v>54</v>
      </c>
      <c r="C390" s="9">
        <v>116</v>
      </c>
      <c r="D390" s="10" t="s">
        <v>33</v>
      </c>
      <c r="E390" s="11">
        <v>45036</v>
      </c>
      <c r="F390" s="9">
        <v>132</v>
      </c>
      <c r="G390" s="9">
        <v>5</v>
      </c>
      <c r="H390" s="9">
        <f>IF(MONTH(Call_Table_Data[[#This Row],[Date of Call]])&lt;=3,YEAR(Call_Table_Data[[#This Row],[Date of Call]]),YEAR(Call_Table_Data[[#This Row],[Date of Call]])+1)</f>
        <v>2024</v>
      </c>
      <c r="I390" s="9" t="str">
        <f>TEXT(Call_Table_Data[[#This Row],[Date of Call]],"DDDD")</f>
        <v>Thursday</v>
      </c>
      <c r="J390" s="9" t="str" cm="1">
        <f t="array" ref="J390">_xlfn.IFS(Call_Table_Data[[#This Row],[Duration]]&lt;=10,"Under 10 Mins",Call_Table_Data[[#This Row],[Duration]]&lt;=30,"10 to 30 Mins",Call_Table_Data[[#This Row],[Duration]]&lt;=60,"30 to 60 Mins",Call_Table_Data[[#This Row],[Duration]]&lt;=120,"1 to 2 Hours",TRUE,"More Than 2 Hours")</f>
        <v>1 to 2 Hours</v>
      </c>
      <c r="K390" s="9">
        <f>ROUND(Call_Table_Data[[#This Row],[Satisfaction Rating]],0)</f>
        <v>5</v>
      </c>
    </row>
    <row r="391" spans="1:11" x14ac:dyDescent="0.3">
      <c r="A391" s="9" t="s">
        <v>428</v>
      </c>
      <c r="B391" s="9" t="s">
        <v>22</v>
      </c>
      <c r="C391" s="9">
        <v>82</v>
      </c>
      <c r="D391" s="10" t="s">
        <v>17</v>
      </c>
      <c r="E391" s="11">
        <v>45037</v>
      </c>
      <c r="F391" s="9">
        <v>144</v>
      </c>
      <c r="G391" s="9">
        <v>3.3</v>
      </c>
      <c r="H391" s="9">
        <f>IF(MONTH(Call_Table_Data[[#This Row],[Date of Call]])&lt;=3,YEAR(Call_Table_Data[[#This Row],[Date of Call]]),YEAR(Call_Table_Data[[#This Row],[Date of Call]])+1)</f>
        <v>2024</v>
      </c>
      <c r="I391" s="9" t="str">
        <f>TEXT(Call_Table_Data[[#This Row],[Date of Call]],"DDDD")</f>
        <v>Friday</v>
      </c>
      <c r="J391" s="9" t="str" cm="1">
        <f t="array" ref="J391">_xlfn.IFS(Call_Table_Data[[#This Row],[Duration]]&lt;=10,"Under 10 Mins",Call_Table_Data[[#This Row],[Duration]]&lt;=30,"10 to 30 Mins",Call_Table_Data[[#This Row],[Duration]]&lt;=60,"30 to 60 Mins",Call_Table_Data[[#This Row],[Duration]]&lt;=120,"1 to 2 Hours",TRUE,"More Than 2 Hours")</f>
        <v>1 to 2 Hours</v>
      </c>
      <c r="K391" s="9">
        <f>ROUND(Call_Table_Data[[#This Row],[Satisfaction Rating]],0)</f>
        <v>3</v>
      </c>
    </row>
    <row r="392" spans="1:11" x14ac:dyDescent="0.3">
      <c r="A392" s="9" t="s">
        <v>429</v>
      </c>
      <c r="B392" s="9" t="s">
        <v>41</v>
      </c>
      <c r="C392" s="9">
        <v>99</v>
      </c>
      <c r="D392" s="10" t="s">
        <v>27</v>
      </c>
      <c r="E392" s="11">
        <v>45037</v>
      </c>
      <c r="F392" s="9">
        <v>48</v>
      </c>
      <c r="G392" s="9">
        <v>5</v>
      </c>
      <c r="H392" s="9">
        <f>IF(MONTH(Call_Table_Data[[#This Row],[Date of Call]])&lt;=3,YEAR(Call_Table_Data[[#This Row],[Date of Call]]),YEAR(Call_Table_Data[[#This Row],[Date of Call]])+1)</f>
        <v>2024</v>
      </c>
      <c r="I392" s="9" t="str">
        <f>TEXT(Call_Table_Data[[#This Row],[Date of Call]],"DDDD")</f>
        <v>Friday</v>
      </c>
      <c r="J392" s="9" t="str" cm="1">
        <f t="array" ref="J392">_xlfn.IFS(Call_Table_Data[[#This Row],[Duration]]&lt;=10,"Under 10 Mins",Call_Table_Data[[#This Row],[Duration]]&lt;=30,"10 to 30 Mins",Call_Table_Data[[#This Row],[Duration]]&lt;=60,"30 to 60 Mins",Call_Table_Data[[#This Row],[Duration]]&lt;=120,"1 to 2 Hours",TRUE,"More Than 2 Hours")</f>
        <v>1 to 2 Hours</v>
      </c>
      <c r="K392" s="9">
        <f>ROUND(Call_Table_Data[[#This Row],[Satisfaction Rating]],0)</f>
        <v>5</v>
      </c>
    </row>
    <row r="393" spans="1:11" x14ac:dyDescent="0.3">
      <c r="A393" s="9" t="s">
        <v>430</v>
      </c>
      <c r="B393" s="9" t="s">
        <v>41</v>
      </c>
      <c r="C393" s="9">
        <v>55</v>
      </c>
      <c r="D393" s="10" t="s">
        <v>17</v>
      </c>
      <c r="E393" s="11">
        <v>45037</v>
      </c>
      <c r="F393" s="9">
        <v>200</v>
      </c>
      <c r="G393" s="9">
        <v>2.2999999999999998</v>
      </c>
      <c r="H393" s="9">
        <f>IF(MONTH(Call_Table_Data[[#This Row],[Date of Call]])&lt;=3,YEAR(Call_Table_Data[[#This Row],[Date of Call]]),YEAR(Call_Table_Data[[#This Row],[Date of Call]])+1)</f>
        <v>2024</v>
      </c>
      <c r="I393" s="9" t="str">
        <f>TEXT(Call_Table_Data[[#This Row],[Date of Call]],"DDDD")</f>
        <v>Friday</v>
      </c>
      <c r="J393" s="9" t="str" cm="1">
        <f t="array" ref="J393">_xlfn.IFS(Call_Table_Data[[#This Row],[Duration]]&lt;=10,"Under 10 Mins",Call_Table_Data[[#This Row],[Duration]]&lt;=30,"10 to 30 Mins",Call_Table_Data[[#This Row],[Duration]]&lt;=60,"30 to 60 Mins",Call_Table_Data[[#This Row],[Duration]]&lt;=120,"1 to 2 Hours",TRUE,"More Than 2 Hours")</f>
        <v>30 to 60 Mins</v>
      </c>
      <c r="K393" s="9">
        <f>ROUND(Call_Table_Data[[#This Row],[Satisfaction Rating]],0)</f>
        <v>2</v>
      </c>
    </row>
    <row r="394" spans="1:11" x14ac:dyDescent="0.3">
      <c r="A394" s="9" t="s">
        <v>431</v>
      </c>
      <c r="B394" s="9" t="s">
        <v>35</v>
      </c>
      <c r="C394" s="9">
        <v>61</v>
      </c>
      <c r="D394" s="10" t="s">
        <v>46</v>
      </c>
      <c r="E394" s="11">
        <v>45037</v>
      </c>
      <c r="F394" s="9">
        <v>38</v>
      </c>
      <c r="G394" s="9">
        <v>4.8</v>
      </c>
      <c r="H394" s="9">
        <f>IF(MONTH(Call_Table_Data[[#This Row],[Date of Call]])&lt;=3,YEAR(Call_Table_Data[[#This Row],[Date of Call]]),YEAR(Call_Table_Data[[#This Row],[Date of Call]])+1)</f>
        <v>2024</v>
      </c>
      <c r="I394" s="9" t="str">
        <f>TEXT(Call_Table_Data[[#This Row],[Date of Call]],"DDDD")</f>
        <v>Friday</v>
      </c>
      <c r="J394" s="9" t="str" cm="1">
        <f t="array" ref="J394">_xlfn.IFS(Call_Table_Data[[#This Row],[Duration]]&lt;=10,"Under 10 Mins",Call_Table_Data[[#This Row],[Duration]]&lt;=30,"10 to 30 Mins",Call_Table_Data[[#This Row],[Duration]]&lt;=60,"30 to 60 Mins",Call_Table_Data[[#This Row],[Duration]]&lt;=120,"1 to 2 Hours",TRUE,"More Than 2 Hours")</f>
        <v>1 to 2 Hours</v>
      </c>
      <c r="K394" s="9">
        <f>ROUND(Call_Table_Data[[#This Row],[Satisfaction Rating]],0)</f>
        <v>5</v>
      </c>
    </row>
    <row r="395" spans="1:11" x14ac:dyDescent="0.3">
      <c r="A395" s="9" t="s">
        <v>432</v>
      </c>
      <c r="B395" s="9" t="s">
        <v>54</v>
      </c>
      <c r="C395" s="9">
        <v>36</v>
      </c>
      <c r="D395" s="10" t="s">
        <v>40</v>
      </c>
      <c r="E395" s="11">
        <v>45037</v>
      </c>
      <c r="F395" s="9">
        <v>81</v>
      </c>
      <c r="G395" s="9">
        <v>3.7</v>
      </c>
      <c r="H395" s="9">
        <f>IF(MONTH(Call_Table_Data[[#This Row],[Date of Call]])&lt;=3,YEAR(Call_Table_Data[[#This Row],[Date of Call]]),YEAR(Call_Table_Data[[#This Row],[Date of Call]])+1)</f>
        <v>2024</v>
      </c>
      <c r="I395" s="9" t="str">
        <f>TEXT(Call_Table_Data[[#This Row],[Date of Call]],"DDDD")</f>
        <v>Friday</v>
      </c>
      <c r="J395" s="9" t="str" cm="1">
        <f t="array" ref="J395">_xlfn.IFS(Call_Table_Data[[#This Row],[Duration]]&lt;=10,"Under 10 Mins",Call_Table_Data[[#This Row],[Duration]]&lt;=30,"10 to 30 Mins",Call_Table_Data[[#This Row],[Duration]]&lt;=60,"30 to 60 Mins",Call_Table_Data[[#This Row],[Duration]]&lt;=120,"1 to 2 Hours",TRUE,"More Than 2 Hours")</f>
        <v>30 to 60 Mins</v>
      </c>
      <c r="K395" s="9">
        <f>ROUND(Call_Table_Data[[#This Row],[Satisfaction Rating]],0)</f>
        <v>4</v>
      </c>
    </row>
    <row r="396" spans="1:11" x14ac:dyDescent="0.3">
      <c r="A396" s="9" t="s">
        <v>433</v>
      </c>
      <c r="B396" s="9" t="s">
        <v>22</v>
      </c>
      <c r="C396" s="9">
        <v>123</v>
      </c>
      <c r="D396" s="10" t="s">
        <v>33</v>
      </c>
      <c r="E396" s="11">
        <v>45037</v>
      </c>
      <c r="F396" s="9">
        <v>120</v>
      </c>
      <c r="G396" s="9">
        <v>4.2</v>
      </c>
      <c r="H396" s="9">
        <f>IF(MONTH(Call_Table_Data[[#This Row],[Date of Call]])&lt;=3,YEAR(Call_Table_Data[[#This Row],[Date of Call]]),YEAR(Call_Table_Data[[#This Row],[Date of Call]])+1)</f>
        <v>2024</v>
      </c>
      <c r="I396" s="9" t="str">
        <f>TEXT(Call_Table_Data[[#This Row],[Date of Call]],"DDDD")</f>
        <v>Friday</v>
      </c>
      <c r="J396" s="9" t="str" cm="1">
        <f t="array" ref="J396">_xlfn.IFS(Call_Table_Data[[#This Row],[Duration]]&lt;=10,"Under 10 Mins",Call_Table_Data[[#This Row],[Duration]]&lt;=30,"10 to 30 Mins",Call_Table_Data[[#This Row],[Duration]]&lt;=60,"30 to 60 Mins",Call_Table_Data[[#This Row],[Duration]]&lt;=120,"1 to 2 Hours",TRUE,"More Than 2 Hours")</f>
        <v>More Than 2 Hours</v>
      </c>
      <c r="K396" s="9">
        <f>ROUND(Call_Table_Data[[#This Row],[Satisfaction Rating]],0)</f>
        <v>4</v>
      </c>
    </row>
    <row r="397" spans="1:11" x14ac:dyDescent="0.3">
      <c r="A397" s="9" t="s">
        <v>434</v>
      </c>
      <c r="B397" s="9" t="s">
        <v>23</v>
      </c>
      <c r="C397" s="9">
        <v>24</v>
      </c>
      <c r="D397" s="10" t="s">
        <v>46</v>
      </c>
      <c r="E397" s="11">
        <v>45037</v>
      </c>
      <c r="F397" s="9">
        <v>74</v>
      </c>
      <c r="G397" s="9">
        <v>4.8</v>
      </c>
      <c r="H397" s="9">
        <f>IF(MONTH(Call_Table_Data[[#This Row],[Date of Call]])&lt;=3,YEAR(Call_Table_Data[[#This Row],[Date of Call]]),YEAR(Call_Table_Data[[#This Row],[Date of Call]])+1)</f>
        <v>2024</v>
      </c>
      <c r="I397" s="9" t="str">
        <f>TEXT(Call_Table_Data[[#This Row],[Date of Call]],"DDDD")</f>
        <v>Friday</v>
      </c>
      <c r="J397" s="9" t="str" cm="1">
        <f t="array" ref="J397">_xlfn.IFS(Call_Table_Data[[#This Row],[Duration]]&lt;=10,"Under 10 Mins",Call_Table_Data[[#This Row],[Duration]]&lt;=30,"10 to 30 Mins",Call_Table_Data[[#This Row],[Duration]]&lt;=60,"30 to 60 Mins",Call_Table_Data[[#This Row],[Duration]]&lt;=120,"1 to 2 Hours",TRUE,"More Than 2 Hours")</f>
        <v>10 to 30 Mins</v>
      </c>
      <c r="K397" s="9">
        <f>ROUND(Call_Table_Data[[#This Row],[Satisfaction Rating]],0)</f>
        <v>5</v>
      </c>
    </row>
    <row r="398" spans="1:11" x14ac:dyDescent="0.3">
      <c r="A398" s="9" t="s">
        <v>435</v>
      </c>
      <c r="B398" s="9" t="s">
        <v>22</v>
      </c>
      <c r="C398" s="9">
        <v>43</v>
      </c>
      <c r="D398" s="10" t="s">
        <v>33</v>
      </c>
      <c r="E398" s="11">
        <v>45038</v>
      </c>
      <c r="F398" s="9">
        <v>128</v>
      </c>
      <c r="G398" s="9">
        <v>4.7</v>
      </c>
      <c r="H398" s="9">
        <f>IF(MONTH(Call_Table_Data[[#This Row],[Date of Call]])&lt;=3,YEAR(Call_Table_Data[[#This Row],[Date of Call]]),YEAR(Call_Table_Data[[#This Row],[Date of Call]])+1)</f>
        <v>2024</v>
      </c>
      <c r="I398" s="9" t="str">
        <f>TEXT(Call_Table_Data[[#This Row],[Date of Call]],"DDDD")</f>
        <v>Saturday</v>
      </c>
      <c r="J398" s="9" t="str" cm="1">
        <f t="array" ref="J398">_xlfn.IFS(Call_Table_Data[[#This Row],[Duration]]&lt;=10,"Under 10 Mins",Call_Table_Data[[#This Row],[Duration]]&lt;=30,"10 to 30 Mins",Call_Table_Data[[#This Row],[Duration]]&lt;=60,"30 to 60 Mins",Call_Table_Data[[#This Row],[Duration]]&lt;=120,"1 to 2 Hours",TRUE,"More Than 2 Hours")</f>
        <v>30 to 60 Mins</v>
      </c>
      <c r="K398" s="9">
        <f>ROUND(Call_Table_Data[[#This Row],[Satisfaction Rating]],0)</f>
        <v>5</v>
      </c>
    </row>
    <row r="399" spans="1:11" x14ac:dyDescent="0.3">
      <c r="A399" s="9" t="s">
        <v>436</v>
      </c>
      <c r="B399" s="9" t="s">
        <v>30</v>
      </c>
      <c r="C399" s="9">
        <v>95</v>
      </c>
      <c r="D399" s="10" t="s">
        <v>27</v>
      </c>
      <c r="E399" s="11">
        <v>45038</v>
      </c>
      <c r="F399" s="9">
        <v>21</v>
      </c>
      <c r="G399" s="9">
        <v>3.9</v>
      </c>
      <c r="H399" s="9">
        <f>IF(MONTH(Call_Table_Data[[#This Row],[Date of Call]])&lt;=3,YEAR(Call_Table_Data[[#This Row],[Date of Call]]),YEAR(Call_Table_Data[[#This Row],[Date of Call]])+1)</f>
        <v>2024</v>
      </c>
      <c r="I399" s="9" t="str">
        <f>TEXT(Call_Table_Data[[#This Row],[Date of Call]],"DDDD")</f>
        <v>Saturday</v>
      </c>
      <c r="J399" s="9" t="str" cm="1">
        <f t="array" ref="J399">_xlfn.IFS(Call_Table_Data[[#This Row],[Duration]]&lt;=10,"Under 10 Mins",Call_Table_Data[[#This Row],[Duration]]&lt;=30,"10 to 30 Mins",Call_Table_Data[[#This Row],[Duration]]&lt;=60,"30 to 60 Mins",Call_Table_Data[[#This Row],[Duration]]&lt;=120,"1 to 2 Hours",TRUE,"More Than 2 Hours")</f>
        <v>1 to 2 Hours</v>
      </c>
      <c r="K399" s="9">
        <f>ROUND(Call_Table_Data[[#This Row],[Satisfaction Rating]],0)</f>
        <v>4</v>
      </c>
    </row>
    <row r="400" spans="1:11" x14ac:dyDescent="0.3">
      <c r="A400" s="9" t="s">
        <v>437</v>
      </c>
      <c r="B400" s="9" t="s">
        <v>41</v>
      </c>
      <c r="C400" s="9">
        <v>53</v>
      </c>
      <c r="D400" s="10" t="s">
        <v>33</v>
      </c>
      <c r="E400" s="11">
        <v>45038</v>
      </c>
      <c r="F400" s="9">
        <v>110</v>
      </c>
      <c r="G400" s="9">
        <v>4.3</v>
      </c>
      <c r="H400" s="9">
        <f>IF(MONTH(Call_Table_Data[[#This Row],[Date of Call]])&lt;=3,YEAR(Call_Table_Data[[#This Row],[Date of Call]]),YEAR(Call_Table_Data[[#This Row],[Date of Call]])+1)</f>
        <v>2024</v>
      </c>
      <c r="I400" s="9" t="str">
        <f>TEXT(Call_Table_Data[[#This Row],[Date of Call]],"DDDD")</f>
        <v>Saturday</v>
      </c>
      <c r="J400" s="9" t="str" cm="1">
        <f t="array" ref="J400">_xlfn.IFS(Call_Table_Data[[#This Row],[Duration]]&lt;=10,"Under 10 Mins",Call_Table_Data[[#This Row],[Duration]]&lt;=30,"10 to 30 Mins",Call_Table_Data[[#This Row],[Duration]]&lt;=60,"30 to 60 Mins",Call_Table_Data[[#This Row],[Duration]]&lt;=120,"1 to 2 Hours",TRUE,"More Than 2 Hours")</f>
        <v>30 to 60 Mins</v>
      </c>
      <c r="K400" s="9">
        <f>ROUND(Call_Table_Data[[#This Row],[Satisfaction Rating]],0)</f>
        <v>4</v>
      </c>
    </row>
    <row r="401" spans="1:11" x14ac:dyDescent="0.3">
      <c r="A401" s="9" t="s">
        <v>438</v>
      </c>
      <c r="B401" s="9" t="s">
        <v>22</v>
      </c>
      <c r="C401" s="9">
        <v>113</v>
      </c>
      <c r="D401" s="10" t="s">
        <v>33</v>
      </c>
      <c r="E401" s="11">
        <v>45038</v>
      </c>
      <c r="F401" s="9">
        <v>145</v>
      </c>
      <c r="G401" s="9">
        <v>4</v>
      </c>
      <c r="H401" s="9">
        <f>IF(MONTH(Call_Table_Data[[#This Row],[Date of Call]])&lt;=3,YEAR(Call_Table_Data[[#This Row],[Date of Call]]),YEAR(Call_Table_Data[[#This Row],[Date of Call]])+1)</f>
        <v>2024</v>
      </c>
      <c r="I401" s="9" t="str">
        <f>TEXT(Call_Table_Data[[#This Row],[Date of Call]],"DDDD")</f>
        <v>Saturday</v>
      </c>
      <c r="J401" s="9" t="str" cm="1">
        <f t="array" ref="J401">_xlfn.IFS(Call_Table_Data[[#This Row],[Duration]]&lt;=10,"Under 10 Mins",Call_Table_Data[[#This Row],[Duration]]&lt;=30,"10 to 30 Mins",Call_Table_Data[[#This Row],[Duration]]&lt;=60,"30 to 60 Mins",Call_Table_Data[[#This Row],[Duration]]&lt;=120,"1 to 2 Hours",TRUE,"More Than 2 Hours")</f>
        <v>1 to 2 Hours</v>
      </c>
      <c r="K401" s="9">
        <f>ROUND(Call_Table_Data[[#This Row],[Satisfaction Rating]],0)</f>
        <v>4</v>
      </c>
    </row>
    <row r="402" spans="1:11" x14ac:dyDescent="0.3">
      <c r="A402" s="9" t="s">
        <v>439</v>
      </c>
      <c r="B402" s="9" t="s">
        <v>41</v>
      </c>
      <c r="C402" s="9">
        <v>89</v>
      </c>
      <c r="D402" s="10" t="s">
        <v>40</v>
      </c>
      <c r="E402" s="11">
        <v>45038</v>
      </c>
      <c r="F402" s="9">
        <v>129</v>
      </c>
      <c r="G402" s="9">
        <v>4</v>
      </c>
      <c r="H402" s="9">
        <f>IF(MONTH(Call_Table_Data[[#This Row],[Date of Call]])&lt;=3,YEAR(Call_Table_Data[[#This Row],[Date of Call]]),YEAR(Call_Table_Data[[#This Row],[Date of Call]])+1)</f>
        <v>2024</v>
      </c>
      <c r="I402" s="9" t="str">
        <f>TEXT(Call_Table_Data[[#This Row],[Date of Call]],"DDDD")</f>
        <v>Saturday</v>
      </c>
      <c r="J402" s="9" t="str" cm="1">
        <f t="array" ref="J402">_xlfn.IFS(Call_Table_Data[[#This Row],[Duration]]&lt;=10,"Under 10 Mins",Call_Table_Data[[#This Row],[Duration]]&lt;=30,"10 to 30 Mins",Call_Table_Data[[#This Row],[Duration]]&lt;=60,"30 to 60 Mins",Call_Table_Data[[#This Row],[Duration]]&lt;=120,"1 to 2 Hours",TRUE,"More Than 2 Hours")</f>
        <v>1 to 2 Hours</v>
      </c>
      <c r="K402" s="9">
        <f>ROUND(Call_Table_Data[[#This Row],[Satisfaction Rating]],0)</f>
        <v>4</v>
      </c>
    </row>
    <row r="403" spans="1:11" x14ac:dyDescent="0.3">
      <c r="A403" s="9" t="s">
        <v>440</v>
      </c>
      <c r="B403" s="9" t="s">
        <v>45</v>
      </c>
      <c r="C403" s="9">
        <v>84</v>
      </c>
      <c r="D403" s="10" t="s">
        <v>17</v>
      </c>
      <c r="E403" s="11">
        <v>45038</v>
      </c>
      <c r="F403" s="9">
        <v>156</v>
      </c>
      <c r="G403" s="9">
        <v>3.2</v>
      </c>
      <c r="H403" s="9">
        <f>IF(MONTH(Call_Table_Data[[#This Row],[Date of Call]])&lt;=3,YEAR(Call_Table_Data[[#This Row],[Date of Call]]),YEAR(Call_Table_Data[[#This Row],[Date of Call]])+1)</f>
        <v>2024</v>
      </c>
      <c r="I403" s="9" t="str">
        <f>TEXT(Call_Table_Data[[#This Row],[Date of Call]],"DDDD")</f>
        <v>Saturday</v>
      </c>
      <c r="J403" s="9" t="str" cm="1">
        <f t="array" ref="J403">_xlfn.IFS(Call_Table_Data[[#This Row],[Duration]]&lt;=10,"Under 10 Mins",Call_Table_Data[[#This Row],[Duration]]&lt;=30,"10 to 30 Mins",Call_Table_Data[[#This Row],[Duration]]&lt;=60,"30 to 60 Mins",Call_Table_Data[[#This Row],[Duration]]&lt;=120,"1 to 2 Hours",TRUE,"More Than 2 Hours")</f>
        <v>1 to 2 Hours</v>
      </c>
      <c r="K403" s="9">
        <f>ROUND(Call_Table_Data[[#This Row],[Satisfaction Rating]],0)</f>
        <v>3</v>
      </c>
    </row>
    <row r="404" spans="1:11" x14ac:dyDescent="0.3">
      <c r="A404" s="9" t="s">
        <v>441</v>
      </c>
      <c r="B404" s="9" t="s">
        <v>23</v>
      </c>
      <c r="C404" s="9">
        <v>130</v>
      </c>
      <c r="D404" s="10" t="s">
        <v>33</v>
      </c>
      <c r="E404" s="11">
        <v>45039</v>
      </c>
      <c r="F404" s="9">
        <v>120</v>
      </c>
      <c r="G404" s="9">
        <v>3.8</v>
      </c>
      <c r="H404" s="9">
        <f>IF(MONTH(Call_Table_Data[[#This Row],[Date of Call]])&lt;=3,YEAR(Call_Table_Data[[#This Row],[Date of Call]]),YEAR(Call_Table_Data[[#This Row],[Date of Call]])+1)</f>
        <v>2024</v>
      </c>
      <c r="I404" s="9" t="str">
        <f>TEXT(Call_Table_Data[[#This Row],[Date of Call]],"DDDD")</f>
        <v>Sunday</v>
      </c>
      <c r="J404" s="9" t="str" cm="1">
        <f t="array" ref="J404">_xlfn.IFS(Call_Table_Data[[#This Row],[Duration]]&lt;=10,"Under 10 Mins",Call_Table_Data[[#This Row],[Duration]]&lt;=30,"10 to 30 Mins",Call_Table_Data[[#This Row],[Duration]]&lt;=60,"30 to 60 Mins",Call_Table_Data[[#This Row],[Duration]]&lt;=120,"1 to 2 Hours",TRUE,"More Than 2 Hours")</f>
        <v>More Than 2 Hours</v>
      </c>
      <c r="K404" s="9">
        <f>ROUND(Call_Table_Data[[#This Row],[Satisfaction Rating]],0)</f>
        <v>4</v>
      </c>
    </row>
    <row r="405" spans="1:11" x14ac:dyDescent="0.3">
      <c r="A405" s="9" t="s">
        <v>442</v>
      </c>
      <c r="B405" s="9" t="s">
        <v>30</v>
      </c>
      <c r="C405" s="9">
        <v>163</v>
      </c>
      <c r="D405" s="10" t="s">
        <v>40</v>
      </c>
      <c r="E405" s="11">
        <v>45039</v>
      </c>
      <c r="F405" s="9">
        <v>62</v>
      </c>
      <c r="G405" s="9">
        <v>3.4</v>
      </c>
      <c r="H405" s="9">
        <f>IF(MONTH(Call_Table_Data[[#This Row],[Date of Call]])&lt;=3,YEAR(Call_Table_Data[[#This Row],[Date of Call]]),YEAR(Call_Table_Data[[#This Row],[Date of Call]])+1)</f>
        <v>2024</v>
      </c>
      <c r="I405" s="9" t="str">
        <f>TEXT(Call_Table_Data[[#This Row],[Date of Call]],"DDDD")</f>
        <v>Sunday</v>
      </c>
      <c r="J405" s="9" t="str" cm="1">
        <f t="array" ref="J405">_xlfn.IFS(Call_Table_Data[[#This Row],[Duration]]&lt;=10,"Under 10 Mins",Call_Table_Data[[#This Row],[Duration]]&lt;=30,"10 to 30 Mins",Call_Table_Data[[#This Row],[Duration]]&lt;=60,"30 to 60 Mins",Call_Table_Data[[#This Row],[Duration]]&lt;=120,"1 to 2 Hours",TRUE,"More Than 2 Hours")</f>
        <v>More Than 2 Hours</v>
      </c>
      <c r="K405" s="9">
        <f>ROUND(Call_Table_Data[[#This Row],[Satisfaction Rating]],0)</f>
        <v>3</v>
      </c>
    </row>
    <row r="406" spans="1:11" x14ac:dyDescent="0.3">
      <c r="A406" s="9" t="s">
        <v>443</v>
      </c>
      <c r="B406" s="9" t="s">
        <v>43</v>
      </c>
      <c r="C406" s="9">
        <v>127</v>
      </c>
      <c r="D406" s="10" t="s">
        <v>33</v>
      </c>
      <c r="E406" s="11">
        <v>45039</v>
      </c>
      <c r="F406" s="9">
        <v>160</v>
      </c>
      <c r="G406" s="9">
        <v>3.2</v>
      </c>
      <c r="H406" s="9">
        <f>IF(MONTH(Call_Table_Data[[#This Row],[Date of Call]])&lt;=3,YEAR(Call_Table_Data[[#This Row],[Date of Call]]),YEAR(Call_Table_Data[[#This Row],[Date of Call]])+1)</f>
        <v>2024</v>
      </c>
      <c r="I406" s="9" t="str">
        <f>TEXT(Call_Table_Data[[#This Row],[Date of Call]],"DDDD")</f>
        <v>Sunday</v>
      </c>
      <c r="J406" s="9" t="str" cm="1">
        <f t="array" ref="J406">_xlfn.IFS(Call_Table_Data[[#This Row],[Duration]]&lt;=10,"Under 10 Mins",Call_Table_Data[[#This Row],[Duration]]&lt;=30,"10 to 30 Mins",Call_Table_Data[[#This Row],[Duration]]&lt;=60,"30 to 60 Mins",Call_Table_Data[[#This Row],[Duration]]&lt;=120,"1 to 2 Hours",TRUE,"More Than 2 Hours")</f>
        <v>More Than 2 Hours</v>
      </c>
      <c r="K406" s="9">
        <f>ROUND(Call_Table_Data[[#This Row],[Satisfaction Rating]],0)</f>
        <v>3</v>
      </c>
    </row>
    <row r="407" spans="1:11" x14ac:dyDescent="0.3">
      <c r="A407" s="9" t="s">
        <v>444</v>
      </c>
      <c r="B407" s="9" t="s">
        <v>22</v>
      </c>
      <c r="C407" s="9">
        <v>50</v>
      </c>
      <c r="D407" s="10" t="s">
        <v>33</v>
      </c>
      <c r="E407" s="11">
        <v>45039</v>
      </c>
      <c r="F407" s="9">
        <v>56</v>
      </c>
      <c r="G407" s="9">
        <v>4.7</v>
      </c>
      <c r="H407" s="9">
        <f>IF(MONTH(Call_Table_Data[[#This Row],[Date of Call]])&lt;=3,YEAR(Call_Table_Data[[#This Row],[Date of Call]]),YEAR(Call_Table_Data[[#This Row],[Date of Call]])+1)</f>
        <v>2024</v>
      </c>
      <c r="I407" s="9" t="str">
        <f>TEXT(Call_Table_Data[[#This Row],[Date of Call]],"DDDD")</f>
        <v>Sunday</v>
      </c>
      <c r="J407" s="9" t="str" cm="1">
        <f t="array" ref="J407">_xlfn.IFS(Call_Table_Data[[#This Row],[Duration]]&lt;=10,"Under 10 Mins",Call_Table_Data[[#This Row],[Duration]]&lt;=30,"10 to 30 Mins",Call_Table_Data[[#This Row],[Duration]]&lt;=60,"30 to 60 Mins",Call_Table_Data[[#This Row],[Duration]]&lt;=120,"1 to 2 Hours",TRUE,"More Than 2 Hours")</f>
        <v>30 to 60 Mins</v>
      </c>
      <c r="K407" s="9">
        <f>ROUND(Call_Table_Data[[#This Row],[Satisfaction Rating]],0)</f>
        <v>5</v>
      </c>
    </row>
    <row r="408" spans="1:11" x14ac:dyDescent="0.3">
      <c r="A408" s="9" t="s">
        <v>445</v>
      </c>
      <c r="B408" s="9" t="s">
        <v>37</v>
      </c>
      <c r="C408" s="9">
        <v>88</v>
      </c>
      <c r="D408" s="10" t="s">
        <v>46</v>
      </c>
      <c r="E408" s="11">
        <v>45039</v>
      </c>
      <c r="F408" s="9">
        <v>72</v>
      </c>
      <c r="G408" s="9">
        <v>4</v>
      </c>
      <c r="H408" s="9">
        <f>IF(MONTH(Call_Table_Data[[#This Row],[Date of Call]])&lt;=3,YEAR(Call_Table_Data[[#This Row],[Date of Call]]),YEAR(Call_Table_Data[[#This Row],[Date of Call]])+1)</f>
        <v>2024</v>
      </c>
      <c r="I408" s="9" t="str">
        <f>TEXT(Call_Table_Data[[#This Row],[Date of Call]],"DDDD")</f>
        <v>Sunday</v>
      </c>
      <c r="J408" s="9" t="str" cm="1">
        <f t="array" ref="J408">_xlfn.IFS(Call_Table_Data[[#This Row],[Duration]]&lt;=10,"Under 10 Mins",Call_Table_Data[[#This Row],[Duration]]&lt;=30,"10 to 30 Mins",Call_Table_Data[[#This Row],[Duration]]&lt;=60,"30 to 60 Mins",Call_Table_Data[[#This Row],[Duration]]&lt;=120,"1 to 2 Hours",TRUE,"More Than 2 Hours")</f>
        <v>1 to 2 Hours</v>
      </c>
      <c r="K408" s="9">
        <f>ROUND(Call_Table_Data[[#This Row],[Satisfaction Rating]],0)</f>
        <v>4</v>
      </c>
    </row>
    <row r="409" spans="1:11" x14ac:dyDescent="0.3">
      <c r="A409" s="9" t="s">
        <v>446</v>
      </c>
      <c r="B409" s="9" t="s">
        <v>22</v>
      </c>
      <c r="C409" s="9">
        <v>139</v>
      </c>
      <c r="D409" s="10" t="s">
        <v>27</v>
      </c>
      <c r="E409" s="11">
        <v>45040</v>
      </c>
      <c r="F409" s="9">
        <v>81</v>
      </c>
      <c r="G409" s="9">
        <v>4.8</v>
      </c>
      <c r="H409" s="9">
        <f>IF(MONTH(Call_Table_Data[[#This Row],[Date of Call]])&lt;=3,YEAR(Call_Table_Data[[#This Row],[Date of Call]]),YEAR(Call_Table_Data[[#This Row],[Date of Call]])+1)</f>
        <v>2024</v>
      </c>
      <c r="I409" s="9" t="str">
        <f>TEXT(Call_Table_Data[[#This Row],[Date of Call]],"DDDD")</f>
        <v>Monday</v>
      </c>
      <c r="J409" s="9" t="str" cm="1">
        <f t="array" ref="J409">_xlfn.IFS(Call_Table_Data[[#This Row],[Duration]]&lt;=10,"Under 10 Mins",Call_Table_Data[[#This Row],[Duration]]&lt;=30,"10 to 30 Mins",Call_Table_Data[[#This Row],[Duration]]&lt;=60,"30 to 60 Mins",Call_Table_Data[[#This Row],[Duration]]&lt;=120,"1 to 2 Hours",TRUE,"More Than 2 Hours")</f>
        <v>More Than 2 Hours</v>
      </c>
      <c r="K409" s="9">
        <f>ROUND(Call_Table_Data[[#This Row],[Satisfaction Rating]],0)</f>
        <v>5</v>
      </c>
    </row>
    <row r="410" spans="1:11" x14ac:dyDescent="0.3">
      <c r="A410" s="9" t="s">
        <v>447</v>
      </c>
      <c r="B410" s="9" t="s">
        <v>30</v>
      </c>
      <c r="C410" s="9">
        <v>111</v>
      </c>
      <c r="D410" s="10" t="s">
        <v>33</v>
      </c>
      <c r="E410" s="11">
        <v>45040</v>
      </c>
      <c r="F410" s="9">
        <v>144</v>
      </c>
      <c r="G410" s="9">
        <v>3.9</v>
      </c>
      <c r="H410" s="9">
        <f>IF(MONTH(Call_Table_Data[[#This Row],[Date of Call]])&lt;=3,YEAR(Call_Table_Data[[#This Row],[Date of Call]]),YEAR(Call_Table_Data[[#This Row],[Date of Call]])+1)</f>
        <v>2024</v>
      </c>
      <c r="I410" s="9" t="str">
        <f>TEXT(Call_Table_Data[[#This Row],[Date of Call]],"DDDD")</f>
        <v>Monday</v>
      </c>
      <c r="J410" s="9" t="str" cm="1">
        <f t="array" ref="J410">_xlfn.IFS(Call_Table_Data[[#This Row],[Duration]]&lt;=10,"Under 10 Mins",Call_Table_Data[[#This Row],[Duration]]&lt;=30,"10 to 30 Mins",Call_Table_Data[[#This Row],[Duration]]&lt;=60,"30 to 60 Mins",Call_Table_Data[[#This Row],[Duration]]&lt;=120,"1 to 2 Hours",TRUE,"More Than 2 Hours")</f>
        <v>1 to 2 Hours</v>
      </c>
      <c r="K410" s="9">
        <f>ROUND(Call_Table_Data[[#This Row],[Satisfaction Rating]],0)</f>
        <v>4</v>
      </c>
    </row>
    <row r="411" spans="1:11" x14ac:dyDescent="0.3">
      <c r="A411" s="9" t="s">
        <v>448</v>
      </c>
      <c r="B411" s="9" t="s">
        <v>26</v>
      </c>
      <c r="C411" s="9">
        <v>115</v>
      </c>
      <c r="D411" s="10" t="s">
        <v>27</v>
      </c>
      <c r="E411" s="11">
        <v>45040</v>
      </c>
      <c r="F411" s="9">
        <v>111</v>
      </c>
      <c r="G411" s="9">
        <v>4.3</v>
      </c>
      <c r="H411" s="9">
        <f>IF(MONTH(Call_Table_Data[[#This Row],[Date of Call]])&lt;=3,YEAR(Call_Table_Data[[#This Row],[Date of Call]]),YEAR(Call_Table_Data[[#This Row],[Date of Call]])+1)</f>
        <v>2024</v>
      </c>
      <c r="I411" s="9" t="str">
        <f>TEXT(Call_Table_Data[[#This Row],[Date of Call]],"DDDD")</f>
        <v>Monday</v>
      </c>
      <c r="J411" s="9" t="str" cm="1">
        <f t="array" ref="J411">_xlfn.IFS(Call_Table_Data[[#This Row],[Duration]]&lt;=10,"Under 10 Mins",Call_Table_Data[[#This Row],[Duration]]&lt;=30,"10 to 30 Mins",Call_Table_Data[[#This Row],[Duration]]&lt;=60,"30 to 60 Mins",Call_Table_Data[[#This Row],[Duration]]&lt;=120,"1 to 2 Hours",TRUE,"More Than 2 Hours")</f>
        <v>1 to 2 Hours</v>
      </c>
      <c r="K411" s="9">
        <f>ROUND(Call_Table_Data[[#This Row],[Satisfaction Rating]],0)</f>
        <v>4</v>
      </c>
    </row>
    <row r="412" spans="1:11" x14ac:dyDescent="0.3">
      <c r="A412" s="9" t="s">
        <v>449</v>
      </c>
      <c r="B412" s="9" t="s">
        <v>41</v>
      </c>
      <c r="C412" s="9">
        <v>26</v>
      </c>
      <c r="D412" s="10" t="s">
        <v>40</v>
      </c>
      <c r="E412" s="11">
        <v>45040</v>
      </c>
      <c r="F412" s="9">
        <v>43</v>
      </c>
      <c r="G412" s="9">
        <v>4.2</v>
      </c>
      <c r="H412" s="9">
        <f>IF(MONTH(Call_Table_Data[[#This Row],[Date of Call]])&lt;=3,YEAR(Call_Table_Data[[#This Row],[Date of Call]]),YEAR(Call_Table_Data[[#This Row],[Date of Call]])+1)</f>
        <v>2024</v>
      </c>
      <c r="I412" s="9" t="str">
        <f>TEXT(Call_Table_Data[[#This Row],[Date of Call]],"DDDD")</f>
        <v>Monday</v>
      </c>
      <c r="J412" s="9" t="str" cm="1">
        <f t="array" ref="J412">_xlfn.IFS(Call_Table_Data[[#This Row],[Duration]]&lt;=10,"Under 10 Mins",Call_Table_Data[[#This Row],[Duration]]&lt;=30,"10 to 30 Mins",Call_Table_Data[[#This Row],[Duration]]&lt;=60,"30 to 60 Mins",Call_Table_Data[[#This Row],[Duration]]&lt;=120,"1 to 2 Hours",TRUE,"More Than 2 Hours")</f>
        <v>10 to 30 Mins</v>
      </c>
      <c r="K412" s="9">
        <f>ROUND(Call_Table_Data[[#This Row],[Satisfaction Rating]],0)</f>
        <v>4</v>
      </c>
    </row>
    <row r="413" spans="1:11" x14ac:dyDescent="0.3">
      <c r="A413" s="9" t="s">
        <v>450</v>
      </c>
      <c r="B413" s="9" t="s">
        <v>45</v>
      </c>
      <c r="C413" s="9">
        <v>131</v>
      </c>
      <c r="D413" s="10" t="s">
        <v>46</v>
      </c>
      <c r="E413" s="11">
        <v>45040</v>
      </c>
      <c r="F413" s="9">
        <v>41</v>
      </c>
      <c r="G413" s="9">
        <v>4.9000000000000004</v>
      </c>
      <c r="H413" s="9">
        <f>IF(MONTH(Call_Table_Data[[#This Row],[Date of Call]])&lt;=3,YEAR(Call_Table_Data[[#This Row],[Date of Call]]),YEAR(Call_Table_Data[[#This Row],[Date of Call]])+1)</f>
        <v>2024</v>
      </c>
      <c r="I413" s="9" t="str">
        <f>TEXT(Call_Table_Data[[#This Row],[Date of Call]],"DDDD")</f>
        <v>Monday</v>
      </c>
      <c r="J413" s="9" t="str" cm="1">
        <f t="array" ref="J413">_xlfn.IFS(Call_Table_Data[[#This Row],[Duration]]&lt;=10,"Under 10 Mins",Call_Table_Data[[#This Row],[Duration]]&lt;=30,"10 to 30 Mins",Call_Table_Data[[#This Row],[Duration]]&lt;=60,"30 to 60 Mins",Call_Table_Data[[#This Row],[Duration]]&lt;=120,"1 to 2 Hours",TRUE,"More Than 2 Hours")</f>
        <v>More Than 2 Hours</v>
      </c>
      <c r="K413" s="9">
        <f>ROUND(Call_Table_Data[[#This Row],[Satisfaction Rating]],0)</f>
        <v>5</v>
      </c>
    </row>
    <row r="414" spans="1:11" x14ac:dyDescent="0.3">
      <c r="A414" s="9" t="s">
        <v>451</v>
      </c>
      <c r="B414" s="9" t="s">
        <v>26</v>
      </c>
      <c r="C414" s="9">
        <v>27</v>
      </c>
      <c r="D414" s="10" t="s">
        <v>46</v>
      </c>
      <c r="E414" s="11">
        <v>45040</v>
      </c>
      <c r="F414" s="9">
        <v>74</v>
      </c>
      <c r="G414" s="9">
        <v>4</v>
      </c>
      <c r="H414" s="9">
        <f>IF(MONTH(Call_Table_Data[[#This Row],[Date of Call]])&lt;=3,YEAR(Call_Table_Data[[#This Row],[Date of Call]]),YEAR(Call_Table_Data[[#This Row],[Date of Call]])+1)</f>
        <v>2024</v>
      </c>
      <c r="I414" s="9" t="str">
        <f>TEXT(Call_Table_Data[[#This Row],[Date of Call]],"DDDD")</f>
        <v>Monday</v>
      </c>
      <c r="J414" s="9" t="str" cm="1">
        <f t="array" ref="J414">_xlfn.IFS(Call_Table_Data[[#This Row],[Duration]]&lt;=10,"Under 10 Mins",Call_Table_Data[[#This Row],[Duration]]&lt;=30,"10 to 30 Mins",Call_Table_Data[[#This Row],[Duration]]&lt;=60,"30 to 60 Mins",Call_Table_Data[[#This Row],[Duration]]&lt;=120,"1 to 2 Hours",TRUE,"More Than 2 Hours")</f>
        <v>10 to 30 Mins</v>
      </c>
      <c r="K414" s="9">
        <f>ROUND(Call_Table_Data[[#This Row],[Satisfaction Rating]],0)</f>
        <v>4</v>
      </c>
    </row>
    <row r="415" spans="1:11" x14ac:dyDescent="0.3">
      <c r="A415" s="9" t="s">
        <v>452</v>
      </c>
      <c r="B415" s="9" t="s">
        <v>50</v>
      </c>
      <c r="C415" s="9">
        <v>75</v>
      </c>
      <c r="D415" s="10" t="s">
        <v>33</v>
      </c>
      <c r="E415" s="11">
        <v>45040</v>
      </c>
      <c r="F415" s="9">
        <v>43</v>
      </c>
      <c r="G415" s="9">
        <v>4.9000000000000004</v>
      </c>
      <c r="H415" s="9">
        <f>IF(MONTH(Call_Table_Data[[#This Row],[Date of Call]])&lt;=3,YEAR(Call_Table_Data[[#This Row],[Date of Call]]),YEAR(Call_Table_Data[[#This Row],[Date of Call]])+1)</f>
        <v>2024</v>
      </c>
      <c r="I415" s="9" t="str">
        <f>TEXT(Call_Table_Data[[#This Row],[Date of Call]],"DDDD")</f>
        <v>Monday</v>
      </c>
      <c r="J415" s="9" t="str" cm="1">
        <f t="array" ref="J415">_xlfn.IFS(Call_Table_Data[[#This Row],[Duration]]&lt;=10,"Under 10 Mins",Call_Table_Data[[#This Row],[Duration]]&lt;=30,"10 to 30 Mins",Call_Table_Data[[#This Row],[Duration]]&lt;=60,"30 to 60 Mins",Call_Table_Data[[#This Row],[Duration]]&lt;=120,"1 to 2 Hours",TRUE,"More Than 2 Hours")</f>
        <v>1 to 2 Hours</v>
      </c>
      <c r="K415" s="9">
        <f>ROUND(Call_Table_Data[[#This Row],[Satisfaction Rating]],0)</f>
        <v>5</v>
      </c>
    </row>
    <row r="416" spans="1:11" x14ac:dyDescent="0.3">
      <c r="A416" s="9" t="s">
        <v>453</v>
      </c>
      <c r="B416" s="9" t="s">
        <v>35</v>
      </c>
      <c r="C416" s="9">
        <v>123</v>
      </c>
      <c r="D416" s="10" t="s">
        <v>46</v>
      </c>
      <c r="E416" s="11">
        <v>45040</v>
      </c>
      <c r="F416" s="9">
        <v>128</v>
      </c>
      <c r="G416" s="9">
        <v>3.6</v>
      </c>
      <c r="H416" s="9">
        <f>IF(MONTH(Call_Table_Data[[#This Row],[Date of Call]])&lt;=3,YEAR(Call_Table_Data[[#This Row],[Date of Call]]),YEAR(Call_Table_Data[[#This Row],[Date of Call]])+1)</f>
        <v>2024</v>
      </c>
      <c r="I416" s="9" t="str">
        <f>TEXT(Call_Table_Data[[#This Row],[Date of Call]],"DDDD")</f>
        <v>Monday</v>
      </c>
      <c r="J416" s="9" t="str" cm="1">
        <f t="array" ref="J416">_xlfn.IFS(Call_Table_Data[[#This Row],[Duration]]&lt;=10,"Under 10 Mins",Call_Table_Data[[#This Row],[Duration]]&lt;=30,"10 to 30 Mins",Call_Table_Data[[#This Row],[Duration]]&lt;=60,"30 to 60 Mins",Call_Table_Data[[#This Row],[Duration]]&lt;=120,"1 to 2 Hours",TRUE,"More Than 2 Hours")</f>
        <v>More Than 2 Hours</v>
      </c>
      <c r="K416" s="9">
        <f>ROUND(Call_Table_Data[[#This Row],[Satisfaction Rating]],0)</f>
        <v>4</v>
      </c>
    </row>
    <row r="417" spans="1:11" x14ac:dyDescent="0.3">
      <c r="A417" s="9" t="s">
        <v>454</v>
      </c>
      <c r="B417" s="9" t="s">
        <v>16</v>
      </c>
      <c r="C417" s="9">
        <v>129</v>
      </c>
      <c r="D417" s="10" t="s">
        <v>46</v>
      </c>
      <c r="E417" s="11">
        <v>45041</v>
      </c>
      <c r="F417" s="9">
        <v>144</v>
      </c>
      <c r="G417" s="9">
        <v>4.0999999999999996</v>
      </c>
      <c r="H417" s="9">
        <f>IF(MONTH(Call_Table_Data[[#This Row],[Date of Call]])&lt;=3,YEAR(Call_Table_Data[[#This Row],[Date of Call]]),YEAR(Call_Table_Data[[#This Row],[Date of Call]])+1)</f>
        <v>2024</v>
      </c>
      <c r="I417" s="9" t="str">
        <f>TEXT(Call_Table_Data[[#This Row],[Date of Call]],"DDDD")</f>
        <v>Tuesday</v>
      </c>
      <c r="J417" s="9" t="str" cm="1">
        <f t="array" ref="J417">_xlfn.IFS(Call_Table_Data[[#This Row],[Duration]]&lt;=10,"Under 10 Mins",Call_Table_Data[[#This Row],[Duration]]&lt;=30,"10 to 30 Mins",Call_Table_Data[[#This Row],[Duration]]&lt;=60,"30 to 60 Mins",Call_Table_Data[[#This Row],[Duration]]&lt;=120,"1 to 2 Hours",TRUE,"More Than 2 Hours")</f>
        <v>More Than 2 Hours</v>
      </c>
      <c r="K417" s="9">
        <f>ROUND(Call_Table_Data[[#This Row],[Satisfaction Rating]],0)</f>
        <v>4</v>
      </c>
    </row>
    <row r="418" spans="1:11" x14ac:dyDescent="0.3">
      <c r="A418" s="9" t="s">
        <v>455</v>
      </c>
      <c r="B418" s="9" t="s">
        <v>50</v>
      </c>
      <c r="C418" s="9">
        <v>124</v>
      </c>
      <c r="D418" s="10" t="s">
        <v>27</v>
      </c>
      <c r="E418" s="11">
        <v>45041</v>
      </c>
      <c r="F418" s="9">
        <v>132</v>
      </c>
      <c r="G418" s="9">
        <v>4.9000000000000004</v>
      </c>
      <c r="H418" s="9">
        <f>IF(MONTH(Call_Table_Data[[#This Row],[Date of Call]])&lt;=3,YEAR(Call_Table_Data[[#This Row],[Date of Call]]),YEAR(Call_Table_Data[[#This Row],[Date of Call]])+1)</f>
        <v>2024</v>
      </c>
      <c r="I418" s="9" t="str">
        <f>TEXT(Call_Table_Data[[#This Row],[Date of Call]],"DDDD")</f>
        <v>Tuesday</v>
      </c>
      <c r="J418" s="9" t="str" cm="1">
        <f t="array" ref="J418">_xlfn.IFS(Call_Table_Data[[#This Row],[Duration]]&lt;=10,"Under 10 Mins",Call_Table_Data[[#This Row],[Duration]]&lt;=30,"10 to 30 Mins",Call_Table_Data[[#This Row],[Duration]]&lt;=60,"30 to 60 Mins",Call_Table_Data[[#This Row],[Duration]]&lt;=120,"1 to 2 Hours",TRUE,"More Than 2 Hours")</f>
        <v>More Than 2 Hours</v>
      </c>
      <c r="K418" s="9">
        <f>ROUND(Call_Table_Data[[#This Row],[Satisfaction Rating]],0)</f>
        <v>5</v>
      </c>
    </row>
    <row r="419" spans="1:11" x14ac:dyDescent="0.3">
      <c r="A419" s="9" t="s">
        <v>456</v>
      </c>
      <c r="B419" s="9" t="s">
        <v>26</v>
      </c>
      <c r="C419" s="9">
        <v>108</v>
      </c>
      <c r="D419" s="10" t="s">
        <v>27</v>
      </c>
      <c r="E419" s="11">
        <v>45041</v>
      </c>
      <c r="F419" s="9">
        <v>180</v>
      </c>
      <c r="G419" s="9">
        <v>3.9</v>
      </c>
      <c r="H419" s="9">
        <f>IF(MONTH(Call_Table_Data[[#This Row],[Date of Call]])&lt;=3,YEAR(Call_Table_Data[[#This Row],[Date of Call]]),YEAR(Call_Table_Data[[#This Row],[Date of Call]])+1)</f>
        <v>2024</v>
      </c>
      <c r="I419" s="9" t="str">
        <f>TEXT(Call_Table_Data[[#This Row],[Date of Call]],"DDDD")</f>
        <v>Tuesday</v>
      </c>
      <c r="J419" s="9" t="str" cm="1">
        <f t="array" ref="J419">_xlfn.IFS(Call_Table_Data[[#This Row],[Duration]]&lt;=10,"Under 10 Mins",Call_Table_Data[[#This Row],[Duration]]&lt;=30,"10 to 30 Mins",Call_Table_Data[[#This Row],[Duration]]&lt;=60,"30 to 60 Mins",Call_Table_Data[[#This Row],[Duration]]&lt;=120,"1 to 2 Hours",TRUE,"More Than 2 Hours")</f>
        <v>1 to 2 Hours</v>
      </c>
      <c r="K419" s="9">
        <f>ROUND(Call_Table_Data[[#This Row],[Satisfaction Rating]],0)</f>
        <v>4</v>
      </c>
    </row>
    <row r="420" spans="1:11" x14ac:dyDescent="0.3">
      <c r="A420" s="9" t="s">
        <v>457</v>
      </c>
      <c r="B420" s="9" t="s">
        <v>32</v>
      </c>
      <c r="C420" s="9">
        <v>15</v>
      </c>
      <c r="D420" s="10" t="s">
        <v>27</v>
      </c>
      <c r="E420" s="11">
        <v>45041</v>
      </c>
      <c r="F420" s="9">
        <v>31</v>
      </c>
      <c r="G420" s="9">
        <v>4.0999999999999996</v>
      </c>
      <c r="H420" s="9">
        <f>IF(MONTH(Call_Table_Data[[#This Row],[Date of Call]])&lt;=3,YEAR(Call_Table_Data[[#This Row],[Date of Call]]),YEAR(Call_Table_Data[[#This Row],[Date of Call]])+1)</f>
        <v>2024</v>
      </c>
      <c r="I420" s="9" t="str">
        <f>TEXT(Call_Table_Data[[#This Row],[Date of Call]],"DDDD")</f>
        <v>Tuesday</v>
      </c>
      <c r="J420" s="9" t="str" cm="1">
        <f t="array" ref="J420">_xlfn.IFS(Call_Table_Data[[#This Row],[Duration]]&lt;=10,"Under 10 Mins",Call_Table_Data[[#This Row],[Duration]]&lt;=30,"10 to 30 Mins",Call_Table_Data[[#This Row],[Duration]]&lt;=60,"30 to 60 Mins",Call_Table_Data[[#This Row],[Duration]]&lt;=120,"1 to 2 Hours",TRUE,"More Than 2 Hours")</f>
        <v>10 to 30 Mins</v>
      </c>
      <c r="K420" s="9">
        <f>ROUND(Call_Table_Data[[#This Row],[Satisfaction Rating]],0)</f>
        <v>4</v>
      </c>
    </row>
    <row r="421" spans="1:11" x14ac:dyDescent="0.3">
      <c r="A421" s="9" t="s">
        <v>458</v>
      </c>
      <c r="B421" s="9" t="s">
        <v>26</v>
      </c>
      <c r="C421" s="9">
        <v>66</v>
      </c>
      <c r="D421" s="10" t="s">
        <v>27</v>
      </c>
      <c r="E421" s="11">
        <v>45041</v>
      </c>
      <c r="F421" s="9">
        <v>102</v>
      </c>
      <c r="G421" s="9">
        <v>3.8</v>
      </c>
      <c r="H421" s="9">
        <f>IF(MONTH(Call_Table_Data[[#This Row],[Date of Call]])&lt;=3,YEAR(Call_Table_Data[[#This Row],[Date of Call]]),YEAR(Call_Table_Data[[#This Row],[Date of Call]])+1)</f>
        <v>2024</v>
      </c>
      <c r="I421" s="9" t="str">
        <f>TEXT(Call_Table_Data[[#This Row],[Date of Call]],"DDDD")</f>
        <v>Tuesday</v>
      </c>
      <c r="J421" s="9" t="str" cm="1">
        <f t="array" ref="J421">_xlfn.IFS(Call_Table_Data[[#This Row],[Duration]]&lt;=10,"Under 10 Mins",Call_Table_Data[[#This Row],[Duration]]&lt;=30,"10 to 30 Mins",Call_Table_Data[[#This Row],[Duration]]&lt;=60,"30 to 60 Mins",Call_Table_Data[[#This Row],[Duration]]&lt;=120,"1 to 2 Hours",TRUE,"More Than 2 Hours")</f>
        <v>1 to 2 Hours</v>
      </c>
      <c r="K421" s="9">
        <f>ROUND(Call_Table_Data[[#This Row],[Satisfaction Rating]],0)</f>
        <v>4</v>
      </c>
    </row>
    <row r="422" spans="1:11" x14ac:dyDescent="0.3">
      <c r="A422" s="9" t="s">
        <v>459</v>
      </c>
      <c r="B422" s="9" t="s">
        <v>37</v>
      </c>
      <c r="C422" s="9">
        <v>126</v>
      </c>
      <c r="D422" s="10" t="s">
        <v>33</v>
      </c>
      <c r="E422" s="11">
        <v>45042</v>
      </c>
      <c r="F422" s="9">
        <v>175</v>
      </c>
      <c r="G422" s="9">
        <v>4.8</v>
      </c>
      <c r="H422" s="9">
        <f>IF(MONTH(Call_Table_Data[[#This Row],[Date of Call]])&lt;=3,YEAR(Call_Table_Data[[#This Row],[Date of Call]]),YEAR(Call_Table_Data[[#This Row],[Date of Call]])+1)</f>
        <v>2024</v>
      </c>
      <c r="I422" s="9" t="str">
        <f>TEXT(Call_Table_Data[[#This Row],[Date of Call]],"DDDD")</f>
        <v>Wednesday</v>
      </c>
      <c r="J422" s="9" t="str" cm="1">
        <f t="array" ref="J422">_xlfn.IFS(Call_Table_Data[[#This Row],[Duration]]&lt;=10,"Under 10 Mins",Call_Table_Data[[#This Row],[Duration]]&lt;=30,"10 to 30 Mins",Call_Table_Data[[#This Row],[Duration]]&lt;=60,"30 to 60 Mins",Call_Table_Data[[#This Row],[Duration]]&lt;=120,"1 to 2 Hours",TRUE,"More Than 2 Hours")</f>
        <v>More Than 2 Hours</v>
      </c>
      <c r="K422" s="9">
        <f>ROUND(Call_Table_Data[[#This Row],[Satisfaction Rating]],0)</f>
        <v>5</v>
      </c>
    </row>
    <row r="423" spans="1:11" x14ac:dyDescent="0.3">
      <c r="A423" s="9" t="s">
        <v>460</v>
      </c>
      <c r="B423" s="9" t="s">
        <v>50</v>
      </c>
      <c r="C423" s="9">
        <v>26</v>
      </c>
      <c r="D423" s="10" t="s">
        <v>17</v>
      </c>
      <c r="E423" s="11">
        <v>45042</v>
      </c>
      <c r="F423" s="9">
        <v>87</v>
      </c>
      <c r="G423" s="9">
        <v>4.7</v>
      </c>
      <c r="H423" s="9">
        <f>IF(MONTH(Call_Table_Data[[#This Row],[Date of Call]])&lt;=3,YEAR(Call_Table_Data[[#This Row],[Date of Call]]),YEAR(Call_Table_Data[[#This Row],[Date of Call]])+1)</f>
        <v>2024</v>
      </c>
      <c r="I423" s="9" t="str">
        <f>TEXT(Call_Table_Data[[#This Row],[Date of Call]],"DDDD")</f>
        <v>Wednesday</v>
      </c>
      <c r="J423" s="9" t="str" cm="1">
        <f t="array" ref="J423">_xlfn.IFS(Call_Table_Data[[#This Row],[Duration]]&lt;=10,"Under 10 Mins",Call_Table_Data[[#This Row],[Duration]]&lt;=30,"10 to 30 Mins",Call_Table_Data[[#This Row],[Duration]]&lt;=60,"30 to 60 Mins",Call_Table_Data[[#This Row],[Duration]]&lt;=120,"1 to 2 Hours",TRUE,"More Than 2 Hours")</f>
        <v>10 to 30 Mins</v>
      </c>
      <c r="K423" s="9">
        <f>ROUND(Call_Table_Data[[#This Row],[Satisfaction Rating]],0)</f>
        <v>5</v>
      </c>
    </row>
    <row r="424" spans="1:11" x14ac:dyDescent="0.3">
      <c r="A424" s="9" t="s">
        <v>461</v>
      </c>
      <c r="B424" s="9" t="s">
        <v>23</v>
      </c>
      <c r="C424" s="9">
        <v>105</v>
      </c>
      <c r="D424" s="10" t="s">
        <v>33</v>
      </c>
      <c r="E424" s="11">
        <v>45042</v>
      </c>
      <c r="F424" s="9">
        <v>66</v>
      </c>
      <c r="G424" s="9">
        <v>4.2</v>
      </c>
      <c r="H424" s="9">
        <f>IF(MONTH(Call_Table_Data[[#This Row],[Date of Call]])&lt;=3,YEAR(Call_Table_Data[[#This Row],[Date of Call]]),YEAR(Call_Table_Data[[#This Row],[Date of Call]])+1)</f>
        <v>2024</v>
      </c>
      <c r="I424" s="9" t="str">
        <f>TEXT(Call_Table_Data[[#This Row],[Date of Call]],"DDDD")</f>
        <v>Wednesday</v>
      </c>
      <c r="J424" s="9" t="str" cm="1">
        <f t="array" ref="J424">_xlfn.IFS(Call_Table_Data[[#This Row],[Duration]]&lt;=10,"Under 10 Mins",Call_Table_Data[[#This Row],[Duration]]&lt;=30,"10 to 30 Mins",Call_Table_Data[[#This Row],[Duration]]&lt;=60,"30 to 60 Mins",Call_Table_Data[[#This Row],[Duration]]&lt;=120,"1 to 2 Hours",TRUE,"More Than 2 Hours")</f>
        <v>1 to 2 Hours</v>
      </c>
      <c r="K424" s="9">
        <f>ROUND(Call_Table_Data[[#This Row],[Satisfaction Rating]],0)</f>
        <v>4</v>
      </c>
    </row>
    <row r="425" spans="1:11" x14ac:dyDescent="0.3">
      <c r="A425" s="9" t="s">
        <v>462</v>
      </c>
      <c r="B425" s="9" t="s">
        <v>23</v>
      </c>
      <c r="C425" s="9">
        <v>31</v>
      </c>
      <c r="D425" s="10" t="s">
        <v>33</v>
      </c>
      <c r="E425" s="11">
        <v>45042</v>
      </c>
      <c r="F425" s="9">
        <v>25</v>
      </c>
      <c r="G425" s="9">
        <v>3.2</v>
      </c>
      <c r="H425" s="9">
        <f>IF(MONTH(Call_Table_Data[[#This Row],[Date of Call]])&lt;=3,YEAR(Call_Table_Data[[#This Row],[Date of Call]]),YEAR(Call_Table_Data[[#This Row],[Date of Call]])+1)</f>
        <v>2024</v>
      </c>
      <c r="I425" s="9" t="str">
        <f>TEXT(Call_Table_Data[[#This Row],[Date of Call]],"DDDD")</f>
        <v>Wednesday</v>
      </c>
      <c r="J425" s="9" t="str" cm="1">
        <f t="array" ref="J425">_xlfn.IFS(Call_Table_Data[[#This Row],[Duration]]&lt;=10,"Under 10 Mins",Call_Table_Data[[#This Row],[Duration]]&lt;=30,"10 to 30 Mins",Call_Table_Data[[#This Row],[Duration]]&lt;=60,"30 to 60 Mins",Call_Table_Data[[#This Row],[Duration]]&lt;=120,"1 to 2 Hours",TRUE,"More Than 2 Hours")</f>
        <v>30 to 60 Mins</v>
      </c>
      <c r="K425" s="9">
        <f>ROUND(Call_Table_Data[[#This Row],[Satisfaction Rating]],0)</f>
        <v>3</v>
      </c>
    </row>
    <row r="426" spans="1:11" x14ac:dyDescent="0.3">
      <c r="A426" s="9" t="s">
        <v>463</v>
      </c>
      <c r="B426" s="9" t="s">
        <v>26</v>
      </c>
      <c r="C426" s="9">
        <v>109</v>
      </c>
      <c r="D426" s="10" t="s">
        <v>27</v>
      </c>
      <c r="E426" s="11">
        <v>45042</v>
      </c>
      <c r="F426" s="9">
        <v>126</v>
      </c>
      <c r="G426" s="9">
        <v>3.4</v>
      </c>
      <c r="H426" s="9">
        <f>IF(MONTH(Call_Table_Data[[#This Row],[Date of Call]])&lt;=3,YEAR(Call_Table_Data[[#This Row],[Date of Call]]),YEAR(Call_Table_Data[[#This Row],[Date of Call]])+1)</f>
        <v>2024</v>
      </c>
      <c r="I426" s="9" t="str">
        <f>TEXT(Call_Table_Data[[#This Row],[Date of Call]],"DDDD")</f>
        <v>Wednesday</v>
      </c>
      <c r="J426" s="9" t="str" cm="1">
        <f t="array" ref="J426">_xlfn.IFS(Call_Table_Data[[#This Row],[Duration]]&lt;=10,"Under 10 Mins",Call_Table_Data[[#This Row],[Duration]]&lt;=30,"10 to 30 Mins",Call_Table_Data[[#This Row],[Duration]]&lt;=60,"30 to 60 Mins",Call_Table_Data[[#This Row],[Duration]]&lt;=120,"1 to 2 Hours",TRUE,"More Than 2 Hours")</f>
        <v>1 to 2 Hours</v>
      </c>
      <c r="K426" s="9">
        <f>ROUND(Call_Table_Data[[#This Row],[Satisfaction Rating]],0)</f>
        <v>3</v>
      </c>
    </row>
    <row r="427" spans="1:11" x14ac:dyDescent="0.3">
      <c r="A427" s="9" t="s">
        <v>464</v>
      </c>
      <c r="B427" s="9" t="s">
        <v>16</v>
      </c>
      <c r="C427" s="9">
        <v>113</v>
      </c>
      <c r="D427" s="10" t="s">
        <v>40</v>
      </c>
      <c r="E427" s="11">
        <v>45043</v>
      </c>
      <c r="F427" s="9">
        <v>42</v>
      </c>
      <c r="G427" s="9">
        <v>4.5999999999999996</v>
      </c>
      <c r="H427" s="9">
        <f>IF(MONTH(Call_Table_Data[[#This Row],[Date of Call]])&lt;=3,YEAR(Call_Table_Data[[#This Row],[Date of Call]]),YEAR(Call_Table_Data[[#This Row],[Date of Call]])+1)</f>
        <v>2024</v>
      </c>
      <c r="I427" s="9" t="str">
        <f>TEXT(Call_Table_Data[[#This Row],[Date of Call]],"DDDD")</f>
        <v>Thursday</v>
      </c>
      <c r="J427" s="9" t="str" cm="1">
        <f t="array" ref="J427">_xlfn.IFS(Call_Table_Data[[#This Row],[Duration]]&lt;=10,"Under 10 Mins",Call_Table_Data[[#This Row],[Duration]]&lt;=30,"10 to 30 Mins",Call_Table_Data[[#This Row],[Duration]]&lt;=60,"30 to 60 Mins",Call_Table_Data[[#This Row],[Duration]]&lt;=120,"1 to 2 Hours",TRUE,"More Than 2 Hours")</f>
        <v>1 to 2 Hours</v>
      </c>
      <c r="K427" s="9">
        <f>ROUND(Call_Table_Data[[#This Row],[Satisfaction Rating]],0)</f>
        <v>5</v>
      </c>
    </row>
    <row r="428" spans="1:11" x14ac:dyDescent="0.3">
      <c r="A428" s="9" t="s">
        <v>465</v>
      </c>
      <c r="B428" s="9" t="s">
        <v>37</v>
      </c>
      <c r="C428" s="9">
        <v>101</v>
      </c>
      <c r="D428" s="10" t="s">
        <v>17</v>
      </c>
      <c r="E428" s="11">
        <v>45043</v>
      </c>
      <c r="F428" s="9">
        <v>225</v>
      </c>
      <c r="G428" s="9">
        <v>1.9</v>
      </c>
      <c r="H428" s="9">
        <f>IF(MONTH(Call_Table_Data[[#This Row],[Date of Call]])&lt;=3,YEAR(Call_Table_Data[[#This Row],[Date of Call]]),YEAR(Call_Table_Data[[#This Row],[Date of Call]])+1)</f>
        <v>2024</v>
      </c>
      <c r="I428" s="9" t="str">
        <f>TEXT(Call_Table_Data[[#This Row],[Date of Call]],"DDDD")</f>
        <v>Thursday</v>
      </c>
      <c r="J428" s="9" t="str" cm="1">
        <f t="array" ref="J428">_xlfn.IFS(Call_Table_Data[[#This Row],[Duration]]&lt;=10,"Under 10 Mins",Call_Table_Data[[#This Row],[Duration]]&lt;=30,"10 to 30 Mins",Call_Table_Data[[#This Row],[Duration]]&lt;=60,"30 to 60 Mins",Call_Table_Data[[#This Row],[Duration]]&lt;=120,"1 to 2 Hours",TRUE,"More Than 2 Hours")</f>
        <v>1 to 2 Hours</v>
      </c>
      <c r="K428" s="9">
        <f>ROUND(Call_Table_Data[[#This Row],[Satisfaction Rating]],0)</f>
        <v>2</v>
      </c>
    </row>
    <row r="429" spans="1:11" x14ac:dyDescent="0.3">
      <c r="A429" s="9" t="s">
        <v>466</v>
      </c>
      <c r="B429" s="9" t="s">
        <v>30</v>
      </c>
      <c r="C429" s="9">
        <v>156</v>
      </c>
      <c r="D429" s="10" t="s">
        <v>17</v>
      </c>
      <c r="E429" s="11">
        <v>45043</v>
      </c>
      <c r="F429" s="9">
        <v>42</v>
      </c>
      <c r="G429" s="9">
        <v>3.3</v>
      </c>
      <c r="H429" s="9">
        <f>IF(MONTH(Call_Table_Data[[#This Row],[Date of Call]])&lt;=3,YEAR(Call_Table_Data[[#This Row],[Date of Call]]),YEAR(Call_Table_Data[[#This Row],[Date of Call]])+1)</f>
        <v>2024</v>
      </c>
      <c r="I429" s="9" t="str">
        <f>TEXT(Call_Table_Data[[#This Row],[Date of Call]],"DDDD")</f>
        <v>Thursday</v>
      </c>
      <c r="J429" s="9" t="str" cm="1">
        <f t="array" ref="J429">_xlfn.IFS(Call_Table_Data[[#This Row],[Duration]]&lt;=10,"Under 10 Mins",Call_Table_Data[[#This Row],[Duration]]&lt;=30,"10 to 30 Mins",Call_Table_Data[[#This Row],[Duration]]&lt;=60,"30 to 60 Mins",Call_Table_Data[[#This Row],[Duration]]&lt;=120,"1 to 2 Hours",TRUE,"More Than 2 Hours")</f>
        <v>More Than 2 Hours</v>
      </c>
      <c r="K429" s="9">
        <f>ROUND(Call_Table_Data[[#This Row],[Satisfaction Rating]],0)</f>
        <v>3</v>
      </c>
    </row>
    <row r="430" spans="1:11" x14ac:dyDescent="0.3">
      <c r="A430" s="9" t="s">
        <v>467</v>
      </c>
      <c r="B430" s="9" t="s">
        <v>26</v>
      </c>
      <c r="C430" s="9">
        <v>145</v>
      </c>
      <c r="D430" s="10" t="s">
        <v>40</v>
      </c>
      <c r="E430" s="11">
        <v>45044</v>
      </c>
      <c r="F430" s="9">
        <v>110</v>
      </c>
      <c r="G430" s="9">
        <v>3.1</v>
      </c>
      <c r="H430" s="9">
        <f>IF(MONTH(Call_Table_Data[[#This Row],[Date of Call]])&lt;=3,YEAR(Call_Table_Data[[#This Row],[Date of Call]]),YEAR(Call_Table_Data[[#This Row],[Date of Call]])+1)</f>
        <v>2024</v>
      </c>
      <c r="I430" s="9" t="str">
        <f>TEXT(Call_Table_Data[[#This Row],[Date of Call]],"DDDD")</f>
        <v>Friday</v>
      </c>
      <c r="J430" s="9" t="str" cm="1">
        <f t="array" ref="J430">_xlfn.IFS(Call_Table_Data[[#This Row],[Duration]]&lt;=10,"Under 10 Mins",Call_Table_Data[[#This Row],[Duration]]&lt;=30,"10 to 30 Mins",Call_Table_Data[[#This Row],[Duration]]&lt;=60,"30 to 60 Mins",Call_Table_Data[[#This Row],[Duration]]&lt;=120,"1 to 2 Hours",TRUE,"More Than 2 Hours")</f>
        <v>More Than 2 Hours</v>
      </c>
      <c r="K430" s="9">
        <f>ROUND(Call_Table_Data[[#This Row],[Satisfaction Rating]],0)</f>
        <v>3</v>
      </c>
    </row>
    <row r="431" spans="1:11" x14ac:dyDescent="0.3">
      <c r="A431" s="9" t="s">
        <v>468</v>
      </c>
      <c r="B431" s="9" t="s">
        <v>35</v>
      </c>
      <c r="C431" s="9">
        <v>36</v>
      </c>
      <c r="D431" s="10" t="s">
        <v>27</v>
      </c>
      <c r="E431" s="11">
        <v>45044</v>
      </c>
      <c r="F431" s="9">
        <v>225</v>
      </c>
      <c r="G431" s="9">
        <v>4.8</v>
      </c>
      <c r="H431" s="9">
        <f>IF(MONTH(Call_Table_Data[[#This Row],[Date of Call]])&lt;=3,YEAR(Call_Table_Data[[#This Row],[Date of Call]]),YEAR(Call_Table_Data[[#This Row],[Date of Call]])+1)</f>
        <v>2024</v>
      </c>
      <c r="I431" s="9" t="str">
        <f>TEXT(Call_Table_Data[[#This Row],[Date of Call]],"DDDD")</f>
        <v>Friday</v>
      </c>
      <c r="J431" s="9" t="str" cm="1">
        <f t="array" ref="J431">_xlfn.IFS(Call_Table_Data[[#This Row],[Duration]]&lt;=10,"Under 10 Mins",Call_Table_Data[[#This Row],[Duration]]&lt;=30,"10 to 30 Mins",Call_Table_Data[[#This Row],[Duration]]&lt;=60,"30 to 60 Mins",Call_Table_Data[[#This Row],[Duration]]&lt;=120,"1 to 2 Hours",TRUE,"More Than 2 Hours")</f>
        <v>30 to 60 Mins</v>
      </c>
      <c r="K431" s="9">
        <f>ROUND(Call_Table_Data[[#This Row],[Satisfaction Rating]],0)</f>
        <v>5</v>
      </c>
    </row>
    <row r="432" spans="1:11" x14ac:dyDescent="0.3">
      <c r="A432" s="9" t="s">
        <v>469</v>
      </c>
      <c r="B432" s="9" t="s">
        <v>23</v>
      </c>
      <c r="C432" s="9">
        <v>135</v>
      </c>
      <c r="D432" s="10" t="s">
        <v>46</v>
      </c>
      <c r="E432" s="11">
        <v>45045</v>
      </c>
      <c r="F432" s="9">
        <v>125</v>
      </c>
      <c r="G432" s="9">
        <v>3.3</v>
      </c>
      <c r="H432" s="9">
        <f>IF(MONTH(Call_Table_Data[[#This Row],[Date of Call]])&lt;=3,YEAR(Call_Table_Data[[#This Row],[Date of Call]]),YEAR(Call_Table_Data[[#This Row],[Date of Call]])+1)</f>
        <v>2024</v>
      </c>
      <c r="I432" s="9" t="str">
        <f>TEXT(Call_Table_Data[[#This Row],[Date of Call]],"DDDD")</f>
        <v>Saturday</v>
      </c>
      <c r="J432" s="9" t="str" cm="1">
        <f t="array" ref="J432">_xlfn.IFS(Call_Table_Data[[#This Row],[Duration]]&lt;=10,"Under 10 Mins",Call_Table_Data[[#This Row],[Duration]]&lt;=30,"10 to 30 Mins",Call_Table_Data[[#This Row],[Duration]]&lt;=60,"30 to 60 Mins",Call_Table_Data[[#This Row],[Duration]]&lt;=120,"1 to 2 Hours",TRUE,"More Than 2 Hours")</f>
        <v>More Than 2 Hours</v>
      </c>
      <c r="K432" s="9">
        <f>ROUND(Call_Table_Data[[#This Row],[Satisfaction Rating]],0)</f>
        <v>3</v>
      </c>
    </row>
    <row r="433" spans="1:11" x14ac:dyDescent="0.3">
      <c r="A433" s="9" t="s">
        <v>470</v>
      </c>
      <c r="B433" s="9" t="s">
        <v>37</v>
      </c>
      <c r="C433" s="9">
        <v>81</v>
      </c>
      <c r="D433" s="10" t="s">
        <v>27</v>
      </c>
      <c r="E433" s="11">
        <v>45045</v>
      </c>
      <c r="F433" s="9">
        <v>78</v>
      </c>
      <c r="G433" s="9">
        <v>2.9</v>
      </c>
      <c r="H433" s="9">
        <f>IF(MONTH(Call_Table_Data[[#This Row],[Date of Call]])&lt;=3,YEAR(Call_Table_Data[[#This Row],[Date of Call]]),YEAR(Call_Table_Data[[#This Row],[Date of Call]])+1)</f>
        <v>2024</v>
      </c>
      <c r="I433" s="9" t="str">
        <f>TEXT(Call_Table_Data[[#This Row],[Date of Call]],"DDDD")</f>
        <v>Saturday</v>
      </c>
      <c r="J433" s="9" t="str" cm="1">
        <f t="array" ref="J433">_xlfn.IFS(Call_Table_Data[[#This Row],[Duration]]&lt;=10,"Under 10 Mins",Call_Table_Data[[#This Row],[Duration]]&lt;=30,"10 to 30 Mins",Call_Table_Data[[#This Row],[Duration]]&lt;=60,"30 to 60 Mins",Call_Table_Data[[#This Row],[Duration]]&lt;=120,"1 to 2 Hours",TRUE,"More Than 2 Hours")</f>
        <v>1 to 2 Hours</v>
      </c>
      <c r="K433" s="9">
        <f>ROUND(Call_Table_Data[[#This Row],[Satisfaction Rating]],0)</f>
        <v>3</v>
      </c>
    </row>
    <row r="434" spans="1:11" x14ac:dyDescent="0.3">
      <c r="A434" s="9" t="s">
        <v>471</v>
      </c>
      <c r="B434" s="9" t="s">
        <v>37</v>
      </c>
      <c r="C434" s="9">
        <v>81</v>
      </c>
      <c r="D434" s="10" t="s">
        <v>40</v>
      </c>
      <c r="E434" s="11">
        <v>45045</v>
      </c>
      <c r="F434" s="9">
        <v>40</v>
      </c>
      <c r="G434" s="9">
        <v>2.4</v>
      </c>
      <c r="H434" s="9">
        <f>IF(MONTH(Call_Table_Data[[#This Row],[Date of Call]])&lt;=3,YEAR(Call_Table_Data[[#This Row],[Date of Call]]),YEAR(Call_Table_Data[[#This Row],[Date of Call]])+1)</f>
        <v>2024</v>
      </c>
      <c r="I434" s="9" t="str">
        <f>TEXT(Call_Table_Data[[#This Row],[Date of Call]],"DDDD")</f>
        <v>Saturday</v>
      </c>
      <c r="J434" s="9" t="str" cm="1">
        <f t="array" ref="J434">_xlfn.IFS(Call_Table_Data[[#This Row],[Duration]]&lt;=10,"Under 10 Mins",Call_Table_Data[[#This Row],[Duration]]&lt;=30,"10 to 30 Mins",Call_Table_Data[[#This Row],[Duration]]&lt;=60,"30 to 60 Mins",Call_Table_Data[[#This Row],[Duration]]&lt;=120,"1 to 2 Hours",TRUE,"More Than 2 Hours")</f>
        <v>1 to 2 Hours</v>
      </c>
      <c r="K434" s="9">
        <f>ROUND(Call_Table_Data[[#This Row],[Satisfaction Rating]],0)</f>
        <v>2</v>
      </c>
    </row>
    <row r="435" spans="1:11" x14ac:dyDescent="0.3">
      <c r="A435" s="9" t="s">
        <v>472</v>
      </c>
      <c r="B435" s="9" t="s">
        <v>43</v>
      </c>
      <c r="C435" s="9">
        <v>93</v>
      </c>
      <c r="D435" s="10" t="s">
        <v>33</v>
      </c>
      <c r="E435" s="11">
        <v>45045</v>
      </c>
      <c r="F435" s="9">
        <v>150</v>
      </c>
      <c r="G435" s="9">
        <v>4.5999999999999996</v>
      </c>
      <c r="H435" s="9">
        <f>IF(MONTH(Call_Table_Data[[#This Row],[Date of Call]])&lt;=3,YEAR(Call_Table_Data[[#This Row],[Date of Call]]),YEAR(Call_Table_Data[[#This Row],[Date of Call]])+1)</f>
        <v>2024</v>
      </c>
      <c r="I435" s="9" t="str">
        <f>TEXT(Call_Table_Data[[#This Row],[Date of Call]],"DDDD")</f>
        <v>Saturday</v>
      </c>
      <c r="J435" s="9" t="str" cm="1">
        <f t="array" ref="J435">_xlfn.IFS(Call_Table_Data[[#This Row],[Duration]]&lt;=10,"Under 10 Mins",Call_Table_Data[[#This Row],[Duration]]&lt;=30,"10 to 30 Mins",Call_Table_Data[[#This Row],[Duration]]&lt;=60,"30 to 60 Mins",Call_Table_Data[[#This Row],[Duration]]&lt;=120,"1 to 2 Hours",TRUE,"More Than 2 Hours")</f>
        <v>1 to 2 Hours</v>
      </c>
      <c r="K435" s="9">
        <f>ROUND(Call_Table_Data[[#This Row],[Satisfaction Rating]],0)</f>
        <v>5</v>
      </c>
    </row>
    <row r="436" spans="1:11" x14ac:dyDescent="0.3">
      <c r="A436" s="9" t="s">
        <v>473</v>
      </c>
      <c r="B436" s="9" t="s">
        <v>26</v>
      </c>
      <c r="C436" s="9">
        <v>14</v>
      </c>
      <c r="D436" s="10" t="s">
        <v>27</v>
      </c>
      <c r="E436" s="11">
        <v>45045</v>
      </c>
      <c r="F436" s="9">
        <v>96</v>
      </c>
      <c r="G436" s="9">
        <v>4.8</v>
      </c>
      <c r="H436" s="9">
        <f>IF(MONTH(Call_Table_Data[[#This Row],[Date of Call]])&lt;=3,YEAR(Call_Table_Data[[#This Row],[Date of Call]]),YEAR(Call_Table_Data[[#This Row],[Date of Call]])+1)</f>
        <v>2024</v>
      </c>
      <c r="I436" s="9" t="str">
        <f>TEXT(Call_Table_Data[[#This Row],[Date of Call]],"DDDD")</f>
        <v>Saturday</v>
      </c>
      <c r="J436" s="9" t="str" cm="1">
        <f t="array" ref="J436">_xlfn.IFS(Call_Table_Data[[#This Row],[Duration]]&lt;=10,"Under 10 Mins",Call_Table_Data[[#This Row],[Duration]]&lt;=30,"10 to 30 Mins",Call_Table_Data[[#This Row],[Duration]]&lt;=60,"30 to 60 Mins",Call_Table_Data[[#This Row],[Duration]]&lt;=120,"1 to 2 Hours",TRUE,"More Than 2 Hours")</f>
        <v>10 to 30 Mins</v>
      </c>
      <c r="K436" s="9">
        <f>ROUND(Call_Table_Data[[#This Row],[Satisfaction Rating]],0)</f>
        <v>5</v>
      </c>
    </row>
    <row r="437" spans="1:11" x14ac:dyDescent="0.3">
      <c r="A437" s="9" t="s">
        <v>474</v>
      </c>
      <c r="B437" s="9" t="s">
        <v>23</v>
      </c>
      <c r="C437" s="9">
        <v>95</v>
      </c>
      <c r="D437" s="10" t="s">
        <v>40</v>
      </c>
      <c r="E437" s="11">
        <v>45046</v>
      </c>
      <c r="F437" s="9">
        <v>75</v>
      </c>
      <c r="G437" s="9">
        <v>4.8</v>
      </c>
      <c r="H437" s="9">
        <f>IF(MONTH(Call_Table_Data[[#This Row],[Date of Call]])&lt;=3,YEAR(Call_Table_Data[[#This Row],[Date of Call]]),YEAR(Call_Table_Data[[#This Row],[Date of Call]])+1)</f>
        <v>2024</v>
      </c>
      <c r="I437" s="9" t="str">
        <f>TEXT(Call_Table_Data[[#This Row],[Date of Call]],"DDDD")</f>
        <v>Sunday</v>
      </c>
      <c r="J437" s="9" t="str" cm="1">
        <f t="array" ref="J437">_xlfn.IFS(Call_Table_Data[[#This Row],[Duration]]&lt;=10,"Under 10 Mins",Call_Table_Data[[#This Row],[Duration]]&lt;=30,"10 to 30 Mins",Call_Table_Data[[#This Row],[Duration]]&lt;=60,"30 to 60 Mins",Call_Table_Data[[#This Row],[Duration]]&lt;=120,"1 to 2 Hours",TRUE,"More Than 2 Hours")</f>
        <v>1 to 2 Hours</v>
      </c>
      <c r="K437" s="9">
        <f>ROUND(Call_Table_Data[[#This Row],[Satisfaction Rating]],0)</f>
        <v>5</v>
      </c>
    </row>
    <row r="438" spans="1:11" x14ac:dyDescent="0.3">
      <c r="A438" s="9" t="s">
        <v>475</v>
      </c>
      <c r="B438" s="9" t="s">
        <v>43</v>
      </c>
      <c r="C438" s="9">
        <v>81</v>
      </c>
      <c r="D438" s="10" t="s">
        <v>40</v>
      </c>
      <c r="E438" s="11">
        <v>45046</v>
      </c>
      <c r="F438" s="9">
        <v>60</v>
      </c>
      <c r="G438" s="9">
        <v>3.6</v>
      </c>
      <c r="H438" s="9">
        <f>IF(MONTH(Call_Table_Data[[#This Row],[Date of Call]])&lt;=3,YEAR(Call_Table_Data[[#This Row],[Date of Call]]),YEAR(Call_Table_Data[[#This Row],[Date of Call]])+1)</f>
        <v>2024</v>
      </c>
      <c r="I438" s="9" t="str">
        <f>TEXT(Call_Table_Data[[#This Row],[Date of Call]],"DDDD")</f>
        <v>Sunday</v>
      </c>
      <c r="J438" s="9" t="str" cm="1">
        <f t="array" ref="J438">_xlfn.IFS(Call_Table_Data[[#This Row],[Duration]]&lt;=10,"Under 10 Mins",Call_Table_Data[[#This Row],[Duration]]&lt;=30,"10 to 30 Mins",Call_Table_Data[[#This Row],[Duration]]&lt;=60,"30 to 60 Mins",Call_Table_Data[[#This Row],[Duration]]&lt;=120,"1 to 2 Hours",TRUE,"More Than 2 Hours")</f>
        <v>1 to 2 Hours</v>
      </c>
      <c r="K438" s="9">
        <f>ROUND(Call_Table_Data[[#This Row],[Satisfaction Rating]],0)</f>
        <v>4</v>
      </c>
    </row>
    <row r="439" spans="1:11" x14ac:dyDescent="0.3">
      <c r="A439" s="9" t="s">
        <v>476</v>
      </c>
      <c r="B439" s="9" t="s">
        <v>41</v>
      </c>
      <c r="C439" s="9">
        <v>60</v>
      </c>
      <c r="D439" s="10" t="s">
        <v>27</v>
      </c>
      <c r="E439" s="11">
        <v>45047</v>
      </c>
      <c r="F439" s="9">
        <v>41</v>
      </c>
      <c r="G439" s="9">
        <v>4.8</v>
      </c>
      <c r="H439" s="9">
        <f>IF(MONTH(Call_Table_Data[[#This Row],[Date of Call]])&lt;=3,YEAR(Call_Table_Data[[#This Row],[Date of Call]]),YEAR(Call_Table_Data[[#This Row],[Date of Call]])+1)</f>
        <v>2024</v>
      </c>
      <c r="I439" s="9" t="str">
        <f>TEXT(Call_Table_Data[[#This Row],[Date of Call]],"DDDD")</f>
        <v>Monday</v>
      </c>
      <c r="J439" s="9" t="str" cm="1">
        <f t="array" ref="J439">_xlfn.IFS(Call_Table_Data[[#This Row],[Duration]]&lt;=10,"Under 10 Mins",Call_Table_Data[[#This Row],[Duration]]&lt;=30,"10 to 30 Mins",Call_Table_Data[[#This Row],[Duration]]&lt;=60,"30 to 60 Mins",Call_Table_Data[[#This Row],[Duration]]&lt;=120,"1 to 2 Hours",TRUE,"More Than 2 Hours")</f>
        <v>30 to 60 Mins</v>
      </c>
      <c r="K439" s="9">
        <f>ROUND(Call_Table_Data[[#This Row],[Satisfaction Rating]],0)</f>
        <v>5</v>
      </c>
    </row>
    <row r="440" spans="1:11" x14ac:dyDescent="0.3">
      <c r="A440" s="9" t="s">
        <v>477</v>
      </c>
      <c r="B440" s="9" t="s">
        <v>49</v>
      </c>
      <c r="C440" s="9">
        <v>137</v>
      </c>
      <c r="D440" s="10" t="s">
        <v>33</v>
      </c>
      <c r="E440" s="11">
        <v>45047</v>
      </c>
      <c r="F440" s="9">
        <v>20</v>
      </c>
      <c r="G440" s="9">
        <v>4.2</v>
      </c>
      <c r="H440" s="9">
        <f>IF(MONTH(Call_Table_Data[[#This Row],[Date of Call]])&lt;=3,YEAR(Call_Table_Data[[#This Row],[Date of Call]]),YEAR(Call_Table_Data[[#This Row],[Date of Call]])+1)</f>
        <v>2024</v>
      </c>
      <c r="I440" s="9" t="str">
        <f>TEXT(Call_Table_Data[[#This Row],[Date of Call]],"DDDD")</f>
        <v>Monday</v>
      </c>
      <c r="J440" s="9" t="str" cm="1">
        <f t="array" ref="J440">_xlfn.IFS(Call_Table_Data[[#This Row],[Duration]]&lt;=10,"Under 10 Mins",Call_Table_Data[[#This Row],[Duration]]&lt;=30,"10 to 30 Mins",Call_Table_Data[[#This Row],[Duration]]&lt;=60,"30 to 60 Mins",Call_Table_Data[[#This Row],[Duration]]&lt;=120,"1 to 2 Hours",TRUE,"More Than 2 Hours")</f>
        <v>More Than 2 Hours</v>
      </c>
      <c r="K440" s="9">
        <f>ROUND(Call_Table_Data[[#This Row],[Satisfaction Rating]],0)</f>
        <v>4</v>
      </c>
    </row>
    <row r="441" spans="1:11" x14ac:dyDescent="0.3">
      <c r="A441" s="9" t="s">
        <v>478</v>
      </c>
      <c r="B441" s="9" t="s">
        <v>22</v>
      </c>
      <c r="C441" s="9">
        <v>112</v>
      </c>
      <c r="D441" s="10" t="s">
        <v>46</v>
      </c>
      <c r="E441" s="11">
        <v>45047</v>
      </c>
      <c r="F441" s="9">
        <v>84</v>
      </c>
      <c r="G441" s="9">
        <v>2.6</v>
      </c>
      <c r="H441" s="9">
        <f>IF(MONTH(Call_Table_Data[[#This Row],[Date of Call]])&lt;=3,YEAR(Call_Table_Data[[#This Row],[Date of Call]]),YEAR(Call_Table_Data[[#This Row],[Date of Call]])+1)</f>
        <v>2024</v>
      </c>
      <c r="I441" s="9" t="str">
        <f>TEXT(Call_Table_Data[[#This Row],[Date of Call]],"DDDD")</f>
        <v>Monday</v>
      </c>
      <c r="J441" s="9" t="str" cm="1">
        <f t="array" ref="J441">_xlfn.IFS(Call_Table_Data[[#This Row],[Duration]]&lt;=10,"Under 10 Mins",Call_Table_Data[[#This Row],[Duration]]&lt;=30,"10 to 30 Mins",Call_Table_Data[[#This Row],[Duration]]&lt;=60,"30 to 60 Mins",Call_Table_Data[[#This Row],[Duration]]&lt;=120,"1 to 2 Hours",TRUE,"More Than 2 Hours")</f>
        <v>1 to 2 Hours</v>
      </c>
      <c r="K441" s="9">
        <f>ROUND(Call_Table_Data[[#This Row],[Satisfaction Rating]],0)</f>
        <v>3</v>
      </c>
    </row>
    <row r="442" spans="1:11" x14ac:dyDescent="0.3">
      <c r="A442" s="9" t="s">
        <v>479</v>
      </c>
      <c r="B442" s="9" t="s">
        <v>23</v>
      </c>
      <c r="C442" s="9">
        <v>76</v>
      </c>
      <c r="D442" s="10" t="s">
        <v>17</v>
      </c>
      <c r="E442" s="11">
        <v>45047</v>
      </c>
      <c r="F442" s="9">
        <v>140</v>
      </c>
      <c r="G442" s="9">
        <v>3.7</v>
      </c>
      <c r="H442" s="9">
        <f>IF(MONTH(Call_Table_Data[[#This Row],[Date of Call]])&lt;=3,YEAR(Call_Table_Data[[#This Row],[Date of Call]]),YEAR(Call_Table_Data[[#This Row],[Date of Call]])+1)</f>
        <v>2024</v>
      </c>
      <c r="I442" s="9" t="str">
        <f>TEXT(Call_Table_Data[[#This Row],[Date of Call]],"DDDD")</f>
        <v>Monday</v>
      </c>
      <c r="J442" s="9" t="str" cm="1">
        <f t="array" ref="J442">_xlfn.IFS(Call_Table_Data[[#This Row],[Duration]]&lt;=10,"Under 10 Mins",Call_Table_Data[[#This Row],[Duration]]&lt;=30,"10 to 30 Mins",Call_Table_Data[[#This Row],[Duration]]&lt;=60,"30 to 60 Mins",Call_Table_Data[[#This Row],[Duration]]&lt;=120,"1 to 2 Hours",TRUE,"More Than 2 Hours")</f>
        <v>1 to 2 Hours</v>
      </c>
      <c r="K442" s="9">
        <f>ROUND(Call_Table_Data[[#This Row],[Satisfaction Rating]],0)</f>
        <v>4</v>
      </c>
    </row>
    <row r="443" spans="1:11" x14ac:dyDescent="0.3">
      <c r="A443" s="9" t="s">
        <v>480</v>
      </c>
      <c r="B443" s="9" t="s">
        <v>54</v>
      </c>
      <c r="C443" s="9">
        <v>73</v>
      </c>
      <c r="D443" s="10" t="s">
        <v>27</v>
      </c>
      <c r="E443" s="11">
        <v>45047</v>
      </c>
      <c r="F443" s="9">
        <v>66</v>
      </c>
      <c r="G443" s="9">
        <v>4.8</v>
      </c>
      <c r="H443" s="9">
        <f>IF(MONTH(Call_Table_Data[[#This Row],[Date of Call]])&lt;=3,YEAR(Call_Table_Data[[#This Row],[Date of Call]]),YEAR(Call_Table_Data[[#This Row],[Date of Call]])+1)</f>
        <v>2024</v>
      </c>
      <c r="I443" s="9" t="str">
        <f>TEXT(Call_Table_Data[[#This Row],[Date of Call]],"DDDD")</f>
        <v>Monday</v>
      </c>
      <c r="J443" s="9" t="str" cm="1">
        <f t="array" ref="J443">_xlfn.IFS(Call_Table_Data[[#This Row],[Duration]]&lt;=10,"Under 10 Mins",Call_Table_Data[[#This Row],[Duration]]&lt;=30,"10 to 30 Mins",Call_Table_Data[[#This Row],[Duration]]&lt;=60,"30 to 60 Mins",Call_Table_Data[[#This Row],[Duration]]&lt;=120,"1 to 2 Hours",TRUE,"More Than 2 Hours")</f>
        <v>1 to 2 Hours</v>
      </c>
      <c r="K443" s="9">
        <f>ROUND(Call_Table_Data[[#This Row],[Satisfaction Rating]],0)</f>
        <v>5</v>
      </c>
    </row>
    <row r="444" spans="1:11" x14ac:dyDescent="0.3">
      <c r="A444" s="9" t="s">
        <v>481</v>
      </c>
      <c r="B444" s="9" t="s">
        <v>45</v>
      </c>
      <c r="C444" s="9">
        <v>119</v>
      </c>
      <c r="D444" s="10" t="s">
        <v>33</v>
      </c>
      <c r="E444" s="11">
        <v>45047</v>
      </c>
      <c r="F444" s="9">
        <v>105</v>
      </c>
      <c r="G444" s="9">
        <v>4.7</v>
      </c>
      <c r="H444" s="9">
        <f>IF(MONTH(Call_Table_Data[[#This Row],[Date of Call]])&lt;=3,YEAR(Call_Table_Data[[#This Row],[Date of Call]]),YEAR(Call_Table_Data[[#This Row],[Date of Call]])+1)</f>
        <v>2024</v>
      </c>
      <c r="I444" s="9" t="str">
        <f>TEXT(Call_Table_Data[[#This Row],[Date of Call]],"DDDD")</f>
        <v>Monday</v>
      </c>
      <c r="J444" s="9" t="str" cm="1">
        <f t="array" ref="J444">_xlfn.IFS(Call_Table_Data[[#This Row],[Duration]]&lt;=10,"Under 10 Mins",Call_Table_Data[[#This Row],[Duration]]&lt;=30,"10 to 30 Mins",Call_Table_Data[[#This Row],[Duration]]&lt;=60,"30 to 60 Mins",Call_Table_Data[[#This Row],[Duration]]&lt;=120,"1 to 2 Hours",TRUE,"More Than 2 Hours")</f>
        <v>1 to 2 Hours</v>
      </c>
      <c r="K444" s="9">
        <f>ROUND(Call_Table_Data[[#This Row],[Satisfaction Rating]],0)</f>
        <v>5</v>
      </c>
    </row>
    <row r="445" spans="1:11" x14ac:dyDescent="0.3">
      <c r="A445" s="9" t="s">
        <v>482</v>
      </c>
      <c r="B445" s="9" t="s">
        <v>16</v>
      </c>
      <c r="C445" s="9">
        <v>135</v>
      </c>
      <c r="D445" s="10" t="s">
        <v>40</v>
      </c>
      <c r="E445" s="11">
        <v>45048</v>
      </c>
      <c r="F445" s="9">
        <v>104</v>
      </c>
      <c r="G445" s="9">
        <v>4.0999999999999996</v>
      </c>
      <c r="H445" s="9">
        <f>IF(MONTH(Call_Table_Data[[#This Row],[Date of Call]])&lt;=3,YEAR(Call_Table_Data[[#This Row],[Date of Call]]),YEAR(Call_Table_Data[[#This Row],[Date of Call]])+1)</f>
        <v>2024</v>
      </c>
      <c r="I445" s="9" t="str">
        <f>TEXT(Call_Table_Data[[#This Row],[Date of Call]],"DDDD")</f>
        <v>Tuesday</v>
      </c>
      <c r="J445" s="9" t="str" cm="1">
        <f t="array" ref="J445">_xlfn.IFS(Call_Table_Data[[#This Row],[Duration]]&lt;=10,"Under 10 Mins",Call_Table_Data[[#This Row],[Duration]]&lt;=30,"10 to 30 Mins",Call_Table_Data[[#This Row],[Duration]]&lt;=60,"30 to 60 Mins",Call_Table_Data[[#This Row],[Duration]]&lt;=120,"1 to 2 Hours",TRUE,"More Than 2 Hours")</f>
        <v>More Than 2 Hours</v>
      </c>
      <c r="K445" s="9">
        <f>ROUND(Call_Table_Data[[#This Row],[Satisfaction Rating]],0)</f>
        <v>4</v>
      </c>
    </row>
    <row r="446" spans="1:11" x14ac:dyDescent="0.3">
      <c r="A446" s="9" t="s">
        <v>483</v>
      </c>
      <c r="B446" s="9" t="s">
        <v>49</v>
      </c>
      <c r="C446" s="9">
        <v>41</v>
      </c>
      <c r="D446" s="10" t="s">
        <v>46</v>
      </c>
      <c r="E446" s="11">
        <v>45048</v>
      </c>
      <c r="F446" s="9">
        <v>123</v>
      </c>
      <c r="G446" s="9">
        <v>3.2</v>
      </c>
      <c r="H446" s="9">
        <f>IF(MONTH(Call_Table_Data[[#This Row],[Date of Call]])&lt;=3,YEAR(Call_Table_Data[[#This Row],[Date of Call]]),YEAR(Call_Table_Data[[#This Row],[Date of Call]])+1)</f>
        <v>2024</v>
      </c>
      <c r="I446" s="9" t="str">
        <f>TEXT(Call_Table_Data[[#This Row],[Date of Call]],"DDDD")</f>
        <v>Tuesday</v>
      </c>
      <c r="J446" s="9" t="str" cm="1">
        <f t="array" ref="J446">_xlfn.IFS(Call_Table_Data[[#This Row],[Duration]]&lt;=10,"Under 10 Mins",Call_Table_Data[[#This Row],[Duration]]&lt;=30,"10 to 30 Mins",Call_Table_Data[[#This Row],[Duration]]&lt;=60,"30 to 60 Mins",Call_Table_Data[[#This Row],[Duration]]&lt;=120,"1 to 2 Hours",TRUE,"More Than 2 Hours")</f>
        <v>30 to 60 Mins</v>
      </c>
      <c r="K446" s="9">
        <f>ROUND(Call_Table_Data[[#This Row],[Satisfaction Rating]],0)</f>
        <v>3</v>
      </c>
    </row>
    <row r="447" spans="1:11" x14ac:dyDescent="0.3">
      <c r="A447" s="9" t="s">
        <v>484</v>
      </c>
      <c r="B447" s="9" t="s">
        <v>26</v>
      </c>
      <c r="C447" s="9">
        <v>35</v>
      </c>
      <c r="D447" s="10" t="s">
        <v>40</v>
      </c>
      <c r="E447" s="11">
        <v>45049</v>
      </c>
      <c r="F447" s="9">
        <v>215</v>
      </c>
      <c r="G447" s="9">
        <v>4.3</v>
      </c>
      <c r="H447" s="9">
        <f>IF(MONTH(Call_Table_Data[[#This Row],[Date of Call]])&lt;=3,YEAR(Call_Table_Data[[#This Row],[Date of Call]]),YEAR(Call_Table_Data[[#This Row],[Date of Call]])+1)</f>
        <v>2024</v>
      </c>
      <c r="I447" s="9" t="str">
        <f>TEXT(Call_Table_Data[[#This Row],[Date of Call]],"DDDD")</f>
        <v>Wednesday</v>
      </c>
      <c r="J447" s="9" t="str" cm="1">
        <f t="array" ref="J447">_xlfn.IFS(Call_Table_Data[[#This Row],[Duration]]&lt;=10,"Under 10 Mins",Call_Table_Data[[#This Row],[Duration]]&lt;=30,"10 to 30 Mins",Call_Table_Data[[#This Row],[Duration]]&lt;=60,"30 to 60 Mins",Call_Table_Data[[#This Row],[Duration]]&lt;=120,"1 to 2 Hours",TRUE,"More Than 2 Hours")</f>
        <v>30 to 60 Mins</v>
      </c>
      <c r="K447" s="9">
        <f>ROUND(Call_Table_Data[[#This Row],[Satisfaction Rating]],0)</f>
        <v>4</v>
      </c>
    </row>
    <row r="448" spans="1:11" x14ac:dyDescent="0.3">
      <c r="A448" s="9" t="s">
        <v>485</v>
      </c>
      <c r="B448" s="9" t="s">
        <v>16</v>
      </c>
      <c r="C448" s="9">
        <v>96</v>
      </c>
      <c r="D448" s="10" t="s">
        <v>27</v>
      </c>
      <c r="E448" s="11">
        <v>45049</v>
      </c>
      <c r="F448" s="9">
        <v>46</v>
      </c>
      <c r="G448" s="9">
        <v>0.7</v>
      </c>
      <c r="H448" s="9">
        <f>IF(MONTH(Call_Table_Data[[#This Row],[Date of Call]])&lt;=3,YEAR(Call_Table_Data[[#This Row],[Date of Call]]),YEAR(Call_Table_Data[[#This Row],[Date of Call]])+1)</f>
        <v>2024</v>
      </c>
      <c r="I448" s="9" t="str">
        <f>TEXT(Call_Table_Data[[#This Row],[Date of Call]],"DDDD")</f>
        <v>Wednesday</v>
      </c>
      <c r="J448" s="9" t="str" cm="1">
        <f t="array" ref="J448">_xlfn.IFS(Call_Table_Data[[#This Row],[Duration]]&lt;=10,"Under 10 Mins",Call_Table_Data[[#This Row],[Duration]]&lt;=30,"10 to 30 Mins",Call_Table_Data[[#This Row],[Duration]]&lt;=60,"30 to 60 Mins",Call_Table_Data[[#This Row],[Duration]]&lt;=120,"1 to 2 Hours",TRUE,"More Than 2 Hours")</f>
        <v>1 to 2 Hours</v>
      </c>
      <c r="K448" s="9">
        <f>ROUND(Call_Table_Data[[#This Row],[Satisfaction Rating]],0)</f>
        <v>1</v>
      </c>
    </row>
    <row r="449" spans="1:11" x14ac:dyDescent="0.3">
      <c r="A449" s="9" t="s">
        <v>486</v>
      </c>
      <c r="B449" s="9" t="s">
        <v>43</v>
      </c>
      <c r="C449" s="9">
        <v>61</v>
      </c>
      <c r="D449" s="10" t="s">
        <v>46</v>
      </c>
      <c r="E449" s="11">
        <v>45049</v>
      </c>
      <c r="F449" s="9">
        <v>115</v>
      </c>
      <c r="G449" s="9">
        <v>3.7</v>
      </c>
      <c r="H449" s="9">
        <f>IF(MONTH(Call_Table_Data[[#This Row],[Date of Call]])&lt;=3,YEAR(Call_Table_Data[[#This Row],[Date of Call]]),YEAR(Call_Table_Data[[#This Row],[Date of Call]])+1)</f>
        <v>2024</v>
      </c>
      <c r="I449" s="9" t="str">
        <f>TEXT(Call_Table_Data[[#This Row],[Date of Call]],"DDDD")</f>
        <v>Wednesday</v>
      </c>
      <c r="J449" s="9" t="str" cm="1">
        <f t="array" ref="J449">_xlfn.IFS(Call_Table_Data[[#This Row],[Duration]]&lt;=10,"Under 10 Mins",Call_Table_Data[[#This Row],[Duration]]&lt;=30,"10 to 30 Mins",Call_Table_Data[[#This Row],[Duration]]&lt;=60,"30 to 60 Mins",Call_Table_Data[[#This Row],[Duration]]&lt;=120,"1 to 2 Hours",TRUE,"More Than 2 Hours")</f>
        <v>1 to 2 Hours</v>
      </c>
      <c r="K449" s="9">
        <f>ROUND(Call_Table_Data[[#This Row],[Satisfaction Rating]],0)</f>
        <v>4</v>
      </c>
    </row>
    <row r="450" spans="1:11" x14ac:dyDescent="0.3">
      <c r="A450" s="9" t="s">
        <v>487</v>
      </c>
      <c r="B450" s="9" t="s">
        <v>16</v>
      </c>
      <c r="C450" s="9">
        <v>91</v>
      </c>
      <c r="D450" s="10" t="s">
        <v>46</v>
      </c>
      <c r="E450" s="11">
        <v>45049</v>
      </c>
      <c r="F450" s="9">
        <v>124</v>
      </c>
      <c r="G450" s="9">
        <v>3.9</v>
      </c>
      <c r="H450" s="9">
        <f>IF(MONTH(Call_Table_Data[[#This Row],[Date of Call]])&lt;=3,YEAR(Call_Table_Data[[#This Row],[Date of Call]]),YEAR(Call_Table_Data[[#This Row],[Date of Call]])+1)</f>
        <v>2024</v>
      </c>
      <c r="I450" s="9" t="str">
        <f>TEXT(Call_Table_Data[[#This Row],[Date of Call]],"DDDD")</f>
        <v>Wednesday</v>
      </c>
      <c r="J450" s="9" t="str" cm="1">
        <f t="array" ref="J450">_xlfn.IFS(Call_Table_Data[[#This Row],[Duration]]&lt;=10,"Under 10 Mins",Call_Table_Data[[#This Row],[Duration]]&lt;=30,"10 to 30 Mins",Call_Table_Data[[#This Row],[Duration]]&lt;=60,"30 to 60 Mins",Call_Table_Data[[#This Row],[Duration]]&lt;=120,"1 to 2 Hours",TRUE,"More Than 2 Hours")</f>
        <v>1 to 2 Hours</v>
      </c>
      <c r="K450" s="9">
        <f>ROUND(Call_Table_Data[[#This Row],[Satisfaction Rating]],0)</f>
        <v>4</v>
      </c>
    </row>
    <row r="451" spans="1:11" x14ac:dyDescent="0.3">
      <c r="A451" s="9" t="s">
        <v>488</v>
      </c>
      <c r="B451" s="9" t="s">
        <v>18</v>
      </c>
      <c r="C451" s="9">
        <v>30</v>
      </c>
      <c r="D451" s="10" t="s">
        <v>46</v>
      </c>
      <c r="E451" s="11">
        <v>45050</v>
      </c>
      <c r="F451" s="9">
        <v>205</v>
      </c>
      <c r="G451" s="9">
        <v>4.5</v>
      </c>
      <c r="H451" s="9">
        <f>IF(MONTH(Call_Table_Data[[#This Row],[Date of Call]])&lt;=3,YEAR(Call_Table_Data[[#This Row],[Date of Call]]),YEAR(Call_Table_Data[[#This Row],[Date of Call]])+1)</f>
        <v>2024</v>
      </c>
      <c r="I451" s="9" t="str">
        <f>TEXT(Call_Table_Data[[#This Row],[Date of Call]],"DDDD")</f>
        <v>Thursday</v>
      </c>
      <c r="J451" s="9" t="str" cm="1">
        <f t="array" ref="J451">_xlfn.IFS(Call_Table_Data[[#This Row],[Duration]]&lt;=10,"Under 10 Mins",Call_Table_Data[[#This Row],[Duration]]&lt;=30,"10 to 30 Mins",Call_Table_Data[[#This Row],[Duration]]&lt;=60,"30 to 60 Mins",Call_Table_Data[[#This Row],[Duration]]&lt;=120,"1 to 2 Hours",TRUE,"More Than 2 Hours")</f>
        <v>10 to 30 Mins</v>
      </c>
      <c r="K451" s="9">
        <f>ROUND(Call_Table_Data[[#This Row],[Satisfaction Rating]],0)</f>
        <v>5</v>
      </c>
    </row>
    <row r="452" spans="1:11" x14ac:dyDescent="0.3">
      <c r="A452" s="9" t="s">
        <v>489</v>
      </c>
      <c r="B452" s="9" t="s">
        <v>41</v>
      </c>
      <c r="C452" s="9">
        <v>111</v>
      </c>
      <c r="D452" s="10" t="s">
        <v>33</v>
      </c>
      <c r="E452" s="11">
        <v>45050</v>
      </c>
      <c r="F452" s="9">
        <v>90</v>
      </c>
      <c r="G452" s="9">
        <v>2.8</v>
      </c>
      <c r="H452" s="9">
        <f>IF(MONTH(Call_Table_Data[[#This Row],[Date of Call]])&lt;=3,YEAR(Call_Table_Data[[#This Row],[Date of Call]]),YEAR(Call_Table_Data[[#This Row],[Date of Call]])+1)</f>
        <v>2024</v>
      </c>
      <c r="I452" s="9" t="str">
        <f>TEXT(Call_Table_Data[[#This Row],[Date of Call]],"DDDD")</f>
        <v>Thursday</v>
      </c>
      <c r="J452" s="9" t="str" cm="1">
        <f t="array" ref="J452">_xlfn.IFS(Call_Table_Data[[#This Row],[Duration]]&lt;=10,"Under 10 Mins",Call_Table_Data[[#This Row],[Duration]]&lt;=30,"10 to 30 Mins",Call_Table_Data[[#This Row],[Duration]]&lt;=60,"30 to 60 Mins",Call_Table_Data[[#This Row],[Duration]]&lt;=120,"1 to 2 Hours",TRUE,"More Than 2 Hours")</f>
        <v>1 to 2 Hours</v>
      </c>
      <c r="K452" s="9">
        <f>ROUND(Call_Table_Data[[#This Row],[Satisfaction Rating]],0)</f>
        <v>3</v>
      </c>
    </row>
    <row r="453" spans="1:11" x14ac:dyDescent="0.3">
      <c r="A453" s="9" t="s">
        <v>490</v>
      </c>
      <c r="B453" s="9" t="s">
        <v>43</v>
      </c>
      <c r="C453" s="9">
        <v>81</v>
      </c>
      <c r="D453" s="10" t="s">
        <v>27</v>
      </c>
      <c r="E453" s="11">
        <v>45050</v>
      </c>
      <c r="F453" s="9">
        <v>92</v>
      </c>
      <c r="G453" s="9">
        <v>4.9000000000000004</v>
      </c>
      <c r="H453" s="9">
        <f>IF(MONTH(Call_Table_Data[[#This Row],[Date of Call]])&lt;=3,YEAR(Call_Table_Data[[#This Row],[Date of Call]]),YEAR(Call_Table_Data[[#This Row],[Date of Call]])+1)</f>
        <v>2024</v>
      </c>
      <c r="I453" s="9" t="str">
        <f>TEXT(Call_Table_Data[[#This Row],[Date of Call]],"DDDD")</f>
        <v>Thursday</v>
      </c>
      <c r="J453" s="9" t="str" cm="1">
        <f t="array" ref="J453">_xlfn.IFS(Call_Table_Data[[#This Row],[Duration]]&lt;=10,"Under 10 Mins",Call_Table_Data[[#This Row],[Duration]]&lt;=30,"10 to 30 Mins",Call_Table_Data[[#This Row],[Duration]]&lt;=60,"30 to 60 Mins",Call_Table_Data[[#This Row],[Duration]]&lt;=120,"1 to 2 Hours",TRUE,"More Than 2 Hours")</f>
        <v>1 to 2 Hours</v>
      </c>
      <c r="K453" s="9">
        <f>ROUND(Call_Table_Data[[#This Row],[Satisfaction Rating]],0)</f>
        <v>5</v>
      </c>
    </row>
    <row r="454" spans="1:11" x14ac:dyDescent="0.3">
      <c r="A454" s="9" t="s">
        <v>491</v>
      </c>
      <c r="B454" s="9" t="s">
        <v>23</v>
      </c>
      <c r="C454" s="9">
        <v>40</v>
      </c>
      <c r="D454" s="10" t="s">
        <v>40</v>
      </c>
      <c r="E454" s="11">
        <v>45052</v>
      </c>
      <c r="F454" s="9">
        <v>108</v>
      </c>
      <c r="G454" s="9">
        <v>4.2</v>
      </c>
      <c r="H454" s="9">
        <f>IF(MONTH(Call_Table_Data[[#This Row],[Date of Call]])&lt;=3,YEAR(Call_Table_Data[[#This Row],[Date of Call]]),YEAR(Call_Table_Data[[#This Row],[Date of Call]])+1)</f>
        <v>2024</v>
      </c>
      <c r="I454" s="9" t="str">
        <f>TEXT(Call_Table_Data[[#This Row],[Date of Call]],"DDDD")</f>
        <v>Saturday</v>
      </c>
      <c r="J454" s="9" t="str" cm="1">
        <f t="array" ref="J454">_xlfn.IFS(Call_Table_Data[[#This Row],[Duration]]&lt;=10,"Under 10 Mins",Call_Table_Data[[#This Row],[Duration]]&lt;=30,"10 to 30 Mins",Call_Table_Data[[#This Row],[Duration]]&lt;=60,"30 to 60 Mins",Call_Table_Data[[#This Row],[Duration]]&lt;=120,"1 to 2 Hours",TRUE,"More Than 2 Hours")</f>
        <v>30 to 60 Mins</v>
      </c>
      <c r="K454" s="9">
        <f>ROUND(Call_Table_Data[[#This Row],[Satisfaction Rating]],0)</f>
        <v>4</v>
      </c>
    </row>
    <row r="455" spans="1:11" x14ac:dyDescent="0.3">
      <c r="A455" s="9" t="s">
        <v>492</v>
      </c>
      <c r="B455" s="9" t="s">
        <v>41</v>
      </c>
      <c r="C455" s="9">
        <v>143</v>
      </c>
      <c r="D455" s="10" t="s">
        <v>40</v>
      </c>
      <c r="E455" s="11">
        <v>45052</v>
      </c>
      <c r="F455" s="9">
        <v>54</v>
      </c>
      <c r="G455" s="9">
        <v>4.4000000000000004</v>
      </c>
      <c r="H455" s="9">
        <f>IF(MONTH(Call_Table_Data[[#This Row],[Date of Call]])&lt;=3,YEAR(Call_Table_Data[[#This Row],[Date of Call]]),YEAR(Call_Table_Data[[#This Row],[Date of Call]])+1)</f>
        <v>2024</v>
      </c>
      <c r="I455" s="9" t="str">
        <f>TEXT(Call_Table_Data[[#This Row],[Date of Call]],"DDDD")</f>
        <v>Saturday</v>
      </c>
      <c r="J455" s="9" t="str" cm="1">
        <f t="array" ref="J455">_xlfn.IFS(Call_Table_Data[[#This Row],[Duration]]&lt;=10,"Under 10 Mins",Call_Table_Data[[#This Row],[Duration]]&lt;=30,"10 to 30 Mins",Call_Table_Data[[#This Row],[Duration]]&lt;=60,"30 to 60 Mins",Call_Table_Data[[#This Row],[Duration]]&lt;=120,"1 to 2 Hours",TRUE,"More Than 2 Hours")</f>
        <v>More Than 2 Hours</v>
      </c>
      <c r="K455" s="9">
        <f>ROUND(Call_Table_Data[[#This Row],[Satisfaction Rating]],0)</f>
        <v>4</v>
      </c>
    </row>
    <row r="456" spans="1:11" x14ac:dyDescent="0.3">
      <c r="A456" s="9" t="s">
        <v>493</v>
      </c>
      <c r="B456" s="9" t="s">
        <v>23</v>
      </c>
      <c r="C456" s="9">
        <v>70</v>
      </c>
      <c r="D456" s="10" t="s">
        <v>40</v>
      </c>
      <c r="E456" s="11">
        <v>45053</v>
      </c>
      <c r="F456" s="9">
        <v>44</v>
      </c>
      <c r="G456" s="9">
        <v>3.5</v>
      </c>
      <c r="H456" s="9">
        <f>IF(MONTH(Call_Table_Data[[#This Row],[Date of Call]])&lt;=3,YEAR(Call_Table_Data[[#This Row],[Date of Call]]),YEAR(Call_Table_Data[[#This Row],[Date of Call]])+1)</f>
        <v>2024</v>
      </c>
      <c r="I456" s="9" t="str">
        <f>TEXT(Call_Table_Data[[#This Row],[Date of Call]],"DDDD")</f>
        <v>Sunday</v>
      </c>
      <c r="J456" s="9" t="str" cm="1">
        <f t="array" ref="J456">_xlfn.IFS(Call_Table_Data[[#This Row],[Duration]]&lt;=10,"Under 10 Mins",Call_Table_Data[[#This Row],[Duration]]&lt;=30,"10 to 30 Mins",Call_Table_Data[[#This Row],[Duration]]&lt;=60,"30 to 60 Mins",Call_Table_Data[[#This Row],[Duration]]&lt;=120,"1 to 2 Hours",TRUE,"More Than 2 Hours")</f>
        <v>1 to 2 Hours</v>
      </c>
      <c r="K456" s="9">
        <f>ROUND(Call_Table_Data[[#This Row],[Satisfaction Rating]],0)</f>
        <v>4</v>
      </c>
    </row>
    <row r="457" spans="1:11" x14ac:dyDescent="0.3">
      <c r="A457" s="9" t="s">
        <v>494</v>
      </c>
      <c r="B457" s="9" t="s">
        <v>54</v>
      </c>
      <c r="C457" s="9">
        <v>137</v>
      </c>
      <c r="D457" s="10" t="s">
        <v>40</v>
      </c>
      <c r="E457" s="11">
        <v>45053</v>
      </c>
      <c r="F457" s="9">
        <v>44</v>
      </c>
      <c r="G457" s="9">
        <v>4.7</v>
      </c>
      <c r="H457" s="9">
        <f>IF(MONTH(Call_Table_Data[[#This Row],[Date of Call]])&lt;=3,YEAR(Call_Table_Data[[#This Row],[Date of Call]]),YEAR(Call_Table_Data[[#This Row],[Date of Call]])+1)</f>
        <v>2024</v>
      </c>
      <c r="I457" s="9" t="str">
        <f>TEXT(Call_Table_Data[[#This Row],[Date of Call]],"DDDD")</f>
        <v>Sunday</v>
      </c>
      <c r="J457" s="9" t="str" cm="1">
        <f t="array" ref="J457">_xlfn.IFS(Call_Table_Data[[#This Row],[Duration]]&lt;=10,"Under 10 Mins",Call_Table_Data[[#This Row],[Duration]]&lt;=30,"10 to 30 Mins",Call_Table_Data[[#This Row],[Duration]]&lt;=60,"30 to 60 Mins",Call_Table_Data[[#This Row],[Duration]]&lt;=120,"1 to 2 Hours",TRUE,"More Than 2 Hours")</f>
        <v>More Than 2 Hours</v>
      </c>
      <c r="K457" s="9">
        <f>ROUND(Call_Table_Data[[#This Row],[Satisfaction Rating]],0)</f>
        <v>5</v>
      </c>
    </row>
    <row r="458" spans="1:11" x14ac:dyDescent="0.3">
      <c r="A458" s="9" t="s">
        <v>495</v>
      </c>
      <c r="B458" s="9" t="s">
        <v>16</v>
      </c>
      <c r="C458" s="9">
        <v>52</v>
      </c>
      <c r="D458" s="10" t="s">
        <v>27</v>
      </c>
      <c r="E458" s="11">
        <v>45054</v>
      </c>
      <c r="F458" s="9">
        <v>37</v>
      </c>
      <c r="G458" s="9">
        <v>4.9000000000000004</v>
      </c>
      <c r="H458" s="9">
        <f>IF(MONTH(Call_Table_Data[[#This Row],[Date of Call]])&lt;=3,YEAR(Call_Table_Data[[#This Row],[Date of Call]]),YEAR(Call_Table_Data[[#This Row],[Date of Call]])+1)</f>
        <v>2024</v>
      </c>
      <c r="I458" s="9" t="str">
        <f>TEXT(Call_Table_Data[[#This Row],[Date of Call]],"DDDD")</f>
        <v>Monday</v>
      </c>
      <c r="J458" s="9" t="str" cm="1">
        <f t="array" ref="J458">_xlfn.IFS(Call_Table_Data[[#This Row],[Duration]]&lt;=10,"Under 10 Mins",Call_Table_Data[[#This Row],[Duration]]&lt;=30,"10 to 30 Mins",Call_Table_Data[[#This Row],[Duration]]&lt;=60,"30 to 60 Mins",Call_Table_Data[[#This Row],[Duration]]&lt;=120,"1 to 2 Hours",TRUE,"More Than 2 Hours")</f>
        <v>30 to 60 Mins</v>
      </c>
      <c r="K458" s="9">
        <f>ROUND(Call_Table_Data[[#This Row],[Satisfaction Rating]],0)</f>
        <v>5</v>
      </c>
    </row>
    <row r="459" spans="1:11" x14ac:dyDescent="0.3">
      <c r="A459" s="9" t="s">
        <v>496</v>
      </c>
      <c r="B459" s="9" t="s">
        <v>22</v>
      </c>
      <c r="C459" s="9">
        <v>31</v>
      </c>
      <c r="D459" s="10" t="s">
        <v>33</v>
      </c>
      <c r="E459" s="11">
        <v>45054</v>
      </c>
      <c r="F459" s="9">
        <v>180</v>
      </c>
      <c r="G459" s="9">
        <v>4.5</v>
      </c>
      <c r="H459" s="9">
        <f>IF(MONTH(Call_Table_Data[[#This Row],[Date of Call]])&lt;=3,YEAR(Call_Table_Data[[#This Row],[Date of Call]]),YEAR(Call_Table_Data[[#This Row],[Date of Call]])+1)</f>
        <v>2024</v>
      </c>
      <c r="I459" s="9" t="str">
        <f>TEXT(Call_Table_Data[[#This Row],[Date of Call]],"DDDD")</f>
        <v>Monday</v>
      </c>
      <c r="J459" s="9" t="str" cm="1">
        <f t="array" ref="J459">_xlfn.IFS(Call_Table_Data[[#This Row],[Duration]]&lt;=10,"Under 10 Mins",Call_Table_Data[[#This Row],[Duration]]&lt;=30,"10 to 30 Mins",Call_Table_Data[[#This Row],[Duration]]&lt;=60,"30 to 60 Mins",Call_Table_Data[[#This Row],[Duration]]&lt;=120,"1 to 2 Hours",TRUE,"More Than 2 Hours")</f>
        <v>30 to 60 Mins</v>
      </c>
      <c r="K459" s="9">
        <f>ROUND(Call_Table_Data[[#This Row],[Satisfaction Rating]],0)</f>
        <v>5</v>
      </c>
    </row>
    <row r="460" spans="1:11" x14ac:dyDescent="0.3">
      <c r="A460" s="9" t="s">
        <v>497</v>
      </c>
      <c r="B460" s="9" t="s">
        <v>16</v>
      </c>
      <c r="C460" s="9">
        <v>114</v>
      </c>
      <c r="D460" s="10" t="s">
        <v>46</v>
      </c>
      <c r="E460" s="11">
        <v>45054</v>
      </c>
      <c r="F460" s="9">
        <v>105</v>
      </c>
      <c r="G460" s="9">
        <v>4.9000000000000004</v>
      </c>
      <c r="H460" s="9">
        <f>IF(MONTH(Call_Table_Data[[#This Row],[Date of Call]])&lt;=3,YEAR(Call_Table_Data[[#This Row],[Date of Call]]),YEAR(Call_Table_Data[[#This Row],[Date of Call]])+1)</f>
        <v>2024</v>
      </c>
      <c r="I460" s="9" t="str">
        <f>TEXT(Call_Table_Data[[#This Row],[Date of Call]],"DDDD")</f>
        <v>Monday</v>
      </c>
      <c r="J460" s="9" t="str" cm="1">
        <f t="array" ref="J460">_xlfn.IFS(Call_Table_Data[[#This Row],[Duration]]&lt;=10,"Under 10 Mins",Call_Table_Data[[#This Row],[Duration]]&lt;=30,"10 to 30 Mins",Call_Table_Data[[#This Row],[Duration]]&lt;=60,"30 to 60 Mins",Call_Table_Data[[#This Row],[Duration]]&lt;=120,"1 to 2 Hours",TRUE,"More Than 2 Hours")</f>
        <v>1 to 2 Hours</v>
      </c>
      <c r="K460" s="9">
        <f>ROUND(Call_Table_Data[[#This Row],[Satisfaction Rating]],0)</f>
        <v>5</v>
      </c>
    </row>
    <row r="461" spans="1:11" x14ac:dyDescent="0.3">
      <c r="A461" s="9" t="s">
        <v>498</v>
      </c>
      <c r="B461" s="9" t="s">
        <v>54</v>
      </c>
      <c r="C461" s="9">
        <v>73</v>
      </c>
      <c r="D461" s="10" t="s">
        <v>17</v>
      </c>
      <c r="E461" s="11">
        <v>45054</v>
      </c>
      <c r="F461" s="9">
        <v>87</v>
      </c>
      <c r="G461" s="9">
        <v>3.6</v>
      </c>
      <c r="H461" s="9">
        <f>IF(MONTH(Call_Table_Data[[#This Row],[Date of Call]])&lt;=3,YEAR(Call_Table_Data[[#This Row],[Date of Call]]),YEAR(Call_Table_Data[[#This Row],[Date of Call]])+1)</f>
        <v>2024</v>
      </c>
      <c r="I461" s="9" t="str">
        <f>TEXT(Call_Table_Data[[#This Row],[Date of Call]],"DDDD")</f>
        <v>Monday</v>
      </c>
      <c r="J461" s="9" t="str" cm="1">
        <f t="array" ref="J461">_xlfn.IFS(Call_Table_Data[[#This Row],[Duration]]&lt;=10,"Under 10 Mins",Call_Table_Data[[#This Row],[Duration]]&lt;=30,"10 to 30 Mins",Call_Table_Data[[#This Row],[Duration]]&lt;=60,"30 to 60 Mins",Call_Table_Data[[#This Row],[Duration]]&lt;=120,"1 to 2 Hours",TRUE,"More Than 2 Hours")</f>
        <v>1 to 2 Hours</v>
      </c>
      <c r="K461" s="9">
        <f>ROUND(Call_Table_Data[[#This Row],[Satisfaction Rating]],0)</f>
        <v>4</v>
      </c>
    </row>
    <row r="462" spans="1:11" x14ac:dyDescent="0.3">
      <c r="A462" s="9" t="s">
        <v>499</v>
      </c>
      <c r="B462" s="9" t="s">
        <v>43</v>
      </c>
      <c r="C462" s="9">
        <v>25</v>
      </c>
      <c r="D462" s="10" t="s">
        <v>33</v>
      </c>
      <c r="E462" s="11">
        <v>45054</v>
      </c>
      <c r="F462" s="9">
        <v>52</v>
      </c>
      <c r="G462" s="9">
        <v>3.8</v>
      </c>
      <c r="H462" s="9">
        <f>IF(MONTH(Call_Table_Data[[#This Row],[Date of Call]])&lt;=3,YEAR(Call_Table_Data[[#This Row],[Date of Call]]),YEAR(Call_Table_Data[[#This Row],[Date of Call]])+1)</f>
        <v>2024</v>
      </c>
      <c r="I462" s="9" t="str">
        <f>TEXT(Call_Table_Data[[#This Row],[Date of Call]],"DDDD")</f>
        <v>Monday</v>
      </c>
      <c r="J462" s="9" t="str" cm="1">
        <f t="array" ref="J462">_xlfn.IFS(Call_Table_Data[[#This Row],[Duration]]&lt;=10,"Under 10 Mins",Call_Table_Data[[#This Row],[Duration]]&lt;=30,"10 to 30 Mins",Call_Table_Data[[#This Row],[Duration]]&lt;=60,"30 to 60 Mins",Call_Table_Data[[#This Row],[Duration]]&lt;=120,"1 to 2 Hours",TRUE,"More Than 2 Hours")</f>
        <v>10 to 30 Mins</v>
      </c>
      <c r="K462" s="9">
        <f>ROUND(Call_Table_Data[[#This Row],[Satisfaction Rating]],0)</f>
        <v>4</v>
      </c>
    </row>
    <row r="463" spans="1:11" x14ac:dyDescent="0.3">
      <c r="A463" s="9" t="s">
        <v>500</v>
      </c>
      <c r="B463" s="9" t="s">
        <v>32</v>
      </c>
      <c r="C463" s="9">
        <v>44</v>
      </c>
      <c r="D463" s="10" t="s">
        <v>46</v>
      </c>
      <c r="E463" s="11">
        <v>45054</v>
      </c>
      <c r="F463" s="9">
        <v>63</v>
      </c>
      <c r="G463" s="9">
        <v>3.5</v>
      </c>
      <c r="H463" s="9">
        <f>IF(MONTH(Call_Table_Data[[#This Row],[Date of Call]])&lt;=3,YEAR(Call_Table_Data[[#This Row],[Date of Call]]),YEAR(Call_Table_Data[[#This Row],[Date of Call]])+1)</f>
        <v>2024</v>
      </c>
      <c r="I463" s="9" t="str">
        <f>TEXT(Call_Table_Data[[#This Row],[Date of Call]],"DDDD")</f>
        <v>Monday</v>
      </c>
      <c r="J463" s="9" t="str" cm="1">
        <f t="array" ref="J463">_xlfn.IFS(Call_Table_Data[[#This Row],[Duration]]&lt;=10,"Under 10 Mins",Call_Table_Data[[#This Row],[Duration]]&lt;=30,"10 to 30 Mins",Call_Table_Data[[#This Row],[Duration]]&lt;=60,"30 to 60 Mins",Call_Table_Data[[#This Row],[Duration]]&lt;=120,"1 to 2 Hours",TRUE,"More Than 2 Hours")</f>
        <v>30 to 60 Mins</v>
      </c>
      <c r="K463" s="9">
        <f>ROUND(Call_Table_Data[[#This Row],[Satisfaction Rating]],0)</f>
        <v>4</v>
      </c>
    </row>
    <row r="464" spans="1:11" x14ac:dyDescent="0.3">
      <c r="A464" s="9" t="s">
        <v>501</v>
      </c>
      <c r="B464" s="9" t="s">
        <v>35</v>
      </c>
      <c r="C464" s="9">
        <v>34</v>
      </c>
      <c r="D464" s="10" t="s">
        <v>27</v>
      </c>
      <c r="E464" s="11">
        <v>45055</v>
      </c>
      <c r="F464" s="9">
        <v>195</v>
      </c>
      <c r="G464" s="9">
        <v>4.8</v>
      </c>
      <c r="H464" s="9">
        <f>IF(MONTH(Call_Table_Data[[#This Row],[Date of Call]])&lt;=3,YEAR(Call_Table_Data[[#This Row],[Date of Call]]),YEAR(Call_Table_Data[[#This Row],[Date of Call]])+1)</f>
        <v>2024</v>
      </c>
      <c r="I464" s="9" t="str">
        <f>TEXT(Call_Table_Data[[#This Row],[Date of Call]],"DDDD")</f>
        <v>Tuesday</v>
      </c>
      <c r="J464" s="9" t="str" cm="1">
        <f t="array" ref="J464">_xlfn.IFS(Call_Table_Data[[#This Row],[Duration]]&lt;=10,"Under 10 Mins",Call_Table_Data[[#This Row],[Duration]]&lt;=30,"10 to 30 Mins",Call_Table_Data[[#This Row],[Duration]]&lt;=60,"30 to 60 Mins",Call_Table_Data[[#This Row],[Duration]]&lt;=120,"1 to 2 Hours",TRUE,"More Than 2 Hours")</f>
        <v>30 to 60 Mins</v>
      </c>
      <c r="K464" s="9">
        <f>ROUND(Call_Table_Data[[#This Row],[Satisfaction Rating]],0)</f>
        <v>5</v>
      </c>
    </row>
    <row r="465" spans="1:11" x14ac:dyDescent="0.3">
      <c r="A465" s="9" t="s">
        <v>502</v>
      </c>
      <c r="B465" s="9" t="s">
        <v>41</v>
      </c>
      <c r="C465" s="9">
        <v>89</v>
      </c>
      <c r="D465" s="10" t="s">
        <v>40</v>
      </c>
      <c r="E465" s="11">
        <v>45056</v>
      </c>
      <c r="F465" s="9">
        <v>176</v>
      </c>
      <c r="G465" s="9">
        <v>4.5</v>
      </c>
      <c r="H465" s="9">
        <f>IF(MONTH(Call_Table_Data[[#This Row],[Date of Call]])&lt;=3,YEAR(Call_Table_Data[[#This Row],[Date of Call]]),YEAR(Call_Table_Data[[#This Row],[Date of Call]])+1)</f>
        <v>2024</v>
      </c>
      <c r="I465" s="9" t="str">
        <f>TEXT(Call_Table_Data[[#This Row],[Date of Call]],"DDDD")</f>
        <v>Wednesday</v>
      </c>
      <c r="J465" s="9" t="str" cm="1">
        <f t="array" ref="J465">_xlfn.IFS(Call_Table_Data[[#This Row],[Duration]]&lt;=10,"Under 10 Mins",Call_Table_Data[[#This Row],[Duration]]&lt;=30,"10 to 30 Mins",Call_Table_Data[[#This Row],[Duration]]&lt;=60,"30 to 60 Mins",Call_Table_Data[[#This Row],[Duration]]&lt;=120,"1 to 2 Hours",TRUE,"More Than 2 Hours")</f>
        <v>1 to 2 Hours</v>
      </c>
      <c r="K465" s="9">
        <f>ROUND(Call_Table_Data[[#This Row],[Satisfaction Rating]],0)</f>
        <v>5</v>
      </c>
    </row>
    <row r="466" spans="1:11" x14ac:dyDescent="0.3">
      <c r="A466" s="9" t="s">
        <v>503</v>
      </c>
      <c r="B466" s="9" t="s">
        <v>45</v>
      </c>
      <c r="C466" s="9">
        <v>54</v>
      </c>
      <c r="D466" s="10" t="s">
        <v>33</v>
      </c>
      <c r="E466" s="11">
        <v>45057</v>
      </c>
      <c r="F466" s="9">
        <v>31</v>
      </c>
      <c r="G466" s="9">
        <v>3.3</v>
      </c>
      <c r="H466" s="9">
        <f>IF(MONTH(Call_Table_Data[[#This Row],[Date of Call]])&lt;=3,YEAR(Call_Table_Data[[#This Row],[Date of Call]]),YEAR(Call_Table_Data[[#This Row],[Date of Call]])+1)</f>
        <v>2024</v>
      </c>
      <c r="I466" s="9" t="str">
        <f>TEXT(Call_Table_Data[[#This Row],[Date of Call]],"DDDD")</f>
        <v>Thursday</v>
      </c>
      <c r="J466" s="9" t="str" cm="1">
        <f t="array" ref="J466">_xlfn.IFS(Call_Table_Data[[#This Row],[Duration]]&lt;=10,"Under 10 Mins",Call_Table_Data[[#This Row],[Duration]]&lt;=30,"10 to 30 Mins",Call_Table_Data[[#This Row],[Duration]]&lt;=60,"30 to 60 Mins",Call_Table_Data[[#This Row],[Duration]]&lt;=120,"1 to 2 Hours",TRUE,"More Than 2 Hours")</f>
        <v>30 to 60 Mins</v>
      </c>
      <c r="K466" s="9">
        <f>ROUND(Call_Table_Data[[#This Row],[Satisfaction Rating]],0)</f>
        <v>3</v>
      </c>
    </row>
    <row r="467" spans="1:11" x14ac:dyDescent="0.3">
      <c r="A467" s="9" t="s">
        <v>504</v>
      </c>
      <c r="B467" s="9" t="s">
        <v>26</v>
      </c>
      <c r="C467" s="9">
        <v>25</v>
      </c>
      <c r="D467" s="10" t="s">
        <v>33</v>
      </c>
      <c r="E467" s="11">
        <v>45058</v>
      </c>
      <c r="F467" s="9">
        <v>27</v>
      </c>
      <c r="G467" s="9">
        <v>3.2</v>
      </c>
      <c r="H467" s="9">
        <f>IF(MONTH(Call_Table_Data[[#This Row],[Date of Call]])&lt;=3,YEAR(Call_Table_Data[[#This Row],[Date of Call]]),YEAR(Call_Table_Data[[#This Row],[Date of Call]])+1)</f>
        <v>2024</v>
      </c>
      <c r="I467" s="9" t="str">
        <f>TEXT(Call_Table_Data[[#This Row],[Date of Call]],"DDDD")</f>
        <v>Friday</v>
      </c>
      <c r="J467" s="9" t="str" cm="1">
        <f t="array" ref="J467">_xlfn.IFS(Call_Table_Data[[#This Row],[Duration]]&lt;=10,"Under 10 Mins",Call_Table_Data[[#This Row],[Duration]]&lt;=30,"10 to 30 Mins",Call_Table_Data[[#This Row],[Duration]]&lt;=60,"30 to 60 Mins",Call_Table_Data[[#This Row],[Duration]]&lt;=120,"1 to 2 Hours",TRUE,"More Than 2 Hours")</f>
        <v>10 to 30 Mins</v>
      </c>
      <c r="K467" s="9">
        <f>ROUND(Call_Table_Data[[#This Row],[Satisfaction Rating]],0)</f>
        <v>3</v>
      </c>
    </row>
    <row r="468" spans="1:11" x14ac:dyDescent="0.3">
      <c r="A468" s="9" t="s">
        <v>505</v>
      </c>
      <c r="B468" s="9" t="s">
        <v>49</v>
      </c>
      <c r="C468" s="9">
        <v>91</v>
      </c>
      <c r="D468" s="10" t="s">
        <v>40</v>
      </c>
      <c r="E468" s="11">
        <v>45058</v>
      </c>
      <c r="F468" s="9">
        <v>76</v>
      </c>
      <c r="G468" s="9">
        <v>4.9000000000000004</v>
      </c>
      <c r="H468" s="9">
        <f>IF(MONTH(Call_Table_Data[[#This Row],[Date of Call]])&lt;=3,YEAR(Call_Table_Data[[#This Row],[Date of Call]]),YEAR(Call_Table_Data[[#This Row],[Date of Call]])+1)</f>
        <v>2024</v>
      </c>
      <c r="I468" s="9" t="str">
        <f>TEXT(Call_Table_Data[[#This Row],[Date of Call]],"DDDD")</f>
        <v>Friday</v>
      </c>
      <c r="J468" s="9" t="str" cm="1">
        <f t="array" ref="J468">_xlfn.IFS(Call_Table_Data[[#This Row],[Duration]]&lt;=10,"Under 10 Mins",Call_Table_Data[[#This Row],[Duration]]&lt;=30,"10 to 30 Mins",Call_Table_Data[[#This Row],[Duration]]&lt;=60,"30 to 60 Mins",Call_Table_Data[[#This Row],[Duration]]&lt;=120,"1 to 2 Hours",TRUE,"More Than 2 Hours")</f>
        <v>1 to 2 Hours</v>
      </c>
      <c r="K468" s="9">
        <f>ROUND(Call_Table_Data[[#This Row],[Satisfaction Rating]],0)</f>
        <v>5</v>
      </c>
    </row>
    <row r="469" spans="1:11" x14ac:dyDescent="0.3">
      <c r="A469" s="9" t="s">
        <v>506</v>
      </c>
      <c r="B469" s="9" t="s">
        <v>32</v>
      </c>
      <c r="C469" s="9">
        <v>144</v>
      </c>
      <c r="D469" s="10" t="s">
        <v>46</v>
      </c>
      <c r="E469" s="11">
        <v>45058</v>
      </c>
      <c r="F469" s="9">
        <v>62</v>
      </c>
      <c r="G469" s="9">
        <v>4.8</v>
      </c>
      <c r="H469" s="9">
        <f>IF(MONTH(Call_Table_Data[[#This Row],[Date of Call]])&lt;=3,YEAR(Call_Table_Data[[#This Row],[Date of Call]]),YEAR(Call_Table_Data[[#This Row],[Date of Call]])+1)</f>
        <v>2024</v>
      </c>
      <c r="I469" s="9" t="str">
        <f>TEXT(Call_Table_Data[[#This Row],[Date of Call]],"DDDD")</f>
        <v>Friday</v>
      </c>
      <c r="J469" s="9" t="str" cm="1">
        <f t="array" ref="J469">_xlfn.IFS(Call_Table_Data[[#This Row],[Duration]]&lt;=10,"Under 10 Mins",Call_Table_Data[[#This Row],[Duration]]&lt;=30,"10 to 30 Mins",Call_Table_Data[[#This Row],[Duration]]&lt;=60,"30 to 60 Mins",Call_Table_Data[[#This Row],[Duration]]&lt;=120,"1 to 2 Hours",TRUE,"More Than 2 Hours")</f>
        <v>More Than 2 Hours</v>
      </c>
      <c r="K469" s="9">
        <f>ROUND(Call_Table_Data[[#This Row],[Satisfaction Rating]],0)</f>
        <v>5</v>
      </c>
    </row>
    <row r="470" spans="1:11" x14ac:dyDescent="0.3">
      <c r="A470" s="9" t="s">
        <v>507</v>
      </c>
      <c r="B470" s="9" t="s">
        <v>49</v>
      </c>
      <c r="C470" s="9">
        <v>81</v>
      </c>
      <c r="D470" s="10" t="s">
        <v>27</v>
      </c>
      <c r="E470" s="11">
        <v>45060</v>
      </c>
      <c r="F470" s="9">
        <v>100</v>
      </c>
      <c r="G470" s="9">
        <v>1.3</v>
      </c>
      <c r="H470" s="9">
        <f>IF(MONTH(Call_Table_Data[[#This Row],[Date of Call]])&lt;=3,YEAR(Call_Table_Data[[#This Row],[Date of Call]]),YEAR(Call_Table_Data[[#This Row],[Date of Call]])+1)</f>
        <v>2024</v>
      </c>
      <c r="I470" s="9" t="str">
        <f>TEXT(Call_Table_Data[[#This Row],[Date of Call]],"DDDD")</f>
        <v>Sunday</v>
      </c>
      <c r="J470" s="9" t="str" cm="1">
        <f t="array" ref="J470">_xlfn.IFS(Call_Table_Data[[#This Row],[Duration]]&lt;=10,"Under 10 Mins",Call_Table_Data[[#This Row],[Duration]]&lt;=30,"10 to 30 Mins",Call_Table_Data[[#This Row],[Duration]]&lt;=60,"30 to 60 Mins",Call_Table_Data[[#This Row],[Duration]]&lt;=120,"1 to 2 Hours",TRUE,"More Than 2 Hours")</f>
        <v>1 to 2 Hours</v>
      </c>
      <c r="K470" s="9">
        <f>ROUND(Call_Table_Data[[#This Row],[Satisfaction Rating]],0)</f>
        <v>1</v>
      </c>
    </row>
    <row r="471" spans="1:11" x14ac:dyDescent="0.3">
      <c r="A471" s="9" t="s">
        <v>508</v>
      </c>
      <c r="B471" s="9" t="s">
        <v>18</v>
      </c>
      <c r="C471" s="9">
        <v>92</v>
      </c>
      <c r="D471" s="10" t="s">
        <v>33</v>
      </c>
      <c r="E471" s="11">
        <v>45060</v>
      </c>
      <c r="F471" s="9">
        <v>44</v>
      </c>
      <c r="G471" s="9">
        <v>3.1</v>
      </c>
      <c r="H471" s="9">
        <f>IF(MONTH(Call_Table_Data[[#This Row],[Date of Call]])&lt;=3,YEAR(Call_Table_Data[[#This Row],[Date of Call]]),YEAR(Call_Table_Data[[#This Row],[Date of Call]])+1)</f>
        <v>2024</v>
      </c>
      <c r="I471" s="9" t="str">
        <f>TEXT(Call_Table_Data[[#This Row],[Date of Call]],"DDDD")</f>
        <v>Sunday</v>
      </c>
      <c r="J471" s="9" t="str" cm="1">
        <f t="array" ref="J471">_xlfn.IFS(Call_Table_Data[[#This Row],[Duration]]&lt;=10,"Under 10 Mins",Call_Table_Data[[#This Row],[Duration]]&lt;=30,"10 to 30 Mins",Call_Table_Data[[#This Row],[Duration]]&lt;=60,"30 to 60 Mins",Call_Table_Data[[#This Row],[Duration]]&lt;=120,"1 to 2 Hours",TRUE,"More Than 2 Hours")</f>
        <v>1 to 2 Hours</v>
      </c>
      <c r="K471" s="9">
        <f>ROUND(Call_Table_Data[[#This Row],[Satisfaction Rating]],0)</f>
        <v>3</v>
      </c>
    </row>
    <row r="472" spans="1:11" x14ac:dyDescent="0.3">
      <c r="A472" s="9" t="s">
        <v>509</v>
      </c>
      <c r="B472" s="9" t="s">
        <v>26</v>
      </c>
      <c r="C472" s="9">
        <v>115</v>
      </c>
      <c r="D472" s="10" t="s">
        <v>40</v>
      </c>
      <c r="E472" s="11">
        <v>45060</v>
      </c>
      <c r="F472" s="9">
        <v>168</v>
      </c>
      <c r="G472" s="9">
        <v>3.4</v>
      </c>
      <c r="H472" s="9">
        <f>IF(MONTH(Call_Table_Data[[#This Row],[Date of Call]])&lt;=3,YEAR(Call_Table_Data[[#This Row],[Date of Call]]),YEAR(Call_Table_Data[[#This Row],[Date of Call]])+1)</f>
        <v>2024</v>
      </c>
      <c r="I472" s="9" t="str">
        <f>TEXT(Call_Table_Data[[#This Row],[Date of Call]],"DDDD")</f>
        <v>Sunday</v>
      </c>
      <c r="J472" s="9" t="str" cm="1">
        <f t="array" ref="J472">_xlfn.IFS(Call_Table_Data[[#This Row],[Duration]]&lt;=10,"Under 10 Mins",Call_Table_Data[[#This Row],[Duration]]&lt;=30,"10 to 30 Mins",Call_Table_Data[[#This Row],[Duration]]&lt;=60,"30 to 60 Mins",Call_Table_Data[[#This Row],[Duration]]&lt;=120,"1 to 2 Hours",TRUE,"More Than 2 Hours")</f>
        <v>1 to 2 Hours</v>
      </c>
      <c r="K472" s="9">
        <f>ROUND(Call_Table_Data[[#This Row],[Satisfaction Rating]],0)</f>
        <v>3</v>
      </c>
    </row>
    <row r="473" spans="1:11" x14ac:dyDescent="0.3">
      <c r="A473" s="9" t="s">
        <v>510</v>
      </c>
      <c r="B473" s="9" t="s">
        <v>37</v>
      </c>
      <c r="C473" s="9">
        <v>56</v>
      </c>
      <c r="D473" s="10" t="s">
        <v>40</v>
      </c>
      <c r="E473" s="11">
        <v>45061</v>
      </c>
      <c r="F473" s="9">
        <v>200</v>
      </c>
      <c r="G473" s="9">
        <v>4.5999999999999996</v>
      </c>
      <c r="H473" s="9">
        <f>IF(MONTH(Call_Table_Data[[#This Row],[Date of Call]])&lt;=3,YEAR(Call_Table_Data[[#This Row],[Date of Call]]),YEAR(Call_Table_Data[[#This Row],[Date of Call]])+1)</f>
        <v>2024</v>
      </c>
      <c r="I473" s="9" t="str">
        <f>TEXT(Call_Table_Data[[#This Row],[Date of Call]],"DDDD")</f>
        <v>Monday</v>
      </c>
      <c r="J473" s="9" t="str" cm="1">
        <f t="array" ref="J473">_xlfn.IFS(Call_Table_Data[[#This Row],[Duration]]&lt;=10,"Under 10 Mins",Call_Table_Data[[#This Row],[Duration]]&lt;=30,"10 to 30 Mins",Call_Table_Data[[#This Row],[Duration]]&lt;=60,"30 to 60 Mins",Call_Table_Data[[#This Row],[Duration]]&lt;=120,"1 to 2 Hours",TRUE,"More Than 2 Hours")</f>
        <v>30 to 60 Mins</v>
      </c>
      <c r="K473" s="9">
        <f>ROUND(Call_Table_Data[[#This Row],[Satisfaction Rating]],0)</f>
        <v>5</v>
      </c>
    </row>
    <row r="474" spans="1:11" x14ac:dyDescent="0.3">
      <c r="A474" s="9" t="s">
        <v>511</v>
      </c>
      <c r="B474" s="9" t="s">
        <v>22</v>
      </c>
      <c r="C474" s="9">
        <v>154</v>
      </c>
      <c r="D474" s="10" t="s">
        <v>33</v>
      </c>
      <c r="E474" s="11">
        <v>45061</v>
      </c>
      <c r="F474" s="9">
        <v>84</v>
      </c>
      <c r="G474" s="9">
        <v>4.3</v>
      </c>
      <c r="H474" s="9">
        <f>IF(MONTH(Call_Table_Data[[#This Row],[Date of Call]])&lt;=3,YEAR(Call_Table_Data[[#This Row],[Date of Call]]),YEAR(Call_Table_Data[[#This Row],[Date of Call]])+1)</f>
        <v>2024</v>
      </c>
      <c r="I474" s="9" t="str">
        <f>TEXT(Call_Table_Data[[#This Row],[Date of Call]],"DDDD")</f>
        <v>Monday</v>
      </c>
      <c r="J474" s="9" t="str" cm="1">
        <f t="array" ref="J474">_xlfn.IFS(Call_Table_Data[[#This Row],[Duration]]&lt;=10,"Under 10 Mins",Call_Table_Data[[#This Row],[Duration]]&lt;=30,"10 to 30 Mins",Call_Table_Data[[#This Row],[Duration]]&lt;=60,"30 to 60 Mins",Call_Table_Data[[#This Row],[Duration]]&lt;=120,"1 to 2 Hours",TRUE,"More Than 2 Hours")</f>
        <v>More Than 2 Hours</v>
      </c>
      <c r="K474" s="9">
        <f>ROUND(Call_Table_Data[[#This Row],[Satisfaction Rating]],0)</f>
        <v>4</v>
      </c>
    </row>
    <row r="475" spans="1:11" x14ac:dyDescent="0.3">
      <c r="A475" s="9" t="s">
        <v>512</v>
      </c>
      <c r="B475" s="9" t="s">
        <v>41</v>
      </c>
      <c r="C475" s="9">
        <v>51</v>
      </c>
      <c r="D475" s="10" t="s">
        <v>40</v>
      </c>
      <c r="E475" s="11">
        <v>45062</v>
      </c>
      <c r="F475" s="9">
        <v>117</v>
      </c>
      <c r="G475" s="9">
        <v>2.7</v>
      </c>
      <c r="H475" s="9">
        <f>IF(MONTH(Call_Table_Data[[#This Row],[Date of Call]])&lt;=3,YEAR(Call_Table_Data[[#This Row],[Date of Call]]),YEAR(Call_Table_Data[[#This Row],[Date of Call]])+1)</f>
        <v>2024</v>
      </c>
      <c r="I475" s="9" t="str">
        <f>TEXT(Call_Table_Data[[#This Row],[Date of Call]],"DDDD")</f>
        <v>Tuesday</v>
      </c>
      <c r="J475" s="9" t="str" cm="1">
        <f t="array" ref="J475">_xlfn.IFS(Call_Table_Data[[#This Row],[Duration]]&lt;=10,"Under 10 Mins",Call_Table_Data[[#This Row],[Duration]]&lt;=30,"10 to 30 Mins",Call_Table_Data[[#This Row],[Duration]]&lt;=60,"30 to 60 Mins",Call_Table_Data[[#This Row],[Duration]]&lt;=120,"1 to 2 Hours",TRUE,"More Than 2 Hours")</f>
        <v>30 to 60 Mins</v>
      </c>
      <c r="K475" s="9">
        <f>ROUND(Call_Table_Data[[#This Row],[Satisfaction Rating]],0)</f>
        <v>3</v>
      </c>
    </row>
    <row r="476" spans="1:11" x14ac:dyDescent="0.3">
      <c r="A476" s="9" t="s">
        <v>513</v>
      </c>
      <c r="B476" s="9" t="s">
        <v>35</v>
      </c>
      <c r="C476" s="9">
        <v>21</v>
      </c>
      <c r="D476" s="10" t="s">
        <v>27</v>
      </c>
      <c r="E476" s="11">
        <v>45062</v>
      </c>
      <c r="F476" s="9">
        <v>63</v>
      </c>
      <c r="G476" s="9">
        <v>4.2</v>
      </c>
      <c r="H476" s="9">
        <f>IF(MONTH(Call_Table_Data[[#This Row],[Date of Call]])&lt;=3,YEAR(Call_Table_Data[[#This Row],[Date of Call]]),YEAR(Call_Table_Data[[#This Row],[Date of Call]])+1)</f>
        <v>2024</v>
      </c>
      <c r="I476" s="9" t="str">
        <f>TEXT(Call_Table_Data[[#This Row],[Date of Call]],"DDDD")</f>
        <v>Tuesday</v>
      </c>
      <c r="J476" s="9" t="str" cm="1">
        <f t="array" ref="J476">_xlfn.IFS(Call_Table_Data[[#This Row],[Duration]]&lt;=10,"Under 10 Mins",Call_Table_Data[[#This Row],[Duration]]&lt;=30,"10 to 30 Mins",Call_Table_Data[[#This Row],[Duration]]&lt;=60,"30 to 60 Mins",Call_Table_Data[[#This Row],[Duration]]&lt;=120,"1 to 2 Hours",TRUE,"More Than 2 Hours")</f>
        <v>10 to 30 Mins</v>
      </c>
      <c r="K476" s="9">
        <f>ROUND(Call_Table_Data[[#This Row],[Satisfaction Rating]],0)</f>
        <v>4</v>
      </c>
    </row>
    <row r="477" spans="1:11" x14ac:dyDescent="0.3">
      <c r="A477" s="9" t="s">
        <v>514</v>
      </c>
      <c r="B477" s="9" t="s">
        <v>26</v>
      </c>
      <c r="C477" s="9">
        <v>80</v>
      </c>
      <c r="D477" s="10" t="s">
        <v>40</v>
      </c>
      <c r="E477" s="11">
        <v>45063</v>
      </c>
      <c r="F477" s="9">
        <v>145</v>
      </c>
      <c r="G477" s="9">
        <v>4.9000000000000004</v>
      </c>
      <c r="H477" s="9">
        <f>IF(MONTH(Call_Table_Data[[#This Row],[Date of Call]])&lt;=3,YEAR(Call_Table_Data[[#This Row],[Date of Call]]),YEAR(Call_Table_Data[[#This Row],[Date of Call]])+1)</f>
        <v>2024</v>
      </c>
      <c r="I477" s="9" t="str">
        <f>TEXT(Call_Table_Data[[#This Row],[Date of Call]],"DDDD")</f>
        <v>Wednesday</v>
      </c>
      <c r="J477" s="9" t="str" cm="1">
        <f t="array" ref="J477">_xlfn.IFS(Call_Table_Data[[#This Row],[Duration]]&lt;=10,"Under 10 Mins",Call_Table_Data[[#This Row],[Duration]]&lt;=30,"10 to 30 Mins",Call_Table_Data[[#This Row],[Duration]]&lt;=60,"30 to 60 Mins",Call_Table_Data[[#This Row],[Duration]]&lt;=120,"1 to 2 Hours",TRUE,"More Than 2 Hours")</f>
        <v>1 to 2 Hours</v>
      </c>
      <c r="K477" s="9">
        <f>ROUND(Call_Table_Data[[#This Row],[Satisfaction Rating]],0)</f>
        <v>5</v>
      </c>
    </row>
    <row r="478" spans="1:11" x14ac:dyDescent="0.3">
      <c r="A478" s="9" t="s">
        <v>515</v>
      </c>
      <c r="B478" s="9" t="s">
        <v>41</v>
      </c>
      <c r="C478" s="9">
        <v>139</v>
      </c>
      <c r="D478" s="10" t="s">
        <v>33</v>
      </c>
      <c r="E478" s="11">
        <v>45063</v>
      </c>
      <c r="F478" s="9">
        <v>220</v>
      </c>
      <c r="G478" s="9">
        <v>3.2</v>
      </c>
      <c r="H478" s="9">
        <f>IF(MONTH(Call_Table_Data[[#This Row],[Date of Call]])&lt;=3,YEAR(Call_Table_Data[[#This Row],[Date of Call]]),YEAR(Call_Table_Data[[#This Row],[Date of Call]])+1)</f>
        <v>2024</v>
      </c>
      <c r="I478" s="9" t="str">
        <f>TEXT(Call_Table_Data[[#This Row],[Date of Call]],"DDDD")</f>
        <v>Wednesday</v>
      </c>
      <c r="J478" s="9" t="str" cm="1">
        <f t="array" ref="J478">_xlfn.IFS(Call_Table_Data[[#This Row],[Duration]]&lt;=10,"Under 10 Mins",Call_Table_Data[[#This Row],[Duration]]&lt;=30,"10 to 30 Mins",Call_Table_Data[[#This Row],[Duration]]&lt;=60,"30 to 60 Mins",Call_Table_Data[[#This Row],[Duration]]&lt;=120,"1 to 2 Hours",TRUE,"More Than 2 Hours")</f>
        <v>More Than 2 Hours</v>
      </c>
      <c r="K478" s="9">
        <f>ROUND(Call_Table_Data[[#This Row],[Satisfaction Rating]],0)</f>
        <v>3</v>
      </c>
    </row>
    <row r="479" spans="1:11" x14ac:dyDescent="0.3">
      <c r="A479" s="9" t="s">
        <v>516</v>
      </c>
      <c r="B479" s="9" t="s">
        <v>23</v>
      </c>
      <c r="C479" s="9">
        <v>50</v>
      </c>
      <c r="D479" s="10" t="s">
        <v>27</v>
      </c>
      <c r="E479" s="11">
        <v>45063</v>
      </c>
      <c r="F479" s="9">
        <v>26</v>
      </c>
      <c r="G479" s="9">
        <v>4.7</v>
      </c>
      <c r="H479" s="9">
        <f>IF(MONTH(Call_Table_Data[[#This Row],[Date of Call]])&lt;=3,YEAR(Call_Table_Data[[#This Row],[Date of Call]]),YEAR(Call_Table_Data[[#This Row],[Date of Call]])+1)</f>
        <v>2024</v>
      </c>
      <c r="I479" s="9" t="str">
        <f>TEXT(Call_Table_Data[[#This Row],[Date of Call]],"DDDD")</f>
        <v>Wednesday</v>
      </c>
      <c r="J479" s="9" t="str" cm="1">
        <f t="array" ref="J479">_xlfn.IFS(Call_Table_Data[[#This Row],[Duration]]&lt;=10,"Under 10 Mins",Call_Table_Data[[#This Row],[Duration]]&lt;=30,"10 to 30 Mins",Call_Table_Data[[#This Row],[Duration]]&lt;=60,"30 to 60 Mins",Call_Table_Data[[#This Row],[Duration]]&lt;=120,"1 to 2 Hours",TRUE,"More Than 2 Hours")</f>
        <v>30 to 60 Mins</v>
      </c>
      <c r="K479" s="9">
        <f>ROUND(Call_Table_Data[[#This Row],[Satisfaction Rating]],0)</f>
        <v>5</v>
      </c>
    </row>
    <row r="480" spans="1:11" x14ac:dyDescent="0.3">
      <c r="A480" s="9" t="s">
        <v>517</v>
      </c>
      <c r="B480" s="9" t="s">
        <v>26</v>
      </c>
      <c r="C480" s="9">
        <v>88</v>
      </c>
      <c r="D480" s="10" t="s">
        <v>40</v>
      </c>
      <c r="E480" s="11">
        <v>45063</v>
      </c>
      <c r="F480" s="9">
        <v>78</v>
      </c>
      <c r="G480" s="9">
        <v>4.3</v>
      </c>
      <c r="H480" s="9">
        <f>IF(MONTH(Call_Table_Data[[#This Row],[Date of Call]])&lt;=3,YEAR(Call_Table_Data[[#This Row],[Date of Call]]),YEAR(Call_Table_Data[[#This Row],[Date of Call]])+1)</f>
        <v>2024</v>
      </c>
      <c r="I480" s="9" t="str">
        <f>TEXT(Call_Table_Data[[#This Row],[Date of Call]],"DDDD")</f>
        <v>Wednesday</v>
      </c>
      <c r="J480" s="9" t="str" cm="1">
        <f t="array" ref="J480">_xlfn.IFS(Call_Table_Data[[#This Row],[Duration]]&lt;=10,"Under 10 Mins",Call_Table_Data[[#This Row],[Duration]]&lt;=30,"10 to 30 Mins",Call_Table_Data[[#This Row],[Duration]]&lt;=60,"30 to 60 Mins",Call_Table_Data[[#This Row],[Duration]]&lt;=120,"1 to 2 Hours",TRUE,"More Than 2 Hours")</f>
        <v>1 to 2 Hours</v>
      </c>
      <c r="K480" s="9">
        <f>ROUND(Call_Table_Data[[#This Row],[Satisfaction Rating]],0)</f>
        <v>4</v>
      </c>
    </row>
    <row r="481" spans="1:11" x14ac:dyDescent="0.3">
      <c r="A481" s="9" t="s">
        <v>518</v>
      </c>
      <c r="B481" s="9" t="s">
        <v>45</v>
      </c>
      <c r="C481" s="9">
        <v>19</v>
      </c>
      <c r="D481" s="10" t="s">
        <v>46</v>
      </c>
      <c r="E481" s="11">
        <v>45064</v>
      </c>
      <c r="F481" s="9">
        <v>132</v>
      </c>
      <c r="G481" s="9">
        <v>4.3</v>
      </c>
      <c r="H481" s="9">
        <f>IF(MONTH(Call_Table_Data[[#This Row],[Date of Call]])&lt;=3,YEAR(Call_Table_Data[[#This Row],[Date of Call]]),YEAR(Call_Table_Data[[#This Row],[Date of Call]])+1)</f>
        <v>2024</v>
      </c>
      <c r="I481" s="9" t="str">
        <f>TEXT(Call_Table_Data[[#This Row],[Date of Call]],"DDDD")</f>
        <v>Thursday</v>
      </c>
      <c r="J481" s="9" t="str" cm="1">
        <f t="array" ref="J481">_xlfn.IFS(Call_Table_Data[[#This Row],[Duration]]&lt;=10,"Under 10 Mins",Call_Table_Data[[#This Row],[Duration]]&lt;=30,"10 to 30 Mins",Call_Table_Data[[#This Row],[Duration]]&lt;=60,"30 to 60 Mins",Call_Table_Data[[#This Row],[Duration]]&lt;=120,"1 to 2 Hours",TRUE,"More Than 2 Hours")</f>
        <v>10 to 30 Mins</v>
      </c>
      <c r="K481" s="9">
        <f>ROUND(Call_Table_Data[[#This Row],[Satisfaction Rating]],0)</f>
        <v>4</v>
      </c>
    </row>
    <row r="482" spans="1:11" x14ac:dyDescent="0.3">
      <c r="A482" s="9" t="s">
        <v>519</v>
      </c>
      <c r="B482" s="9" t="s">
        <v>43</v>
      </c>
      <c r="C482" s="9">
        <v>104</v>
      </c>
      <c r="D482" s="10" t="s">
        <v>46</v>
      </c>
      <c r="E482" s="11">
        <v>45065</v>
      </c>
      <c r="F482" s="9">
        <v>68</v>
      </c>
      <c r="G482" s="9">
        <v>3.7</v>
      </c>
      <c r="H482" s="9">
        <f>IF(MONTH(Call_Table_Data[[#This Row],[Date of Call]])&lt;=3,YEAR(Call_Table_Data[[#This Row],[Date of Call]]),YEAR(Call_Table_Data[[#This Row],[Date of Call]])+1)</f>
        <v>2024</v>
      </c>
      <c r="I482" s="9" t="str">
        <f>TEXT(Call_Table_Data[[#This Row],[Date of Call]],"DDDD")</f>
        <v>Friday</v>
      </c>
      <c r="J482" s="9" t="str" cm="1">
        <f t="array" ref="J482">_xlfn.IFS(Call_Table_Data[[#This Row],[Duration]]&lt;=10,"Under 10 Mins",Call_Table_Data[[#This Row],[Duration]]&lt;=30,"10 to 30 Mins",Call_Table_Data[[#This Row],[Duration]]&lt;=60,"30 to 60 Mins",Call_Table_Data[[#This Row],[Duration]]&lt;=120,"1 to 2 Hours",TRUE,"More Than 2 Hours")</f>
        <v>1 to 2 Hours</v>
      </c>
      <c r="K482" s="9">
        <f>ROUND(Call_Table_Data[[#This Row],[Satisfaction Rating]],0)</f>
        <v>4</v>
      </c>
    </row>
    <row r="483" spans="1:11" x14ac:dyDescent="0.3">
      <c r="A483" s="9" t="s">
        <v>520</v>
      </c>
      <c r="B483" s="9" t="s">
        <v>22</v>
      </c>
      <c r="C483" s="9">
        <v>67</v>
      </c>
      <c r="D483" s="10" t="s">
        <v>33</v>
      </c>
      <c r="E483" s="11">
        <v>45067</v>
      </c>
      <c r="F483" s="9">
        <v>129</v>
      </c>
      <c r="G483" s="9">
        <v>4.7</v>
      </c>
      <c r="H483" s="9">
        <f>IF(MONTH(Call_Table_Data[[#This Row],[Date of Call]])&lt;=3,YEAR(Call_Table_Data[[#This Row],[Date of Call]]),YEAR(Call_Table_Data[[#This Row],[Date of Call]])+1)</f>
        <v>2024</v>
      </c>
      <c r="I483" s="9" t="str">
        <f>TEXT(Call_Table_Data[[#This Row],[Date of Call]],"DDDD")</f>
        <v>Sunday</v>
      </c>
      <c r="J483" s="9" t="str" cm="1">
        <f t="array" ref="J483">_xlfn.IFS(Call_Table_Data[[#This Row],[Duration]]&lt;=10,"Under 10 Mins",Call_Table_Data[[#This Row],[Duration]]&lt;=30,"10 to 30 Mins",Call_Table_Data[[#This Row],[Duration]]&lt;=60,"30 to 60 Mins",Call_Table_Data[[#This Row],[Duration]]&lt;=120,"1 to 2 Hours",TRUE,"More Than 2 Hours")</f>
        <v>1 to 2 Hours</v>
      </c>
      <c r="K483" s="9">
        <f>ROUND(Call_Table_Data[[#This Row],[Satisfaction Rating]],0)</f>
        <v>5</v>
      </c>
    </row>
    <row r="484" spans="1:11" x14ac:dyDescent="0.3">
      <c r="A484" s="9" t="s">
        <v>521</v>
      </c>
      <c r="B484" s="9" t="s">
        <v>50</v>
      </c>
      <c r="C484" s="9">
        <v>107</v>
      </c>
      <c r="D484" s="10" t="s">
        <v>46</v>
      </c>
      <c r="E484" s="11">
        <v>45067</v>
      </c>
      <c r="F484" s="9">
        <v>115</v>
      </c>
      <c r="G484" s="9">
        <v>4.9000000000000004</v>
      </c>
      <c r="H484" s="9">
        <f>IF(MONTH(Call_Table_Data[[#This Row],[Date of Call]])&lt;=3,YEAR(Call_Table_Data[[#This Row],[Date of Call]]),YEAR(Call_Table_Data[[#This Row],[Date of Call]])+1)</f>
        <v>2024</v>
      </c>
      <c r="I484" s="9" t="str">
        <f>TEXT(Call_Table_Data[[#This Row],[Date of Call]],"DDDD")</f>
        <v>Sunday</v>
      </c>
      <c r="J484" s="9" t="str" cm="1">
        <f t="array" ref="J484">_xlfn.IFS(Call_Table_Data[[#This Row],[Duration]]&lt;=10,"Under 10 Mins",Call_Table_Data[[#This Row],[Duration]]&lt;=30,"10 to 30 Mins",Call_Table_Data[[#This Row],[Duration]]&lt;=60,"30 to 60 Mins",Call_Table_Data[[#This Row],[Duration]]&lt;=120,"1 to 2 Hours",TRUE,"More Than 2 Hours")</f>
        <v>1 to 2 Hours</v>
      </c>
      <c r="K484" s="9">
        <f>ROUND(Call_Table_Data[[#This Row],[Satisfaction Rating]],0)</f>
        <v>5</v>
      </c>
    </row>
    <row r="485" spans="1:11" x14ac:dyDescent="0.3">
      <c r="A485" s="9" t="s">
        <v>522</v>
      </c>
      <c r="B485" s="9" t="s">
        <v>50</v>
      </c>
      <c r="C485" s="9">
        <v>93</v>
      </c>
      <c r="D485" s="10" t="s">
        <v>46</v>
      </c>
      <c r="E485" s="11">
        <v>45067</v>
      </c>
      <c r="F485" s="9">
        <v>128</v>
      </c>
      <c r="G485" s="9">
        <v>3.9</v>
      </c>
      <c r="H485" s="9">
        <f>IF(MONTH(Call_Table_Data[[#This Row],[Date of Call]])&lt;=3,YEAR(Call_Table_Data[[#This Row],[Date of Call]]),YEAR(Call_Table_Data[[#This Row],[Date of Call]])+1)</f>
        <v>2024</v>
      </c>
      <c r="I485" s="9" t="str">
        <f>TEXT(Call_Table_Data[[#This Row],[Date of Call]],"DDDD")</f>
        <v>Sunday</v>
      </c>
      <c r="J485" s="9" t="str" cm="1">
        <f t="array" ref="J485">_xlfn.IFS(Call_Table_Data[[#This Row],[Duration]]&lt;=10,"Under 10 Mins",Call_Table_Data[[#This Row],[Duration]]&lt;=30,"10 to 30 Mins",Call_Table_Data[[#This Row],[Duration]]&lt;=60,"30 to 60 Mins",Call_Table_Data[[#This Row],[Duration]]&lt;=120,"1 to 2 Hours",TRUE,"More Than 2 Hours")</f>
        <v>1 to 2 Hours</v>
      </c>
      <c r="K485" s="9">
        <f>ROUND(Call_Table_Data[[#This Row],[Satisfaction Rating]],0)</f>
        <v>4</v>
      </c>
    </row>
    <row r="486" spans="1:11" x14ac:dyDescent="0.3">
      <c r="A486" s="9" t="s">
        <v>523</v>
      </c>
      <c r="B486" s="9" t="s">
        <v>50</v>
      </c>
      <c r="C486" s="9">
        <v>117</v>
      </c>
      <c r="D486" s="10" t="s">
        <v>33</v>
      </c>
      <c r="E486" s="11">
        <v>45067</v>
      </c>
      <c r="F486" s="9">
        <v>90</v>
      </c>
      <c r="G486" s="9">
        <v>4.5</v>
      </c>
      <c r="H486" s="9">
        <f>IF(MONTH(Call_Table_Data[[#This Row],[Date of Call]])&lt;=3,YEAR(Call_Table_Data[[#This Row],[Date of Call]]),YEAR(Call_Table_Data[[#This Row],[Date of Call]])+1)</f>
        <v>2024</v>
      </c>
      <c r="I486" s="9" t="str">
        <f>TEXT(Call_Table_Data[[#This Row],[Date of Call]],"DDDD")</f>
        <v>Sunday</v>
      </c>
      <c r="J486" s="9" t="str" cm="1">
        <f t="array" ref="J486">_xlfn.IFS(Call_Table_Data[[#This Row],[Duration]]&lt;=10,"Under 10 Mins",Call_Table_Data[[#This Row],[Duration]]&lt;=30,"10 to 30 Mins",Call_Table_Data[[#This Row],[Duration]]&lt;=60,"30 to 60 Mins",Call_Table_Data[[#This Row],[Duration]]&lt;=120,"1 to 2 Hours",TRUE,"More Than 2 Hours")</f>
        <v>1 to 2 Hours</v>
      </c>
      <c r="K486" s="9">
        <f>ROUND(Call_Table_Data[[#This Row],[Satisfaction Rating]],0)</f>
        <v>5</v>
      </c>
    </row>
    <row r="487" spans="1:11" x14ac:dyDescent="0.3">
      <c r="A487" s="9" t="s">
        <v>524</v>
      </c>
      <c r="B487" s="9" t="s">
        <v>23</v>
      </c>
      <c r="C487" s="9">
        <v>76</v>
      </c>
      <c r="D487" s="10" t="s">
        <v>40</v>
      </c>
      <c r="E487" s="11">
        <v>45068</v>
      </c>
      <c r="F487" s="9">
        <v>39</v>
      </c>
      <c r="G487" s="9">
        <v>4.5999999999999996</v>
      </c>
      <c r="H487" s="9">
        <f>IF(MONTH(Call_Table_Data[[#This Row],[Date of Call]])&lt;=3,YEAR(Call_Table_Data[[#This Row],[Date of Call]]),YEAR(Call_Table_Data[[#This Row],[Date of Call]])+1)</f>
        <v>2024</v>
      </c>
      <c r="I487" s="9" t="str">
        <f>TEXT(Call_Table_Data[[#This Row],[Date of Call]],"DDDD")</f>
        <v>Monday</v>
      </c>
      <c r="J487" s="9" t="str" cm="1">
        <f t="array" ref="J487">_xlfn.IFS(Call_Table_Data[[#This Row],[Duration]]&lt;=10,"Under 10 Mins",Call_Table_Data[[#This Row],[Duration]]&lt;=30,"10 to 30 Mins",Call_Table_Data[[#This Row],[Duration]]&lt;=60,"30 to 60 Mins",Call_Table_Data[[#This Row],[Duration]]&lt;=120,"1 to 2 Hours",TRUE,"More Than 2 Hours")</f>
        <v>1 to 2 Hours</v>
      </c>
      <c r="K487" s="9">
        <f>ROUND(Call_Table_Data[[#This Row],[Satisfaction Rating]],0)</f>
        <v>5</v>
      </c>
    </row>
    <row r="488" spans="1:11" x14ac:dyDescent="0.3">
      <c r="A488" s="9" t="s">
        <v>525</v>
      </c>
      <c r="B488" s="9" t="s">
        <v>45</v>
      </c>
      <c r="C488" s="9">
        <v>64</v>
      </c>
      <c r="D488" s="10" t="s">
        <v>46</v>
      </c>
      <c r="E488" s="11">
        <v>45068</v>
      </c>
      <c r="F488" s="9">
        <v>132</v>
      </c>
      <c r="G488" s="9">
        <v>3.3</v>
      </c>
      <c r="H488" s="9">
        <f>IF(MONTH(Call_Table_Data[[#This Row],[Date of Call]])&lt;=3,YEAR(Call_Table_Data[[#This Row],[Date of Call]]),YEAR(Call_Table_Data[[#This Row],[Date of Call]])+1)</f>
        <v>2024</v>
      </c>
      <c r="I488" s="9" t="str">
        <f>TEXT(Call_Table_Data[[#This Row],[Date of Call]],"DDDD")</f>
        <v>Monday</v>
      </c>
      <c r="J488" s="9" t="str" cm="1">
        <f t="array" ref="J488">_xlfn.IFS(Call_Table_Data[[#This Row],[Duration]]&lt;=10,"Under 10 Mins",Call_Table_Data[[#This Row],[Duration]]&lt;=30,"10 to 30 Mins",Call_Table_Data[[#This Row],[Duration]]&lt;=60,"30 to 60 Mins",Call_Table_Data[[#This Row],[Duration]]&lt;=120,"1 to 2 Hours",TRUE,"More Than 2 Hours")</f>
        <v>1 to 2 Hours</v>
      </c>
      <c r="K488" s="9">
        <f>ROUND(Call_Table_Data[[#This Row],[Satisfaction Rating]],0)</f>
        <v>3</v>
      </c>
    </row>
    <row r="489" spans="1:11" x14ac:dyDescent="0.3">
      <c r="A489" s="9" t="s">
        <v>526</v>
      </c>
      <c r="B489" s="9" t="s">
        <v>32</v>
      </c>
      <c r="C489" s="9">
        <v>33</v>
      </c>
      <c r="D489" s="10" t="s">
        <v>46</v>
      </c>
      <c r="E489" s="11">
        <v>45068</v>
      </c>
      <c r="F489" s="9">
        <v>170</v>
      </c>
      <c r="G489" s="9">
        <v>3.8</v>
      </c>
      <c r="H489" s="9">
        <f>IF(MONTH(Call_Table_Data[[#This Row],[Date of Call]])&lt;=3,YEAR(Call_Table_Data[[#This Row],[Date of Call]]),YEAR(Call_Table_Data[[#This Row],[Date of Call]])+1)</f>
        <v>2024</v>
      </c>
      <c r="I489" s="9" t="str">
        <f>TEXT(Call_Table_Data[[#This Row],[Date of Call]],"DDDD")</f>
        <v>Monday</v>
      </c>
      <c r="J489" s="9" t="str" cm="1">
        <f t="array" ref="J489">_xlfn.IFS(Call_Table_Data[[#This Row],[Duration]]&lt;=10,"Under 10 Mins",Call_Table_Data[[#This Row],[Duration]]&lt;=30,"10 to 30 Mins",Call_Table_Data[[#This Row],[Duration]]&lt;=60,"30 to 60 Mins",Call_Table_Data[[#This Row],[Duration]]&lt;=120,"1 to 2 Hours",TRUE,"More Than 2 Hours")</f>
        <v>30 to 60 Mins</v>
      </c>
      <c r="K489" s="9">
        <f>ROUND(Call_Table_Data[[#This Row],[Satisfaction Rating]],0)</f>
        <v>4</v>
      </c>
    </row>
    <row r="490" spans="1:11" x14ac:dyDescent="0.3">
      <c r="A490" s="9" t="s">
        <v>527</v>
      </c>
      <c r="B490" s="9" t="s">
        <v>50</v>
      </c>
      <c r="C490" s="9">
        <v>115</v>
      </c>
      <c r="D490" s="10" t="s">
        <v>33</v>
      </c>
      <c r="E490" s="11">
        <v>45068</v>
      </c>
      <c r="F490" s="9">
        <v>42</v>
      </c>
      <c r="G490" s="9">
        <v>4.7</v>
      </c>
      <c r="H490" s="9">
        <f>IF(MONTH(Call_Table_Data[[#This Row],[Date of Call]])&lt;=3,YEAR(Call_Table_Data[[#This Row],[Date of Call]]),YEAR(Call_Table_Data[[#This Row],[Date of Call]])+1)</f>
        <v>2024</v>
      </c>
      <c r="I490" s="9" t="str">
        <f>TEXT(Call_Table_Data[[#This Row],[Date of Call]],"DDDD")</f>
        <v>Monday</v>
      </c>
      <c r="J490" s="9" t="str" cm="1">
        <f t="array" ref="J490">_xlfn.IFS(Call_Table_Data[[#This Row],[Duration]]&lt;=10,"Under 10 Mins",Call_Table_Data[[#This Row],[Duration]]&lt;=30,"10 to 30 Mins",Call_Table_Data[[#This Row],[Duration]]&lt;=60,"30 to 60 Mins",Call_Table_Data[[#This Row],[Duration]]&lt;=120,"1 to 2 Hours",TRUE,"More Than 2 Hours")</f>
        <v>1 to 2 Hours</v>
      </c>
      <c r="K490" s="9">
        <f>ROUND(Call_Table_Data[[#This Row],[Satisfaction Rating]],0)</f>
        <v>5</v>
      </c>
    </row>
    <row r="491" spans="1:11" x14ac:dyDescent="0.3">
      <c r="A491" s="9" t="s">
        <v>528</v>
      </c>
      <c r="B491" s="9" t="s">
        <v>30</v>
      </c>
      <c r="C491" s="9">
        <v>155</v>
      </c>
      <c r="D491" s="10" t="s">
        <v>40</v>
      </c>
      <c r="E491" s="11">
        <v>45069</v>
      </c>
      <c r="F491" s="9">
        <v>37</v>
      </c>
      <c r="G491" s="9">
        <v>4</v>
      </c>
      <c r="H491" s="9">
        <f>IF(MONTH(Call_Table_Data[[#This Row],[Date of Call]])&lt;=3,YEAR(Call_Table_Data[[#This Row],[Date of Call]]),YEAR(Call_Table_Data[[#This Row],[Date of Call]])+1)</f>
        <v>2024</v>
      </c>
      <c r="I491" s="9" t="str">
        <f>TEXT(Call_Table_Data[[#This Row],[Date of Call]],"DDDD")</f>
        <v>Tuesday</v>
      </c>
      <c r="J491" s="9" t="str" cm="1">
        <f t="array" ref="J491">_xlfn.IFS(Call_Table_Data[[#This Row],[Duration]]&lt;=10,"Under 10 Mins",Call_Table_Data[[#This Row],[Duration]]&lt;=30,"10 to 30 Mins",Call_Table_Data[[#This Row],[Duration]]&lt;=60,"30 to 60 Mins",Call_Table_Data[[#This Row],[Duration]]&lt;=120,"1 to 2 Hours",TRUE,"More Than 2 Hours")</f>
        <v>More Than 2 Hours</v>
      </c>
      <c r="K491" s="9">
        <f>ROUND(Call_Table_Data[[#This Row],[Satisfaction Rating]],0)</f>
        <v>4</v>
      </c>
    </row>
    <row r="492" spans="1:11" x14ac:dyDescent="0.3">
      <c r="A492" s="9" t="s">
        <v>529</v>
      </c>
      <c r="B492" s="9" t="s">
        <v>22</v>
      </c>
      <c r="C492" s="9">
        <v>117</v>
      </c>
      <c r="D492" s="10" t="s">
        <v>40</v>
      </c>
      <c r="E492" s="11">
        <v>45069</v>
      </c>
      <c r="F492" s="9">
        <v>88</v>
      </c>
      <c r="G492" s="9">
        <v>4.7</v>
      </c>
      <c r="H492" s="9">
        <f>IF(MONTH(Call_Table_Data[[#This Row],[Date of Call]])&lt;=3,YEAR(Call_Table_Data[[#This Row],[Date of Call]]),YEAR(Call_Table_Data[[#This Row],[Date of Call]])+1)</f>
        <v>2024</v>
      </c>
      <c r="I492" s="9" t="str">
        <f>TEXT(Call_Table_Data[[#This Row],[Date of Call]],"DDDD")</f>
        <v>Tuesday</v>
      </c>
      <c r="J492" s="9" t="str" cm="1">
        <f t="array" ref="J492">_xlfn.IFS(Call_Table_Data[[#This Row],[Duration]]&lt;=10,"Under 10 Mins",Call_Table_Data[[#This Row],[Duration]]&lt;=30,"10 to 30 Mins",Call_Table_Data[[#This Row],[Duration]]&lt;=60,"30 to 60 Mins",Call_Table_Data[[#This Row],[Duration]]&lt;=120,"1 to 2 Hours",TRUE,"More Than 2 Hours")</f>
        <v>1 to 2 Hours</v>
      </c>
      <c r="K492" s="9">
        <f>ROUND(Call_Table_Data[[#This Row],[Satisfaction Rating]],0)</f>
        <v>5</v>
      </c>
    </row>
    <row r="493" spans="1:11" x14ac:dyDescent="0.3">
      <c r="A493" s="9" t="s">
        <v>530</v>
      </c>
      <c r="B493" s="9" t="s">
        <v>41</v>
      </c>
      <c r="C493" s="9">
        <v>63</v>
      </c>
      <c r="D493" s="10" t="s">
        <v>40</v>
      </c>
      <c r="E493" s="11">
        <v>45069</v>
      </c>
      <c r="F493" s="9">
        <v>80</v>
      </c>
      <c r="G493" s="9">
        <v>2.5</v>
      </c>
      <c r="H493" s="9">
        <f>IF(MONTH(Call_Table_Data[[#This Row],[Date of Call]])&lt;=3,YEAR(Call_Table_Data[[#This Row],[Date of Call]]),YEAR(Call_Table_Data[[#This Row],[Date of Call]])+1)</f>
        <v>2024</v>
      </c>
      <c r="I493" s="9" t="str">
        <f>TEXT(Call_Table_Data[[#This Row],[Date of Call]],"DDDD")</f>
        <v>Tuesday</v>
      </c>
      <c r="J493" s="9" t="str" cm="1">
        <f t="array" ref="J493">_xlfn.IFS(Call_Table_Data[[#This Row],[Duration]]&lt;=10,"Under 10 Mins",Call_Table_Data[[#This Row],[Duration]]&lt;=30,"10 to 30 Mins",Call_Table_Data[[#This Row],[Duration]]&lt;=60,"30 to 60 Mins",Call_Table_Data[[#This Row],[Duration]]&lt;=120,"1 to 2 Hours",TRUE,"More Than 2 Hours")</f>
        <v>1 to 2 Hours</v>
      </c>
      <c r="K493" s="9">
        <f>ROUND(Call_Table_Data[[#This Row],[Satisfaction Rating]],0)</f>
        <v>3</v>
      </c>
    </row>
    <row r="494" spans="1:11" x14ac:dyDescent="0.3">
      <c r="A494" s="9" t="s">
        <v>531</v>
      </c>
      <c r="B494" s="9" t="s">
        <v>45</v>
      </c>
      <c r="C494" s="9">
        <v>59</v>
      </c>
      <c r="D494" s="10" t="s">
        <v>17</v>
      </c>
      <c r="E494" s="11">
        <v>45070</v>
      </c>
      <c r="F494" s="9">
        <v>123</v>
      </c>
      <c r="G494" s="9">
        <v>3.6</v>
      </c>
      <c r="H494" s="9">
        <f>IF(MONTH(Call_Table_Data[[#This Row],[Date of Call]])&lt;=3,YEAR(Call_Table_Data[[#This Row],[Date of Call]]),YEAR(Call_Table_Data[[#This Row],[Date of Call]])+1)</f>
        <v>2024</v>
      </c>
      <c r="I494" s="9" t="str">
        <f>TEXT(Call_Table_Data[[#This Row],[Date of Call]],"DDDD")</f>
        <v>Wednesday</v>
      </c>
      <c r="J494" s="9" t="str" cm="1">
        <f t="array" ref="J494">_xlfn.IFS(Call_Table_Data[[#This Row],[Duration]]&lt;=10,"Under 10 Mins",Call_Table_Data[[#This Row],[Duration]]&lt;=30,"10 to 30 Mins",Call_Table_Data[[#This Row],[Duration]]&lt;=60,"30 to 60 Mins",Call_Table_Data[[#This Row],[Duration]]&lt;=120,"1 to 2 Hours",TRUE,"More Than 2 Hours")</f>
        <v>30 to 60 Mins</v>
      </c>
      <c r="K494" s="9">
        <f>ROUND(Call_Table_Data[[#This Row],[Satisfaction Rating]],0)</f>
        <v>4</v>
      </c>
    </row>
    <row r="495" spans="1:11" x14ac:dyDescent="0.3">
      <c r="A495" s="9" t="s">
        <v>532</v>
      </c>
      <c r="B495" s="9" t="s">
        <v>35</v>
      </c>
      <c r="C495" s="9">
        <v>133</v>
      </c>
      <c r="D495" s="10" t="s">
        <v>46</v>
      </c>
      <c r="E495" s="11">
        <v>45070</v>
      </c>
      <c r="F495" s="9">
        <v>31</v>
      </c>
      <c r="G495" s="9">
        <v>3.7</v>
      </c>
      <c r="H495" s="9">
        <f>IF(MONTH(Call_Table_Data[[#This Row],[Date of Call]])&lt;=3,YEAR(Call_Table_Data[[#This Row],[Date of Call]]),YEAR(Call_Table_Data[[#This Row],[Date of Call]])+1)</f>
        <v>2024</v>
      </c>
      <c r="I495" s="9" t="str">
        <f>TEXT(Call_Table_Data[[#This Row],[Date of Call]],"DDDD")</f>
        <v>Wednesday</v>
      </c>
      <c r="J495" s="9" t="str" cm="1">
        <f t="array" ref="J495">_xlfn.IFS(Call_Table_Data[[#This Row],[Duration]]&lt;=10,"Under 10 Mins",Call_Table_Data[[#This Row],[Duration]]&lt;=30,"10 to 30 Mins",Call_Table_Data[[#This Row],[Duration]]&lt;=60,"30 to 60 Mins",Call_Table_Data[[#This Row],[Duration]]&lt;=120,"1 to 2 Hours",TRUE,"More Than 2 Hours")</f>
        <v>More Than 2 Hours</v>
      </c>
      <c r="K495" s="9">
        <f>ROUND(Call_Table_Data[[#This Row],[Satisfaction Rating]],0)</f>
        <v>4</v>
      </c>
    </row>
    <row r="496" spans="1:11" x14ac:dyDescent="0.3">
      <c r="A496" s="9" t="s">
        <v>533</v>
      </c>
      <c r="B496" s="9" t="s">
        <v>18</v>
      </c>
      <c r="C496" s="9">
        <v>101</v>
      </c>
      <c r="D496" s="10" t="s">
        <v>27</v>
      </c>
      <c r="E496" s="11">
        <v>45070</v>
      </c>
      <c r="F496" s="9">
        <v>205</v>
      </c>
      <c r="G496" s="9">
        <v>3.9</v>
      </c>
      <c r="H496" s="9">
        <f>IF(MONTH(Call_Table_Data[[#This Row],[Date of Call]])&lt;=3,YEAR(Call_Table_Data[[#This Row],[Date of Call]]),YEAR(Call_Table_Data[[#This Row],[Date of Call]])+1)</f>
        <v>2024</v>
      </c>
      <c r="I496" s="9" t="str">
        <f>TEXT(Call_Table_Data[[#This Row],[Date of Call]],"DDDD")</f>
        <v>Wednesday</v>
      </c>
      <c r="J496" s="9" t="str" cm="1">
        <f t="array" ref="J496">_xlfn.IFS(Call_Table_Data[[#This Row],[Duration]]&lt;=10,"Under 10 Mins",Call_Table_Data[[#This Row],[Duration]]&lt;=30,"10 to 30 Mins",Call_Table_Data[[#This Row],[Duration]]&lt;=60,"30 to 60 Mins",Call_Table_Data[[#This Row],[Duration]]&lt;=120,"1 to 2 Hours",TRUE,"More Than 2 Hours")</f>
        <v>1 to 2 Hours</v>
      </c>
      <c r="K496" s="9">
        <f>ROUND(Call_Table_Data[[#This Row],[Satisfaction Rating]],0)</f>
        <v>4</v>
      </c>
    </row>
    <row r="497" spans="1:11" x14ac:dyDescent="0.3">
      <c r="A497" s="9" t="s">
        <v>534</v>
      </c>
      <c r="B497" s="9" t="s">
        <v>49</v>
      </c>
      <c r="C497" s="9">
        <v>151</v>
      </c>
      <c r="D497" s="10" t="s">
        <v>40</v>
      </c>
      <c r="E497" s="11">
        <v>45071</v>
      </c>
      <c r="F497" s="9">
        <v>123</v>
      </c>
      <c r="G497" s="9">
        <v>3.7</v>
      </c>
      <c r="H497" s="9">
        <f>IF(MONTH(Call_Table_Data[[#This Row],[Date of Call]])&lt;=3,YEAR(Call_Table_Data[[#This Row],[Date of Call]]),YEAR(Call_Table_Data[[#This Row],[Date of Call]])+1)</f>
        <v>2024</v>
      </c>
      <c r="I497" s="9" t="str">
        <f>TEXT(Call_Table_Data[[#This Row],[Date of Call]],"DDDD")</f>
        <v>Thursday</v>
      </c>
      <c r="J497" s="9" t="str" cm="1">
        <f t="array" ref="J497">_xlfn.IFS(Call_Table_Data[[#This Row],[Duration]]&lt;=10,"Under 10 Mins",Call_Table_Data[[#This Row],[Duration]]&lt;=30,"10 to 30 Mins",Call_Table_Data[[#This Row],[Duration]]&lt;=60,"30 to 60 Mins",Call_Table_Data[[#This Row],[Duration]]&lt;=120,"1 to 2 Hours",TRUE,"More Than 2 Hours")</f>
        <v>More Than 2 Hours</v>
      </c>
      <c r="K497" s="9">
        <f>ROUND(Call_Table_Data[[#This Row],[Satisfaction Rating]],0)</f>
        <v>4</v>
      </c>
    </row>
    <row r="498" spans="1:11" x14ac:dyDescent="0.3">
      <c r="A498" s="9" t="s">
        <v>535</v>
      </c>
      <c r="B498" s="9" t="s">
        <v>32</v>
      </c>
      <c r="C498" s="9">
        <v>146</v>
      </c>
      <c r="D498" s="10" t="s">
        <v>46</v>
      </c>
      <c r="E498" s="11">
        <v>45071</v>
      </c>
      <c r="F498" s="9">
        <v>123</v>
      </c>
      <c r="G498" s="9">
        <v>4.3</v>
      </c>
      <c r="H498" s="9">
        <f>IF(MONTH(Call_Table_Data[[#This Row],[Date of Call]])&lt;=3,YEAR(Call_Table_Data[[#This Row],[Date of Call]]),YEAR(Call_Table_Data[[#This Row],[Date of Call]])+1)</f>
        <v>2024</v>
      </c>
      <c r="I498" s="9" t="str">
        <f>TEXT(Call_Table_Data[[#This Row],[Date of Call]],"DDDD")</f>
        <v>Thursday</v>
      </c>
      <c r="J498" s="9" t="str" cm="1">
        <f t="array" ref="J498">_xlfn.IFS(Call_Table_Data[[#This Row],[Duration]]&lt;=10,"Under 10 Mins",Call_Table_Data[[#This Row],[Duration]]&lt;=30,"10 to 30 Mins",Call_Table_Data[[#This Row],[Duration]]&lt;=60,"30 to 60 Mins",Call_Table_Data[[#This Row],[Duration]]&lt;=120,"1 to 2 Hours",TRUE,"More Than 2 Hours")</f>
        <v>More Than 2 Hours</v>
      </c>
      <c r="K498" s="9">
        <f>ROUND(Call_Table_Data[[#This Row],[Satisfaction Rating]],0)</f>
        <v>4</v>
      </c>
    </row>
    <row r="499" spans="1:11" x14ac:dyDescent="0.3">
      <c r="A499" s="9" t="s">
        <v>536</v>
      </c>
      <c r="B499" s="9" t="s">
        <v>41</v>
      </c>
      <c r="C499" s="9">
        <v>148</v>
      </c>
      <c r="D499" s="10" t="s">
        <v>46</v>
      </c>
      <c r="E499" s="11">
        <v>45071</v>
      </c>
      <c r="F499" s="9">
        <v>36</v>
      </c>
      <c r="G499" s="9">
        <v>2.9</v>
      </c>
      <c r="H499" s="9">
        <f>IF(MONTH(Call_Table_Data[[#This Row],[Date of Call]])&lt;=3,YEAR(Call_Table_Data[[#This Row],[Date of Call]]),YEAR(Call_Table_Data[[#This Row],[Date of Call]])+1)</f>
        <v>2024</v>
      </c>
      <c r="I499" s="9" t="str">
        <f>TEXT(Call_Table_Data[[#This Row],[Date of Call]],"DDDD")</f>
        <v>Thursday</v>
      </c>
      <c r="J499" s="9" t="str" cm="1">
        <f t="array" ref="J499">_xlfn.IFS(Call_Table_Data[[#This Row],[Duration]]&lt;=10,"Under 10 Mins",Call_Table_Data[[#This Row],[Duration]]&lt;=30,"10 to 30 Mins",Call_Table_Data[[#This Row],[Duration]]&lt;=60,"30 to 60 Mins",Call_Table_Data[[#This Row],[Duration]]&lt;=120,"1 to 2 Hours",TRUE,"More Than 2 Hours")</f>
        <v>More Than 2 Hours</v>
      </c>
      <c r="K499" s="9">
        <f>ROUND(Call_Table_Data[[#This Row],[Satisfaction Rating]],0)</f>
        <v>3</v>
      </c>
    </row>
    <row r="500" spans="1:11" x14ac:dyDescent="0.3">
      <c r="A500" s="9" t="s">
        <v>537</v>
      </c>
      <c r="B500" s="9" t="s">
        <v>49</v>
      </c>
      <c r="C500" s="9">
        <v>81</v>
      </c>
      <c r="D500" s="10" t="s">
        <v>46</v>
      </c>
      <c r="E500" s="11">
        <v>45071</v>
      </c>
      <c r="F500" s="9">
        <v>116</v>
      </c>
      <c r="G500" s="9">
        <v>4.3</v>
      </c>
      <c r="H500" s="9">
        <f>IF(MONTH(Call_Table_Data[[#This Row],[Date of Call]])&lt;=3,YEAR(Call_Table_Data[[#This Row],[Date of Call]]),YEAR(Call_Table_Data[[#This Row],[Date of Call]])+1)</f>
        <v>2024</v>
      </c>
      <c r="I500" s="9" t="str">
        <f>TEXT(Call_Table_Data[[#This Row],[Date of Call]],"DDDD")</f>
        <v>Thursday</v>
      </c>
      <c r="J500" s="9" t="str" cm="1">
        <f t="array" ref="J500">_xlfn.IFS(Call_Table_Data[[#This Row],[Duration]]&lt;=10,"Under 10 Mins",Call_Table_Data[[#This Row],[Duration]]&lt;=30,"10 to 30 Mins",Call_Table_Data[[#This Row],[Duration]]&lt;=60,"30 to 60 Mins",Call_Table_Data[[#This Row],[Duration]]&lt;=120,"1 to 2 Hours",TRUE,"More Than 2 Hours")</f>
        <v>1 to 2 Hours</v>
      </c>
      <c r="K500" s="9">
        <f>ROUND(Call_Table_Data[[#This Row],[Satisfaction Rating]],0)</f>
        <v>4</v>
      </c>
    </row>
    <row r="501" spans="1:11" x14ac:dyDescent="0.3">
      <c r="A501" s="9" t="s">
        <v>538</v>
      </c>
      <c r="B501" s="9" t="s">
        <v>43</v>
      </c>
      <c r="C501" s="9">
        <v>115</v>
      </c>
      <c r="D501" s="10" t="s">
        <v>46</v>
      </c>
      <c r="E501" s="11">
        <v>45071</v>
      </c>
      <c r="F501" s="9">
        <v>40</v>
      </c>
      <c r="G501" s="9">
        <v>4.9000000000000004</v>
      </c>
      <c r="H501" s="9">
        <f>IF(MONTH(Call_Table_Data[[#This Row],[Date of Call]])&lt;=3,YEAR(Call_Table_Data[[#This Row],[Date of Call]]),YEAR(Call_Table_Data[[#This Row],[Date of Call]])+1)</f>
        <v>2024</v>
      </c>
      <c r="I501" s="9" t="str">
        <f>TEXT(Call_Table_Data[[#This Row],[Date of Call]],"DDDD")</f>
        <v>Thursday</v>
      </c>
      <c r="J501" s="9" t="str" cm="1">
        <f t="array" ref="J501">_xlfn.IFS(Call_Table_Data[[#This Row],[Duration]]&lt;=10,"Under 10 Mins",Call_Table_Data[[#This Row],[Duration]]&lt;=30,"10 to 30 Mins",Call_Table_Data[[#This Row],[Duration]]&lt;=60,"30 to 60 Mins",Call_Table_Data[[#This Row],[Duration]]&lt;=120,"1 to 2 Hours",TRUE,"More Than 2 Hours")</f>
        <v>1 to 2 Hours</v>
      </c>
      <c r="K501" s="9">
        <f>ROUND(Call_Table_Data[[#This Row],[Satisfaction Rating]],0)</f>
        <v>5</v>
      </c>
    </row>
    <row r="502" spans="1:11" x14ac:dyDescent="0.3">
      <c r="A502" s="9" t="s">
        <v>539</v>
      </c>
      <c r="B502" s="9" t="s">
        <v>43</v>
      </c>
      <c r="C502" s="9">
        <v>117</v>
      </c>
      <c r="D502" s="10" t="s">
        <v>40</v>
      </c>
      <c r="E502" s="11">
        <v>45071</v>
      </c>
      <c r="F502" s="9">
        <v>40</v>
      </c>
      <c r="G502" s="9">
        <v>4</v>
      </c>
      <c r="H502" s="9">
        <f>IF(MONTH(Call_Table_Data[[#This Row],[Date of Call]])&lt;=3,YEAR(Call_Table_Data[[#This Row],[Date of Call]]),YEAR(Call_Table_Data[[#This Row],[Date of Call]])+1)</f>
        <v>2024</v>
      </c>
      <c r="I502" s="9" t="str">
        <f>TEXT(Call_Table_Data[[#This Row],[Date of Call]],"DDDD")</f>
        <v>Thursday</v>
      </c>
      <c r="J502" s="9" t="str" cm="1">
        <f t="array" ref="J502">_xlfn.IFS(Call_Table_Data[[#This Row],[Duration]]&lt;=10,"Under 10 Mins",Call_Table_Data[[#This Row],[Duration]]&lt;=30,"10 to 30 Mins",Call_Table_Data[[#This Row],[Duration]]&lt;=60,"30 to 60 Mins",Call_Table_Data[[#This Row],[Duration]]&lt;=120,"1 to 2 Hours",TRUE,"More Than 2 Hours")</f>
        <v>1 to 2 Hours</v>
      </c>
      <c r="K502" s="9">
        <f>ROUND(Call_Table_Data[[#This Row],[Satisfaction Rating]],0)</f>
        <v>4</v>
      </c>
    </row>
    <row r="503" spans="1:11" x14ac:dyDescent="0.3">
      <c r="A503" s="9" t="s">
        <v>540</v>
      </c>
      <c r="B503" s="9" t="s">
        <v>18</v>
      </c>
      <c r="C503" s="9">
        <v>110</v>
      </c>
      <c r="D503" s="10" t="s">
        <v>33</v>
      </c>
      <c r="E503" s="11">
        <v>45072</v>
      </c>
      <c r="F503" s="9">
        <v>82</v>
      </c>
      <c r="G503" s="9">
        <v>4</v>
      </c>
      <c r="H503" s="9">
        <f>IF(MONTH(Call_Table_Data[[#This Row],[Date of Call]])&lt;=3,YEAR(Call_Table_Data[[#This Row],[Date of Call]]),YEAR(Call_Table_Data[[#This Row],[Date of Call]])+1)</f>
        <v>2024</v>
      </c>
      <c r="I503" s="9" t="str">
        <f>TEXT(Call_Table_Data[[#This Row],[Date of Call]],"DDDD")</f>
        <v>Friday</v>
      </c>
      <c r="J503" s="9" t="str" cm="1">
        <f t="array" ref="J503">_xlfn.IFS(Call_Table_Data[[#This Row],[Duration]]&lt;=10,"Under 10 Mins",Call_Table_Data[[#This Row],[Duration]]&lt;=30,"10 to 30 Mins",Call_Table_Data[[#This Row],[Duration]]&lt;=60,"30 to 60 Mins",Call_Table_Data[[#This Row],[Duration]]&lt;=120,"1 to 2 Hours",TRUE,"More Than 2 Hours")</f>
        <v>1 to 2 Hours</v>
      </c>
      <c r="K503" s="9">
        <f>ROUND(Call_Table_Data[[#This Row],[Satisfaction Rating]],0)</f>
        <v>4</v>
      </c>
    </row>
    <row r="504" spans="1:11" x14ac:dyDescent="0.3">
      <c r="A504" s="9" t="s">
        <v>541</v>
      </c>
      <c r="B504" s="9" t="s">
        <v>23</v>
      </c>
      <c r="C504" s="9">
        <v>103</v>
      </c>
      <c r="D504" s="10" t="s">
        <v>17</v>
      </c>
      <c r="E504" s="11">
        <v>45072</v>
      </c>
      <c r="F504" s="9">
        <v>62</v>
      </c>
      <c r="G504" s="9">
        <v>3.4</v>
      </c>
      <c r="H504" s="9">
        <f>IF(MONTH(Call_Table_Data[[#This Row],[Date of Call]])&lt;=3,YEAR(Call_Table_Data[[#This Row],[Date of Call]]),YEAR(Call_Table_Data[[#This Row],[Date of Call]])+1)</f>
        <v>2024</v>
      </c>
      <c r="I504" s="9" t="str">
        <f>TEXT(Call_Table_Data[[#This Row],[Date of Call]],"DDDD")</f>
        <v>Friday</v>
      </c>
      <c r="J504" s="9" t="str" cm="1">
        <f t="array" ref="J504">_xlfn.IFS(Call_Table_Data[[#This Row],[Duration]]&lt;=10,"Under 10 Mins",Call_Table_Data[[#This Row],[Duration]]&lt;=30,"10 to 30 Mins",Call_Table_Data[[#This Row],[Duration]]&lt;=60,"30 to 60 Mins",Call_Table_Data[[#This Row],[Duration]]&lt;=120,"1 to 2 Hours",TRUE,"More Than 2 Hours")</f>
        <v>1 to 2 Hours</v>
      </c>
      <c r="K504" s="9">
        <f>ROUND(Call_Table_Data[[#This Row],[Satisfaction Rating]],0)</f>
        <v>3</v>
      </c>
    </row>
    <row r="505" spans="1:11" x14ac:dyDescent="0.3">
      <c r="A505" s="9" t="s">
        <v>542</v>
      </c>
      <c r="B505" s="9" t="s">
        <v>30</v>
      </c>
      <c r="C505" s="9">
        <v>45</v>
      </c>
      <c r="D505" s="10" t="s">
        <v>17</v>
      </c>
      <c r="E505" s="11">
        <v>45072</v>
      </c>
      <c r="F505" s="9">
        <v>135</v>
      </c>
      <c r="G505" s="9">
        <v>3.9</v>
      </c>
      <c r="H505" s="9">
        <f>IF(MONTH(Call_Table_Data[[#This Row],[Date of Call]])&lt;=3,YEAR(Call_Table_Data[[#This Row],[Date of Call]]),YEAR(Call_Table_Data[[#This Row],[Date of Call]])+1)</f>
        <v>2024</v>
      </c>
      <c r="I505" s="9" t="str">
        <f>TEXT(Call_Table_Data[[#This Row],[Date of Call]],"DDDD")</f>
        <v>Friday</v>
      </c>
      <c r="J505" s="9" t="str" cm="1">
        <f t="array" ref="J505">_xlfn.IFS(Call_Table_Data[[#This Row],[Duration]]&lt;=10,"Under 10 Mins",Call_Table_Data[[#This Row],[Duration]]&lt;=30,"10 to 30 Mins",Call_Table_Data[[#This Row],[Duration]]&lt;=60,"30 to 60 Mins",Call_Table_Data[[#This Row],[Duration]]&lt;=120,"1 to 2 Hours",TRUE,"More Than 2 Hours")</f>
        <v>30 to 60 Mins</v>
      </c>
      <c r="K505" s="9">
        <f>ROUND(Call_Table_Data[[#This Row],[Satisfaction Rating]],0)</f>
        <v>4</v>
      </c>
    </row>
    <row r="506" spans="1:11" x14ac:dyDescent="0.3">
      <c r="A506" s="9" t="s">
        <v>543</v>
      </c>
      <c r="B506" s="9" t="s">
        <v>18</v>
      </c>
      <c r="C506" s="9">
        <v>110</v>
      </c>
      <c r="D506" s="10" t="s">
        <v>27</v>
      </c>
      <c r="E506" s="11">
        <v>45072</v>
      </c>
      <c r="F506" s="9">
        <v>155</v>
      </c>
      <c r="G506" s="9">
        <v>2.1</v>
      </c>
      <c r="H506" s="9">
        <f>IF(MONTH(Call_Table_Data[[#This Row],[Date of Call]])&lt;=3,YEAR(Call_Table_Data[[#This Row],[Date of Call]]),YEAR(Call_Table_Data[[#This Row],[Date of Call]])+1)</f>
        <v>2024</v>
      </c>
      <c r="I506" s="9" t="str">
        <f>TEXT(Call_Table_Data[[#This Row],[Date of Call]],"DDDD")</f>
        <v>Friday</v>
      </c>
      <c r="J506" s="9" t="str" cm="1">
        <f t="array" ref="J506">_xlfn.IFS(Call_Table_Data[[#This Row],[Duration]]&lt;=10,"Under 10 Mins",Call_Table_Data[[#This Row],[Duration]]&lt;=30,"10 to 30 Mins",Call_Table_Data[[#This Row],[Duration]]&lt;=60,"30 to 60 Mins",Call_Table_Data[[#This Row],[Duration]]&lt;=120,"1 to 2 Hours",TRUE,"More Than 2 Hours")</f>
        <v>1 to 2 Hours</v>
      </c>
      <c r="K506" s="9">
        <f>ROUND(Call_Table_Data[[#This Row],[Satisfaction Rating]],0)</f>
        <v>2</v>
      </c>
    </row>
    <row r="507" spans="1:11" x14ac:dyDescent="0.3">
      <c r="A507" s="9" t="s">
        <v>544</v>
      </c>
      <c r="B507" s="9" t="s">
        <v>45</v>
      </c>
      <c r="C507" s="9">
        <v>43</v>
      </c>
      <c r="D507" s="10" t="s">
        <v>33</v>
      </c>
      <c r="E507" s="11">
        <v>45072</v>
      </c>
      <c r="F507" s="9">
        <v>37</v>
      </c>
      <c r="G507" s="9">
        <v>4.9000000000000004</v>
      </c>
      <c r="H507" s="9">
        <f>IF(MONTH(Call_Table_Data[[#This Row],[Date of Call]])&lt;=3,YEAR(Call_Table_Data[[#This Row],[Date of Call]]),YEAR(Call_Table_Data[[#This Row],[Date of Call]])+1)</f>
        <v>2024</v>
      </c>
      <c r="I507" s="9" t="str">
        <f>TEXT(Call_Table_Data[[#This Row],[Date of Call]],"DDDD")</f>
        <v>Friday</v>
      </c>
      <c r="J507" s="9" t="str" cm="1">
        <f t="array" ref="J507">_xlfn.IFS(Call_Table_Data[[#This Row],[Duration]]&lt;=10,"Under 10 Mins",Call_Table_Data[[#This Row],[Duration]]&lt;=30,"10 to 30 Mins",Call_Table_Data[[#This Row],[Duration]]&lt;=60,"30 to 60 Mins",Call_Table_Data[[#This Row],[Duration]]&lt;=120,"1 to 2 Hours",TRUE,"More Than 2 Hours")</f>
        <v>30 to 60 Mins</v>
      </c>
      <c r="K507" s="9">
        <f>ROUND(Call_Table_Data[[#This Row],[Satisfaction Rating]],0)</f>
        <v>5</v>
      </c>
    </row>
    <row r="508" spans="1:11" x14ac:dyDescent="0.3">
      <c r="A508" s="9" t="s">
        <v>545</v>
      </c>
      <c r="B508" s="9" t="s">
        <v>18</v>
      </c>
      <c r="C508" s="9">
        <v>104</v>
      </c>
      <c r="D508" s="10" t="s">
        <v>40</v>
      </c>
      <c r="E508" s="11">
        <v>45073</v>
      </c>
      <c r="F508" s="9">
        <v>56</v>
      </c>
      <c r="G508" s="9">
        <v>3.4</v>
      </c>
      <c r="H508" s="9">
        <f>IF(MONTH(Call_Table_Data[[#This Row],[Date of Call]])&lt;=3,YEAR(Call_Table_Data[[#This Row],[Date of Call]]),YEAR(Call_Table_Data[[#This Row],[Date of Call]])+1)</f>
        <v>2024</v>
      </c>
      <c r="I508" s="9" t="str">
        <f>TEXT(Call_Table_Data[[#This Row],[Date of Call]],"DDDD")</f>
        <v>Saturday</v>
      </c>
      <c r="J508" s="9" t="str" cm="1">
        <f t="array" ref="J508">_xlfn.IFS(Call_Table_Data[[#This Row],[Duration]]&lt;=10,"Under 10 Mins",Call_Table_Data[[#This Row],[Duration]]&lt;=30,"10 to 30 Mins",Call_Table_Data[[#This Row],[Duration]]&lt;=60,"30 to 60 Mins",Call_Table_Data[[#This Row],[Duration]]&lt;=120,"1 to 2 Hours",TRUE,"More Than 2 Hours")</f>
        <v>1 to 2 Hours</v>
      </c>
      <c r="K508" s="9">
        <f>ROUND(Call_Table_Data[[#This Row],[Satisfaction Rating]],0)</f>
        <v>3</v>
      </c>
    </row>
    <row r="509" spans="1:11" x14ac:dyDescent="0.3">
      <c r="A509" s="9" t="s">
        <v>546</v>
      </c>
      <c r="B509" s="9" t="s">
        <v>18</v>
      </c>
      <c r="C509" s="9">
        <v>101</v>
      </c>
      <c r="D509" s="10" t="s">
        <v>40</v>
      </c>
      <c r="E509" s="11">
        <v>45073</v>
      </c>
      <c r="F509" s="9">
        <v>185</v>
      </c>
      <c r="G509" s="9">
        <v>5</v>
      </c>
      <c r="H509" s="9">
        <f>IF(MONTH(Call_Table_Data[[#This Row],[Date of Call]])&lt;=3,YEAR(Call_Table_Data[[#This Row],[Date of Call]]),YEAR(Call_Table_Data[[#This Row],[Date of Call]])+1)</f>
        <v>2024</v>
      </c>
      <c r="I509" s="9" t="str">
        <f>TEXT(Call_Table_Data[[#This Row],[Date of Call]],"DDDD")</f>
        <v>Saturday</v>
      </c>
      <c r="J509" s="9" t="str" cm="1">
        <f t="array" ref="J509">_xlfn.IFS(Call_Table_Data[[#This Row],[Duration]]&lt;=10,"Under 10 Mins",Call_Table_Data[[#This Row],[Duration]]&lt;=30,"10 to 30 Mins",Call_Table_Data[[#This Row],[Duration]]&lt;=60,"30 to 60 Mins",Call_Table_Data[[#This Row],[Duration]]&lt;=120,"1 to 2 Hours",TRUE,"More Than 2 Hours")</f>
        <v>1 to 2 Hours</v>
      </c>
      <c r="K509" s="9">
        <f>ROUND(Call_Table_Data[[#This Row],[Satisfaction Rating]],0)</f>
        <v>5</v>
      </c>
    </row>
    <row r="510" spans="1:11" x14ac:dyDescent="0.3">
      <c r="A510" s="9" t="s">
        <v>547</v>
      </c>
      <c r="B510" s="9" t="s">
        <v>16</v>
      </c>
      <c r="C510" s="9">
        <v>55</v>
      </c>
      <c r="D510" s="10" t="s">
        <v>33</v>
      </c>
      <c r="E510" s="11">
        <v>45074</v>
      </c>
      <c r="F510" s="9">
        <v>145</v>
      </c>
      <c r="G510" s="9">
        <v>4.5</v>
      </c>
      <c r="H510" s="9">
        <f>IF(MONTH(Call_Table_Data[[#This Row],[Date of Call]])&lt;=3,YEAR(Call_Table_Data[[#This Row],[Date of Call]]),YEAR(Call_Table_Data[[#This Row],[Date of Call]])+1)</f>
        <v>2024</v>
      </c>
      <c r="I510" s="9" t="str">
        <f>TEXT(Call_Table_Data[[#This Row],[Date of Call]],"DDDD")</f>
        <v>Sunday</v>
      </c>
      <c r="J510" s="9" t="str" cm="1">
        <f t="array" ref="J510">_xlfn.IFS(Call_Table_Data[[#This Row],[Duration]]&lt;=10,"Under 10 Mins",Call_Table_Data[[#This Row],[Duration]]&lt;=30,"10 to 30 Mins",Call_Table_Data[[#This Row],[Duration]]&lt;=60,"30 to 60 Mins",Call_Table_Data[[#This Row],[Duration]]&lt;=120,"1 to 2 Hours",TRUE,"More Than 2 Hours")</f>
        <v>30 to 60 Mins</v>
      </c>
      <c r="K510" s="9">
        <f>ROUND(Call_Table_Data[[#This Row],[Satisfaction Rating]],0)</f>
        <v>5</v>
      </c>
    </row>
    <row r="511" spans="1:11" x14ac:dyDescent="0.3">
      <c r="A511" s="9" t="s">
        <v>548</v>
      </c>
      <c r="B511" s="9" t="s">
        <v>49</v>
      </c>
      <c r="C511" s="9">
        <v>40</v>
      </c>
      <c r="D511" s="10" t="s">
        <v>17</v>
      </c>
      <c r="E511" s="11">
        <v>45074</v>
      </c>
      <c r="F511" s="9">
        <v>116</v>
      </c>
      <c r="G511" s="9">
        <v>2.6</v>
      </c>
      <c r="H511" s="9">
        <f>IF(MONTH(Call_Table_Data[[#This Row],[Date of Call]])&lt;=3,YEAR(Call_Table_Data[[#This Row],[Date of Call]]),YEAR(Call_Table_Data[[#This Row],[Date of Call]])+1)</f>
        <v>2024</v>
      </c>
      <c r="I511" s="9" t="str">
        <f>TEXT(Call_Table_Data[[#This Row],[Date of Call]],"DDDD")</f>
        <v>Sunday</v>
      </c>
      <c r="J511" s="9" t="str" cm="1">
        <f t="array" ref="J511">_xlfn.IFS(Call_Table_Data[[#This Row],[Duration]]&lt;=10,"Under 10 Mins",Call_Table_Data[[#This Row],[Duration]]&lt;=30,"10 to 30 Mins",Call_Table_Data[[#This Row],[Duration]]&lt;=60,"30 to 60 Mins",Call_Table_Data[[#This Row],[Duration]]&lt;=120,"1 to 2 Hours",TRUE,"More Than 2 Hours")</f>
        <v>30 to 60 Mins</v>
      </c>
      <c r="K511" s="9">
        <f>ROUND(Call_Table_Data[[#This Row],[Satisfaction Rating]],0)</f>
        <v>3</v>
      </c>
    </row>
    <row r="512" spans="1:11" x14ac:dyDescent="0.3">
      <c r="A512" s="9" t="s">
        <v>549</v>
      </c>
      <c r="B512" s="9" t="s">
        <v>45</v>
      </c>
      <c r="C512" s="9">
        <v>122</v>
      </c>
      <c r="D512" s="10" t="s">
        <v>46</v>
      </c>
      <c r="E512" s="11">
        <v>45074</v>
      </c>
      <c r="F512" s="9">
        <v>45</v>
      </c>
      <c r="G512" s="9">
        <v>4.2</v>
      </c>
      <c r="H512" s="9">
        <f>IF(MONTH(Call_Table_Data[[#This Row],[Date of Call]])&lt;=3,YEAR(Call_Table_Data[[#This Row],[Date of Call]]),YEAR(Call_Table_Data[[#This Row],[Date of Call]])+1)</f>
        <v>2024</v>
      </c>
      <c r="I512" s="9" t="str">
        <f>TEXT(Call_Table_Data[[#This Row],[Date of Call]],"DDDD")</f>
        <v>Sunday</v>
      </c>
      <c r="J512" s="9" t="str" cm="1">
        <f t="array" ref="J512">_xlfn.IFS(Call_Table_Data[[#This Row],[Duration]]&lt;=10,"Under 10 Mins",Call_Table_Data[[#This Row],[Duration]]&lt;=30,"10 to 30 Mins",Call_Table_Data[[#This Row],[Duration]]&lt;=60,"30 to 60 Mins",Call_Table_Data[[#This Row],[Duration]]&lt;=120,"1 to 2 Hours",TRUE,"More Than 2 Hours")</f>
        <v>More Than 2 Hours</v>
      </c>
      <c r="K512" s="9">
        <f>ROUND(Call_Table_Data[[#This Row],[Satisfaction Rating]],0)</f>
        <v>4</v>
      </c>
    </row>
    <row r="513" spans="1:11" x14ac:dyDescent="0.3">
      <c r="A513" s="9" t="s">
        <v>550</v>
      </c>
      <c r="B513" s="9" t="s">
        <v>32</v>
      </c>
      <c r="C513" s="9">
        <v>98</v>
      </c>
      <c r="D513" s="10" t="s">
        <v>40</v>
      </c>
      <c r="E513" s="11">
        <v>45075</v>
      </c>
      <c r="F513" s="9">
        <v>35</v>
      </c>
      <c r="G513" s="9">
        <v>4.5</v>
      </c>
      <c r="H513" s="9">
        <f>IF(MONTH(Call_Table_Data[[#This Row],[Date of Call]])&lt;=3,YEAR(Call_Table_Data[[#This Row],[Date of Call]]),YEAR(Call_Table_Data[[#This Row],[Date of Call]])+1)</f>
        <v>2024</v>
      </c>
      <c r="I513" s="9" t="str">
        <f>TEXT(Call_Table_Data[[#This Row],[Date of Call]],"DDDD")</f>
        <v>Monday</v>
      </c>
      <c r="J513" s="9" t="str" cm="1">
        <f t="array" ref="J513">_xlfn.IFS(Call_Table_Data[[#This Row],[Duration]]&lt;=10,"Under 10 Mins",Call_Table_Data[[#This Row],[Duration]]&lt;=30,"10 to 30 Mins",Call_Table_Data[[#This Row],[Duration]]&lt;=60,"30 to 60 Mins",Call_Table_Data[[#This Row],[Duration]]&lt;=120,"1 to 2 Hours",TRUE,"More Than 2 Hours")</f>
        <v>1 to 2 Hours</v>
      </c>
      <c r="K513" s="9">
        <f>ROUND(Call_Table_Data[[#This Row],[Satisfaction Rating]],0)</f>
        <v>5</v>
      </c>
    </row>
    <row r="514" spans="1:11" x14ac:dyDescent="0.3">
      <c r="A514" s="9" t="s">
        <v>551</v>
      </c>
      <c r="B514" s="9" t="s">
        <v>43</v>
      </c>
      <c r="C514" s="9">
        <v>110</v>
      </c>
      <c r="D514" s="10" t="s">
        <v>17</v>
      </c>
      <c r="E514" s="11">
        <v>45075</v>
      </c>
      <c r="F514" s="9">
        <v>100</v>
      </c>
      <c r="G514" s="9">
        <v>4.4000000000000004</v>
      </c>
      <c r="H514" s="9">
        <f>IF(MONTH(Call_Table_Data[[#This Row],[Date of Call]])&lt;=3,YEAR(Call_Table_Data[[#This Row],[Date of Call]]),YEAR(Call_Table_Data[[#This Row],[Date of Call]])+1)</f>
        <v>2024</v>
      </c>
      <c r="I514" s="9" t="str">
        <f>TEXT(Call_Table_Data[[#This Row],[Date of Call]],"DDDD")</f>
        <v>Monday</v>
      </c>
      <c r="J514" s="9" t="str" cm="1">
        <f t="array" ref="J514">_xlfn.IFS(Call_Table_Data[[#This Row],[Duration]]&lt;=10,"Under 10 Mins",Call_Table_Data[[#This Row],[Duration]]&lt;=30,"10 to 30 Mins",Call_Table_Data[[#This Row],[Duration]]&lt;=60,"30 to 60 Mins",Call_Table_Data[[#This Row],[Duration]]&lt;=120,"1 to 2 Hours",TRUE,"More Than 2 Hours")</f>
        <v>1 to 2 Hours</v>
      </c>
      <c r="K514" s="9">
        <f>ROUND(Call_Table_Data[[#This Row],[Satisfaction Rating]],0)</f>
        <v>4</v>
      </c>
    </row>
    <row r="515" spans="1:11" x14ac:dyDescent="0.3">
      <c r="A515" s="9" t="s">
        <v>552</v>
      </c>
      <c r="B515" s="9" t="s">
        <v>43</v>
      </c>
      <c r="C515" s="9">
        <v>62</v>
      </c>
      <c r="D515" s="10" t="s">
        <v>33</v>
      </c>
      <c r="E515" s="11">
        <v>45076</v>
      </c>
      <c r="F515" s="9">
        <v>125</v>
      </c>
      <c r="G515" s="9">
        <v>3.5</v>
      </c>
      <c r="H515" s="9">
        <f>IF(MONTH(Call_Table_Data[[#This Row],[Date of Call]])&lt;=3,YEAR(Call_Table_Data[[#This Row],[Date of Call]]),YEAR(Call_Table_Data[[#This Row],[Date of Call]])+1)</f>
        <v>2024</v>
      </c>
      <c r="I515" s="9" t="str">
        <f>TEXT(Call_Table_Data[[#This Row],[Date of Call]],"DDDD")</f>
        <v>Tuesday</v>
      </c>
      <c r="J515" s="9" t="str" cm="1">
        <f t="array" ref="J515">_xlfn.IFS(Call_Table_Data[[#This Row],[Duration]]&lt;=10,"Under 10 Mins",Call_Table_Data[[#This Row],[Duration]]&lt;=30,"10 to 30 Mins",Call_Table_Data[[#This Row],[Duration]]&lt;=60,"30 to 60 Mins",Call_Table_Data[[#This Row],[Duration]]&lt;=120,"1 to 2 Hours",TRUE,"More Than 2 Hours")</f>
        <v>1 to 2 Hours</v>
      </c>
      <c r="K515" s="9">
        <f>ROUND(Call_Table_Data[[#This Row],[Satisfaction Rating]],0)</f>
        <v>4</v>
      </c>
    </row>
    <row r="516" spans="1:11" x14ac:dyDescent="0.3">
      <c r="A516" s="9" t="s">
        <v>553</v>
      </c>
      <c r="B516" s="9" t="s">
        <v>45</v>
      </c>
      <c r="C516" s="9">
        <v>134</v>
      </c>
      <c r="D516" s="10" t="s">
        <v>46</v>
      </c>
      <c r="E516" s="11">
        <v>45076</v>
      </c>
      <c r="F516" s="9">
        <v>120</v>
      </c>
      <c r="G516" s="9">
        <v>3</v>
      </c>
      <c r="H516" s="9">
        <f>IF(MONTH(Call_Table_Data[[#This Row],[Date of Call]])&lt;=3,YEAR(Call_Table_Data[[#This Row],[Date of Call]]),YEAR(Call_Table_Data[[#This Row],[Date of Call]])+1)</f>
        <v>2024</v>
      </c>
      <c r="I516" s="9" t="str">
        <f>TEXT(Call_Table_Data[[#This Row],[Date of Call]],"DDDD")</f>
        <v>Tuesday</v>
      </c>
      <c r="J516" s="9" t="str" cm="1">
        <f t="array" ref="J516">_xlfn.IFS(Call_Table_Data[[#This Row],[Duration]]&lt;=10,"Under 10 Mins",Call_Table_Data[[#This Row],[Duration]]&lt;=30,"10 to 30 Mins",Call_Table_Data[[#This Row],[Duration]]&lt;=60,"30 to 60 Mins",Call_Table_Data[[#This Row],[Duration]]&lt;=120,"1 to 2 Hours",TRUE,"More Than 2 Hours")</f>
        <v>More Than 2 Hours</v>
      </c>
      <c r="K516" s="9">
        <f>ROUND(Call_Table_Data[[#This Row],[Satisfaction Rating]],0)</f>
        <v>3</v>
      </c>
    </row>
    <row r="517" spans="1:11" x14ac:dyDescent="0.3">
      <c r="A517" s="9" t="s">
        <v>554</v>
      </c>
      <c r="B517" s="9" t="s">
        <v>54</v>
      </c>
      <c r="C517" s="9">
        <v>94</v>
      </c>
      <c r="D517" s="10" t="s">
        <v>27</v>
      </c>
      <c r="E517" s="11">
        <v>45076</v>
      </c>
      <c r="F517" s="9">
        <v>180</v>
      </c>
      <c r="G517" s="9">
        <v>4.7</v>
      </c>
      <c r="H517" s="9">
        <f>IF(MONTH(Call_Table_Data[[#This Row],[Date of Call]])&lt;=3,YEAR(Call_Table_Data[[#This Row],[Date of Call]]),YEAR(Call_Table_Data[[#This Row],[Date of Call]])+1)</f>
        <v>2024</v>
      </c>
      <c r="I517" s="9" t="str">
        <f>TEXT(Call_Table_Data[[#This Row],[Date of Call]],"DDDD")</f>
        <v>Tuesday</v>
      </c>
      <c r="J517" s="9" t="str" cm="1">
        <f t="array" ref="J517">_xlfn.IFS(Call_Table_Data[[#This Row],[Duration]]&lt;=10,"Under 10 Mins",Call_Table_Data[[#This Row],[Duration]]&lt;=30,"10 to 30 Mins",Call_Table_Data[[#This Row],[Duration]]&lt;=60,"30 to 60 Mins",Call_Table_Data[[#This Row],[Duration]]&lt;=120,"1 to 2 Hours",TRUE,"More Than 2 Hours")</f>
        <v>1 to 2 Hours</v>
      </c>
      <c r="K517" s="9">
        <f>ROUND(Call_Table_Data[[#This Row],[Satisfaction Rating]],0)</f>
        <v>5</v>
      </c>
    </row>
    <row r="518" spans="1:11" x14ac:dyDescent="0.3">
      <c r="A518" s="9" t="s">
        <v>555</v>
      </c>
      <c r="B518" s="9" t="s">
        <v>37</v>
      </c>
      <c r="C518" s="9">
        <v>63</v>
      </c>
      <c r="D518" s="10" t="s">
        <v>17</v>
      </c>
      <c r="E518" s="11">
        <v>45076</v>
      </c>
      <c r="F518" s="9">
        <v>44</v>
      </c>
      <c r="G518" s="9">
        <v>3</v>
      </c>
      <c r="H518" s="9">
        <f>IF(MONTH(Call_Table_Data[[#This Row],[Date of Call]])&lt;=3,YEAR(Call_Table_Data[[#This Row],[Date of Call]]),YEAR(Call_Table_Data[[#This Row],[Date of Call]])+1)</f>
        <v>2024</v>
      </c>
      <c r="I518" s="9" t="str">
        <f>TEXT(Call_Table_Data[[#This Row],[Date of Call]],"DDDD")</f>
        <v>Tuesday</v>
      </c>
      <c r="J518" s="9" t="str" cm="1">
        <f t="array" ref="J518">_xlfn.IFS(Call_Table_Data[[#This Row],[Duration]]&lt;=10,"Under 10 Mins",Call_Table_Data[[#This Row],[Duration]]&lt;=30,"10 to 30 Mins",Call_Table_Data[[#This Row],[Duration]]&lt;=60,"30 to 60 Mins",Call_Table_Data[[#This Row],[Duration]]&lt;=120,"1 to 2 Hours",TRUE,"More Than 2 Hours")</f>
        <v>1 to 2 Hours</v>
      </c>
      <c r="K518" s="9">
        <f>ROUND(Call_Table_Data[[#This Row],[Satisfaction Rating]],0)</f>
        <v>3</v>
      </c>
    </row>
    <row r="519" spans="1:11" x14ac:dyDescent="0.3">
      <c r="A519" s="9" t="s">
        <v>556</v>
      </c>
      <c r="B519" s="9" t="s">
        <v>35</v>
      </c>
      <c r="C519" s="9">
        <v>95</v>
      </c>
      <c r="D519" s="10" t="s">
        <v>46</v>
      </c>
      <c r="E519" s="11">
        <v>45076</v>
      </c>
      <c r="F519" s="9">
        <v>86</v>
      </c>
      <c r="G519" s="9">
        <v>3.6</v>
      </c>
      <c r="H519" s="9">
        <f>IF(MONTH(Call_Table_Data[[#This Row],[Date of Call]])&lt;=3,YEAR(Call_Table_Data[[#This Row],[Date of Call]]),YEAR(Call_Table_Data[[#This Row],[Date of Call]])+1)</f>
        <v>2024</v>
      </c>
      <c r="I519" s="9" t="str">
        <f>TEXT(Call_Table_Data[[#This Row],[Date of Call]],"DDDD")</f>
        <v>Tuesday</v>
      </c>
      <c r="J519" s="9" t="str" cm="1">
        <f t="array" ref="J519">_xlfn.IFS(Call_Table_Data[[#This Row],[Duration]]&lt;=10,"Under 10 Mins",Call_Table_Data[[#This Row],[Duration]]&lt;=30,"10 to 30 Mins",Call_Table_Data[[#This Row],[Duration]]&lt;=60,"30 to 60 Mins",Call_Table_Data[[#This Row],[Duration]]&lt;=120,"1 to 2 Hours",TRUE,"More Than 2 Hours")</f>
        <v>1 to 2 Hours</v>
      </c>
      <c r="K519" s="9">
        <f>ROUND(Call_Table_Data[[#This Row],[Satisfaction Rating]],0)</f>
        <v>4</v>
      </c>
    </row>
    <row r="520" spans="1:11" x14ac:dyDescent="0.3">
      <c r="A520" s="9" t="s">
        <v>557</v>
      </c>
      <c r="B520" s="9" t="s">
        <v>45</v>
      </c>
      <c r="C520" s="9">
        <v>106</v>
      </c>
      <c r="D520" s="10" t="s">
        <v>46</v>
      </c>
      <c r="E520" s="11">
        <v>45077</v>
      </c>
      <c r="F520" s="9">
        <v>120</v>
      </c>
      <c r="G520" s="9">
        <v>4.0999999999999996</v>
      </c>
      <c r="H520" s="9">
        <f>IF(MONTH(Call_Table_Data[[#This Row],[Date of Call]])&lt;=3,YEAR(Call_Table_Data[[#This Row],[Date of Call]]),YEAR(Call_Table_Data[[#This Row],[Date of Call]])+1)</f>
        <v>2024</v>
      </c>
      <c r="I520" s="9" t="str">
        <f>TEXT(Call_Table_Data[[#This Row],[Date of Call]],"DDDD")</f>
        <v>Wednesday</v>
      </c>
      <c r="J520" s="9" t="str" cm="1">
        <f t="array" ref="J520">_xlfn.IFS(Call_Table_Data[[#This Row],[Duration]]&lt;=10,"Under 10 Mins",Call_Table_Data[[#This Row],[Duration]]&lt;=30,"10 to 30 Mins",Call_Table_Data[[#This Row],[Duration]]&lt;=60,"30 to 60 Mins",Call_Table_Data[[#This Row],[Duration]]&lt;=120,"1 to 2 Hours",TRUE,"More Than 2 Hours")</f>
        <v>1 to 2 Hours</v>
      </c>
      <c r="K520" s="9">
        <f>ROUND(Call_Table_Data[[#This Row],[Satisfaction Rating]],0)</f>
        <v>4</v>
      </c>
    </row>
    <row r="521" spans="1:11" x14ac:dyDescent="0.3">
      <c r="A521" s="9" t="s">
        <v>558</v>
      </c>
      <c r="B521" s="9" t="s">
        <v>30</v>
      </c>
      <c r="C521" s="9">
        <v>94</v>
      </c>
      <c r="D521" s="10" t="s">
        <v>27</v>
      </c>
      <c r="E521" s="11">
        <v>45077</v>
      </c>
      <c r="F521" s="9">
        <v>100</v>
      </c>
      <c r="G521" s="9">
        <v>3.7</v>
      </c>
      <c r="H521" s="9">
        <f>IF(MONTH(Call_Table_Data[[#This Row],[Date of Call]])&lt;=3,YEAR(Call_Table_Data[[#This Row],[Date of Call]]),YEAR(Call_Table_Data[[#This Row],[Date of Call]])+1)</f>
        <v>2024</v>
      </c>
      <c r="I521" s="9" t="str">
        <f>TEXT(Call_Table_Data[[#This Row],[Date of Call]],"DDDD")</f>
        <v>Wednesday</v>
      </c>
      <c r="J521" s="9" t="str" cm="1">
        <f t="array" ref="J521">_xlfn.IFS(Call_Table_Data[[#This Row],[Duration]]&lt;=10,"Under 10 Mins",Call_Table_Data[[#This Row],[Duration]]&lt;=30,"10 to 30 Mins",Call_Table_Data[[#This Row],[Duration]]&lt;=60,"30 to 60 Mins",Call_Table_Data[[#This Row],[Duration]]&lt;=120,"1 to 2 Hours",TRUE,"More Than 2 Hours")</f>
        <v>1 to 2 Hours</v>
      </c>
      <c r="K521" s="9">
        <f>ROUND(Call_Table_Data[[#This Row],[Satisfaction Rating]],0)</f>
        <v>4</v>
      </c>
    </row>
    <row r="522" spans="1:11" x14ac:dyDescent="0.3">
      <c r="A522" s="9" t="s">
        <v>559</v>
      </c>
      <c r="B522" s="9" t="s">
        <v>30</v>
      </c>
      <c r="C522" s="9">
        <v>51</v>
      </c>
      <c r="D522" s="10" t="s">
        <v>27</v>
      </c>
      <c r="E522" s="11">
        <v>45078</v>
      </c>
      <c r="F522" s="9">
        <v>108</v>
      </c>
      <c r="G522" s="9">
        <v>4.5</v>
      </c>
      <c r="H522" s="9">
        <f>IF(MONTH(Call_Table_Data[[#This Row],[Date of Call]])&lt;=3,YEAR(Call_Table_Data[[#This Row],[Date of Call]]),YEAR(Call_Table_Data[[#This Row],[Date of Call]])+1)</f>
        <v>2024</v>
      </c>
      <c r="I522" s="9" t="str">
        <f>TEXT(Call_Table_Data[[#This Row],[Date of Call]],"DDDD")</f>
        <v>Thursday</v>
      </c>
      <c r="J522" s="9" t="str" cm="1">
        <f t="array" ref="J522">_xlfn.IFS(Call_Table_Data[[#This Row],[Duration]]&lt;=10,"Under 10 Mins",Call_Table_Data[[#This Row],[Duration]]&lt;=30,"10 to 30 Mins",Call_Table_Data[[#This Row],[Duration]]&lt;=60,"30 to 60 Mins",Call_Table_Data[[#This Row],[Duration]]&lt;=120,"1 to 2 Hours",TRUE,"More Than 2 Hours")</f>
        <v>30 to 60 Mins</v>
      </c>
      <c r="K522" s="9">
        <f>ROUND(Call_Table_Data[[#This Row],[Satisfaction Rating]],0)</f>
        <v>5</v>
      </c>
    </row>
    <row r="523" spans="1:11" x14ac:dyDescent="0.3">
      <c r="A523" s="9" t="s">
        <v>560</v>
      </c>
      <c r="B523" s="9" t="s">
        <v>41</v>
      </c>
      <c r="C523" s="9">
        <v>39</v>
      </c>
      <c r="D523" s="10" t="s">
        <v>27</v>
      </c>
      <c r="E523" s="11">
        <v>45078</v>
      </c>
      <c r="F523" s="9">
        <v>46</v>
      </c>
      <c r="G523" s="9">
        <v>4.5999999999999996</v>
      </c>
      <c r="H523" s="9">
        <f>IF(MONTH(Call_Table_Data[[#This Row],[Date of Call]])&lt;=3,YEAR(Call_Table_Data[[#This Row],[Date of Call]]),YEAR(Call_Table_Data[[#This Row],[Date of Call]])+1)</f>
        <v>2024</v>
      </c>
      <c r="I523" s="9" t="str">
        <f>TEXT(Call_Table_Data[[#This Row],[Date of Call]],"DDDD")</f>
        <v>Thursday</v>
      </c>
      <c r="J523" s="9" t="str" cm="1">
        <f t="array" ref="J523">_xlfn.IFS(Call_Table_Data[[#This Row],[Duration]]&lt;=10,"Under 10 Mins",Call_Table_Data[[#This Row],[Duration]]&lt;=30,"10 to 30 Mins",Call_Table_Data[[#This Row],[Duration]]&lt;=60,"30 to 60 Mins",Call_Table_Data[[#This Row],[Duration]]&lt;=120,"1 to 2 Hours",TRUE,"More Than 2 Hours")</f>
        <v>30 to 60 Mins</v>
      </c>
      <c r="K523" s="9">
        <f>ROUND(Call_Table_Data[[#This Row],[Satisfaction Rating]],0)</f>
        <v>5</v>
      </c>
    </row>
    <row r="524" spans="1:11" x14ac:dyDescent="0.3">
      <c r="A524" s="9" t="s">
        <v>561</v>
      </c>
      <c r="B524" s="9" t="s">
        <v>49</v>
      </c>
      <c r="C524" s="9">
        <v>111</v>
      </c>
      <c r="D524" s="10" t="s">
        <v>46</v>
      </c>
      <c r="E524" s="11">
        <v>45078</v>
      </c>
      <c r="F524" s="9">
        <v>210</v>
      </c>
      <c r="G524" s="9">
        <v>4.3</v>
      </c>
      <c r="H524" s="9">
        <f>IF(MONTH(Call_Table_Data[[#This Row],[Date of Call]])&lt;=3,YEAR(Call_Table_Data[[#This Row],[Date of Call]]),YEAR(Call_Table_Data[[#This Row],[Date of Call]])+1)</f>
        <v>2024</v>
      </c>
      <c r="I524" s="9" t="str">
        <f>TEXT(Call_Table_Data[[#This Row],[Date of Call]],"DDDD")</f>
        <v>Thursday</v>
      </c>
      <c r="J524" s="9" t="str" cm="1">
        <f t="array" ref="J524">_xlfn.IFS(Call_Table_Data[[#This Row],[Duration]]&lt;=10,"Under 10 Mins",Call_Table_Data[[#This Row],[Duration]]&lt;=30,"10 to 30 Mins",Call_Table_Data[[#This Row],[Duration]]&lt;=60,"30 to 60 Mins",Call_Table_Data[[#This Row],[Duration]]&lt;=120,"1 to 2 Hours",TRUE,"More Than 2 Hours")</f>
        <v>1 to 2 Hours</v>
      </c>
      <c r="K524" s="9">
        <f>ROUND(Call_Table_Data[[#This Row],[Satisfaction Rating]],0)</f>
        <v>4</v>
      </c>
    </row>
    <row r="525" spans="1:11" x14ac:dyDescent="0.3">
      <c r="A525" s="9" t="s">
        <v>562</v>
      </c>
      <c r="B525" s="9" t="s">
        <v>50</v>
      </c>
      <c r="C525" s="9">
        <v>141</v>
      </c>
      <c r="D525" s="10" t="s">
        <v>33</v>
      </c>
      <c r="E525" s="11">
        <v>45080</v>
      </c>
      <c r="F525" s="9">
        <v>54</v>
      </c>
      <c r="G525" s="9">
        <v>4.8</v>
      </c>
      <c r="H525" s="9">
        <f>IF(MONTH(Call_Table_Data[[#This Row],[Date of Call]])&lt;=3,YEAR(Call_Table_Data[[#This Row],[Date of Call]]),YEAR(Call_Table_Data[[#This Row],[Date of Call]])+1)</f>
        <v>2024</v>
      </c>
      <c r="I525" s="9" t="str">
        <f>TEXT(Call_Table_Data[[#This Row],[Date of Call]],"DDDD")</f>
        <v>Saturday</v>
      </c>
      <c r="J525" s="9" t="str" cm="1">
        <f t="array" ref="J525">_xlfn.IFS(Call_Table_Data[[#This Row],[Duration]]&lt;=10,"Under 10 Mins",Call_Table_Data[[#This Row],[Duration]]&lt;=30,"10 to 30 Mins",Call_Table_Data[[#This Row],[Duration]]&lt;=60,"30 to 60 Mins",Call_Table_Data[[#This Row],[Duration]]&lt;=120,"1 to 2 Hours",TRUE,"More Than 2 Hours")</f>
        <v>More Than 2 Hours</v>
      </c>
      <c r="K525" s="9">
        <f>ROUND(Call_Table_Data[[#This Row],[Satisfaction Rating]],0)</f>
        <v>5</v>
      </c>
    </row>
    <row r="526" spans="1:11" x14ac:dyDescent="0.3">
      <c r="A526" s="9" t="s">
        <v>563</v>
      </c>
      <c r="B526" s="9" t="s">
        <v>37</v>
      </c>
      <c r="C526" s="9">
        <v>147</v>
      </c>
      <c r="D526" s="10" t="s">
        <v>46</v>
      </c>
      <c r="E526" s="11">
        <v>45080</v>
      </c>
      <c r="F526" s="9">
        <v>115</v>
      </c>
      <c r="G526" s="9">
        <v>4.7</v>
      </c>
      <c r="H526" s="9">
        <f>IF(MONTH(Call_Table_Data[[#This Row],[Date of Call]])&lt;=3,YEAR(Call_Table_Data[[#This Row],[Date of Call]]),YEAR(Call_Table_Data[[#This Row],[Date of Call]])+1)</f>
        <v>2024</v>
      </c>
      <c r="I526" s="9" t="str">
        <f>TEXT(Call_Table_Data[[#This Row],[Date of Call]],"DDDD")</f>
        <v>Saturday</v>
      </c>
      <c r="J526" s="9" t="str" cm="1">
        <f t="array" ref="J526">_xlfn.IFS(Call_Table_Data[[#This Row],[Duration]]&lt;=10,"Under 10 Mins",Call_Table_Data[[#This Row],[Duration]]&lt;=30,"10 to 30 Mins",Call_Table_Data[[#This Row],[Duration]]&lt;=60,"30 to 60 Mins",Call_Table_Data[[#This Row],[Duration]]&lt;=120,"1 to 2 Hours",TRUE,"More Than 2 Hours")</f>
        <v>More Than 2 Hours</v>
      </c>
      <c r="K526" s="9">
        <f>ROUND(Call_Table_Data[[#This Row],[Satisfaction Rating]],0)</f>
        <v>5</v>
      </c>
    </row>
    <row r="527" spans="1:11" x14ac:dyDescent="0.3">
      <c r="A527" s="9" t="s">
        <v>564</v>
      </c>
      <c r="B527" s="9" t="s">
        <v>54</v>
      </c>
      <c r="C527" s="9">
        <v>49</v>
      </c>
      <c r="D527" s="10" t="s">
        <v>27</v>
      </c>
      <c r="E527" s="11">
        <v>45081</v>
      </c>
      <c r="F527" s="9">
        <v>100</v>
      </c>
      <c r="G527" s="9">
        <v>2.2000000000000002</v>
      </c>
      <c r="H527" s="9">
        <f>IF(MONTH(Call_Table_Data[[#This Row],[Date of Call]])&lt;=3,YEAR(Call_Table_Data[[#This Row],[Date of Call]]),YEAR(Call_Table_Data[[#This Row],[Date of Call]])+1)</f>
        <v>2024</v>
      </c>
      <c r="I527" s="9" t="str">
        <f>TEXT(Call_Table_Data[[#This Row],[Date of Call]],"DDDD")</f>
        <v>Sunday</v>
      </c>
      <c r="J527" s="9" t="str" cm="1">
        <f t="array" ref="J527">_xlfn.IFS(Call_Table_Data[[#This Row],[Duration]]&lt;=10,"Under 10 Mins",Call_Table_Data[[#This Row],[Duration]]&lt;=30,"10 to 30 Mins",Call_Table_Data[[#This Row],[Duration]]&lt;=60,"30 to 60 Mins",Call_Table_Data[[#This Row],[Duration]]&lt;=120,"1 to 2 Hours",TRUE,"More Than 2 Hours")</f>
        <v>30 to 60 Mins</v>
      </c>
      <c r="K527" s="9">
        <f>ROUND(Call_Table_Data[[#This Row],[Satisfaction Rating]],0)</f>
        <v>2</v>
      </c>
    </row>
    <row r="528" spans="1:11" x14ac:dyDescent="0.3">
      <c r="A528" s="9" t="s">
        <v>565</v>
      </c>
      <c r="B528" s="9" t="s">
        <v>26</v>
      </c>
      <c r="C528" s="9">
        <v>75</v>
      </c>
      <c r="D528" s="10" t="s">
        <v>46</v>
      </c>
      <c r="E528" s="11">
        <v>45081</v>
      </c>
      <c r="F528" s="9">
        <v>38</v>
      </c>
      <c r="G528" s="9">
        <v>4.4000000000000004</v>
      </c>
      <c r="H528" s="9">
        <f>IF(MONTH(Call_Table_Data[[#This Row],[Date of Call]])&lt;=3,YEAR(Call_Table_Data[[#This Row],[Date of Call]]),YEAR(Call_Table_Data[[#This Row],[Date of Call]])+1)</f>
        <v>2024</v>
      </c>
      <c r="I528" s="9" t="str">
        <f>TEXT(Call_Table_Data[[#This Row],[Date of Call]],"DDDD")</f>
        <v>Sunday</v>
      </c>
      <c r="J528" s="9" t="str" cm="1">
        <f t="array" ref="J528">_xlfn.IFS(Call_Table_Data[[#This Row],[Duration]]&lt;=10,"Under 10 Mins",Call_Table_Data[[#This Row],[Duration]]&lt;=30,"10 to 30 Mins",Call_Table_Data[[#This Row],[Duration]]&lt;=60,"30 to 60 Mins",Call_Table_Data[[#This Row],[Duration]]&lt;=120,"1 to 2 Hours",TRUE,"More Than 2 Hours")</f>
        <v>1 to 2 Hours</v>
      </c>
      <c r="K528" s="9">
        <f>ROUND(Call_Table_Data[[#This Row],[Satisfaction Rating]],0)</f>
        <v>4</v>
      </c>
    </row>
    <row r="529" spans="1:11" x14ac:dyDescent="0.3">
      <c r="A529" s="9" t="s">
        <v>566</v>
      </c>
      <c r="B529" s="9" t="s">
        <v>50</v>
      </c>
      <c r="C529" s="9">
        <v>48</v>
      </c>
      <c r="D529" s="10" t="s">
        <v>33</v>
      </c>
      <c r="E529" s="11">
        <v>45082</v>
      </c>
      <c r="F529" s="9">
        <v>120</v>
      </c>
      <c r="G529" s="9">
        <v>4.0999999999999996</v>
      </c>
      <c r="H529" s="9">
        <f>IF(MONTH(Call_Table_Data[[#This Row],[Date of Call]])&lt;=3,YEAR(Call_Table_Data[[#This Row],[Date of Call]]),YEAR(Call_Table_Data[[#This Row],[Date of Call]])+1)</f>
        <v>2024</v>
      </c>
      <c r="I529" s="9" t="str">
        <f>TEXT(Call_Table_Data[[#This Row],[Date of Call]],"DDDD")</f>
        <v>Monday</v>
      </c>
      <c r="J529" s="9" t="str" cm="1">
        <f t="array" ref="J529">_xlfn.IFS(Call_Table_Data[[#This Row],[Duration]]&lt;=10,"Under 10 Mins",Call_Table_Data[[#This Row],[Duration]]&lt;=30,"10 to 30 Mins",Call_Table_Data[[#This Row],[Duration]]&lt;=60,"30 to 60 Mins",Call_Table_Data[[#This Row],[Duration]]&lt;=120,"1 to 2 Hours",TRUE,"More Than 2 Hours")</f>
        <v>30 to 60 Mins</v>
      </c>
      <c r="K529" s="9">
        <f>ROUND(Call_Table_Data[[#This Row],[Satisfaction Rating]],0)</f>
        <v>4</v>
      </c>
    </row>
    <row r="530" spans="1:11" x14ac:dyDescent="0.3">
      <c r="A530" s="9" t="s">
        <v>567</v>
      </c>
      <c r="B530" s="9" t="s">
        <v>43</v>
      </c>
      <c r="C530" s="9">
        <v>48</v>
      </c>
      <c r="D530" s="10" t="s">
        <v>33</v>
      </c>
      <c r="E530" s="11">
        <v>45082</v>
      </c>
      <c r="F530" s="9">
        <v>120</v>
      </c>
      <c r="G530" s="9">
        <v>4.0999999999999996</v>
      </c>
      <c r="H530" s="9">
        <f>IF(MONTH(Call_Table_Data[[#This Row],[Date of Call]])&lt;=3,YEAR(Call_Table_Data[[#This Row],[Date of Call]]),YEAR(Call_Table_Data[[#This Row],[Date of Call]])+1)</f>
        <v>2024</v>
      </c>
      <c r="I530" s="9" t="str">
        <f>TEXT(Call_Table_Data[[#This Row],[Date of Call]],"DDDD")</f>
        <v>Monday</v>
      </c>
      <c r="J530" s="9" t="str" cm="1">
        <f t="array" ref="J530">_xlfn.IFS(Call_Table_Data[[#This Row],[Duration]]&lt;=10,"Under 10 Mins",Call_Table_Data[[#This Row],[Duration]]&lt;=30,"10 to 30 Mins",Call_Table_Data[[#This Row],[Duration]]&lt;=60,"30 to 60 Mins",Call_Table_Data[[#This Row],[Duration]]&lt;=120,"1 to 2 Hours",TRUE,"More Than 2 Hours")</f>
        <v>30 to 60 Mins</v>
      </c>
      <c r="K530" s="9">
        <f>ROUND(Call_Table_Data[[#This Row],[Satisfaction Rating]],0)</f>
        <v>4</v>
      </c>
    </row>
    <row r="531" spans="1:11" x14ac:dyDescent="0.3">
      <c r="A531" s="9" t="s">
        <v>568</v>
      </c>
      <c r="B531" s="9" t="s">
        <v>22</v>
      </c>
      <c r="C531" s="9">
        <v>138</v>
      </c>
      <c r="D531" s="10" t="s">
        <v>27</v>
      </c>
      <c r="E531" s="11">
        <v>45082</v>
      </c>
      <c r="F531" s="9">
        <v>29</v>
      </c>
      <c r="G531" s="9">
        <v>4.4000000000000004</v>
      </c>
      <c r="H531" s="9">
        <f>IF(MONTH(Call_Table_Data[[#This Row],[Date of Call]])&lt;=3,YEAR(Call_Table_Data[[#This Row],[Date of Call]]),YEAR(Call_Table_Data[[#This Row],[Date of Call]])+1)</f>
        <v>2024</v>
      </c>
      <c r="I531" s="9" t="str">
        <f>TEXT(Call_Table_Data[[#This Row],[Date of Call]],"DDDD")</f>
        <v>Monday</v>
      </c>
      <c r="J531" s="9" t="str" cm="1">
        <f t="array" ref="J531">_xlfn.IFS(Call_Table_Data[[#This Row],[Duration]]&lt;=10,"Under 10 Mins",Call_Table_Data[[#This Row],[Duration]]&lt;=30,"10 to 30 Mins",Call_Table_Data[[#This Row],[Duration]]&lt;=60,"30 to 60 Mins",Call_Table_Data[[#This Row],[Duration]]&lt;=120,"1 to 2 Hours",TRUE,"More Than 2 Hours")</f>
        <v>More Than 2 Hours</v>
      </c>
      <c r="K531" s="9">
        <f>ROUND(Call_Table_Data[[#This Row],[Satisfaction Rating]],0)</f>
        <v>4</v>
      </c>
    </row>
    <row r="532" spans="1:11" x14ac:dyDescent="0.3">
      <c r="A532" s="9" t="s">
        <v>569</v>
      </c>
      <c r="B532" s="9" t="s">
        <v>35</v>
      </c>
      <c r="C532" s="9">
        <v>144</v>
      </c>
      <c r="D532" s="10" t="s">
        <v>27</v>
      </c>
      <c r="E532" s="11">
        <v>45083</v>
      </c>
      <c r="F532" s="9">
        <v>25</v>
      </c>
      <c r="G532" s="9">
        <v>3.7</v>
      </c>
      <c r="H532" s="9">
        <f>IF(MONTH(Call_Table_Data[[#This Row],[Date of Call]])&lt;=3,YEAR(Call_Table_Data[[#This Row],[Date of Call]]),YEAR(Call_Table_Data[[#This Row],[Date of Call]])+1)</f>
        <v>2024</v>
      </c>
      <c r="I532" s="9" t="str">
        <f>TEXT(Call_Table_Data[[#This Row],[Date of Call]],"DDDD")</f>
        <v>Tuesday</v>
      </c>
      <c r="J532" s="9" t="str" cm="1">
        <f t="array" ref="J532">_xlfn.IFS(Call_Table_Data[[#This Row],[Duration]]&lt;=10,"Under 10 Mins",Call_Table_Data[[#This Row],[Duration]]&lt;=30,"10 to 30 Mins",Call_Table_Data[[#This Row],[Duration]]&lt;=60,"30 to 60 Mins",Call_Table_Data[[#This Row],[Duration]]&lt;=120,"1 to 2 Hours",TRUE,"More Than 2 Hours")</f>
        <v>More Than 2 Hours</v>
      </c>
      <c r="K532" s="9">
        <f>ROUND(Call_Table_Data[[#This Row],[Satisfaction Rating]],0)</f>
        <v>4</v>
      </c>
    </row>
    <row r="533" spans="1:11" x14ac:dyDescent="0.3">
      <c r="A533" s="9" t="s">
        <v>570</v>
      </c>
      <c r="B533" s="9" t="s">
        <v>18</v>
      </c>
      <c r="C533" s="9">
        <v>119</v>
      </c>
      <c r="D533" s="10" t="s">
        <v>46</v>
      </c>
      <c r="E533" s="11">
        <v>45084</v>
      </c>
      <c r="F533" s="9">
        <v>116</v>
      </c>
      <c r="G533" s="9">
        <v>3.8</v>
      </c>
      <c r="H533" s="9">
        <f>IF(MONTH(Call_Table_Data[[#This Row],[Date of Call]])&lt;=3,YEAR(Call_Table_Data[[#This Row],[Date of Call]]),YEAR(Call_Table_Data[[#This Row],[Date of Call]])+1)</f>
        <v>2024</v>
      </c>
      <c r="I533" s="9" t="str">
        <f>TEXT(Call_Table_Data[[#This Row],[Date of Call]],"DDDD")</f>
        <v>Wednesday</v>
      </c>
      <c r="J533" s="9" t="str" cm="1">
        <f t="array" ref="J533">_xlfn.IFS(Call_Table_Data[[#This Row],[Duration]]&lt;=10,"Under 10 Mins",Call_Table_Data[[#This Row],[Duration]]&lt;=30,"10 to 30 Mins",Call_Table_Data[[#This Row],[Duration]]&lt;=60,"30 to 60 Mins",Call_Table_Data[[#This Row],[Duration]]&lt;=120,"1 to 2 Hours",TRUE,"More Than 2 Hours")</f>
        <v>1 to 2 Hours</v>
      </c>
      <c r="K533" s="9">
        <f>ROUND(Call_Table_Data[[#This Row],[Satisfaction Rating]],0)</f>
        <v>4</v>
      </c>
    </row>
    <row r="534" spans="1:11" x14ac:dyDescent="0.3">
      <c r="A534" s="9" t="s">
        <v>571</v>
      </c>
      <c r="B534" s="9" t="s">
        <v>22</v>
      </c>
      <c r="C534" s="9">
        <v>101</v>
      </c>
      <c r="D534" s="10" t="s">
        <v>33</v>
      </c>
      <c r="E534" s="11">
        <v>45085</v>
      </c>
      <c r="F534" s="9">
        <v>132</v>
      </c>
      <c r="G534" s="9">
        <v>4.3</v>
      </c>
      <c r="H534" s="9">
        <f>IF(MONTH(Call_Table_Data[[#This Row],[Date of Call]])&lt;=3,YEAR(Call_Table_Data[[#This Row],[Date of Call]]),YEAR(Call_Table_Data[[#This Row],[Date of Call]])+1)</f>
        <v>2024</v>
      </c>
      <c r="I534" s="9" t="str">
        <f>TEXT(Call_Table_Data[[#This Row],[Date of Call]],"DDDD")</f>
        <v>Thursday</v>
      </c>
      <c r="J534" s="9" t="str" cm="1">
        <f t="array" ref="J534">_xlfn.IFS(Call_Table_Data[[#This Row],[Duration]]&lt;=10,"Under 10 Mins",Call_Table_Data[[#This Row],[Duration]]&lt;=30,"10 to 30 Mins",Call_Table_Data[[#This Row],[Duration]]&lt;=60,"30 to 60 Mins",Call_Table_Data[[#This Row],[Duration]]&lt;=120,"1 to 2 Hours",TRUE,"More Than 2 Hours")</f>
        <v>1 to 2 Hours</v>
      </c>
      <c r="K534" s="9">
        <f>ROUND(Call_Table_Data[[#This Row],[Satisfaction Rating]],0)</f>
        <v>4</v>
      </c>
    </row>
    <row r="535" spans="1:11" x14ac:dyDescent="0.3">
      <c r="A535" s="9" t="s">
        <v>572</v>
      </c>
      <c r="B535" s="9" t="s">
        <v>35</v>
      </c>
      <c r="C535" s="9">
        <v>59</v>
      </c>
      <c r="D535" s="10" t="s">
        <v>46</v>
      </c>
      <c r="E535" s="11">
        <v>45086</v>
      </c>
      <c r="F535" s="9">
        <v>90</v>
      </c>
      <c r="G535" s="9">
        <v>3.5</v>
      </c>
      <c r="H535" s="9">
        <f>IF(MONTH(Call_Table_Data[[#This Row],[Date of Call]])&lt;=3,YEAR(Call_Table_Data[[#This Row],[Date of Call]]),YEAR(Call_Table_Data[[#This Row],[Date of Call]])+1)</f>
        <v>2024</v>
      </c>
      <c r="I535" s="9" t="str">
        <f>TEXT(Call_Table_Data[[#This Row],[Date of Call]],"DDDD")</f>
        <v>Friday</v>
      </c>
      <c r="J535" s="9" t="str" cm="1">
        <f t="array" ref="J535">_xlfn.IFS(Call_Table_Data[[#This Row],[Duration]]&lt;=10,"Under 10 Mins",Call_Table_Data[[#This Row],[Duration]]&lt;=30,"10 to 30 Mins",Call_Table_Data[[#This Row],[Duration]]&lt;=60,"30 to 60 Mins",Call_Table_Data[[#This Row],[Duration]]&lt;=120,"1 to 2 Hours",TRUE,"More Than 2 Hours")</f>
        <v>30 to 60 Mins</v>
      </c>
      <c r="K535" s="9">
        <f>ROUND(Call_Table_Data[[#This Row],[Satisfaction Rating]],0)</f>
        <v>4</v>
      </c>
    </row>
    <row r="536" spans="1:11" x14ac:dyDescent="0.3">
      <c r="A536" s="9" t="s">
        <v>573</v>
      </c>
      <c r="B536" s="9" t="s">
        <v>49</v>
      </c>
      <c r="C536" s="9">
        <v>125</v>
      </c>
      <c r="D536" s="10" t="s">
        <v>17</v>
      </c>
      <c r="E536" s="11">
        <v>45086</v>
      </c>
      <c r="F536" s="9">
        <v>87</v>
      </c>
      <c r="G536" s="9">
        <v>4.0999999999999996</v>
      </c>
      <c r="H536" s="9">
        <f>IF(MONTH(Call_Table_Data[[#This Row],[Date of Call]])&lt;=3,YEAR(Call_Table_Data[[#This Row],[Date of Call]]),YEAR(Call_Table_Data[[#This Row],[Date of Call]])+1)</f>
        <v>2024</v>
      </c>
      <c r="I536" s="9" t="str">
        <f>TEXT(Call_Table_Data[[#This Row],[Date of Call]],"DDDD")</f>
        <v>Friday</v>
      </c>
      <c r="J536" s="9" t="str" cm="1">
        <f t="array" ref="J536">_xlfn.IFS(Call_Table_Data[[#This Row],[Duration]]&lt;=10,"Under 10 Mins",Call_Table_Data[[#This Row],[Duration]]&lt;=30,"10 to 30 Mins",Call_Table_Data[[#This Row],[Duration]]&lt;=60,"30 to 60 Mins",Call_Table_Data[[#This Row],[Duration]]&lt;=120,"1 to 2 Hours",TRUE,"More Than 2 Hours")</f>
        <v>More Than 2 Hours</v>
      </c>
      <c r="K536" s="9">
        <f>ROUND(Call_Table_Data[[#This Row],[Satisfaction Rating]],0)</f>
        <v>4</v>
      </c>
    </row>
    <row r="537" spans="1:11" x14ac:dyDescent="0.3">
      <c r="A537" s="9" t="s">
        <v>574</v>
      </c>
      <c r="B537" s="9" t="s">
        <v>45</v>
      </c>
      <c r="C537" s="9">
        <v>147</v>
      </c>
      <c r="D537" s="10" t="s">
        <v>46</v>
      </c>
      <c r="E537" s="11">
        <v>45086</v>
      </c>
      <c r="F537" s="9">
        <v>140</v>
      </c>
      <c r="G537" s="9">
        <v>4.2</v>
      </c>
      <c r="H537" s="9">
        <f>IF(MONTH(Call_Table_Data[[#This Row],[Date of Call]])&lt;=3,YEAR(Call_Table_Data[[#This Row],[Date of Call]]),YEAR(Call_Table_Data[[#This Row],[Date of Call]])+1)</f>
        <v>2024</v>
      </c>
      <c r="I537" s="9" t="str">
        <f>TEXT(Call_Table_Data[[#This Row],[Date of Call]],"DDDD")</f>
        <v>Friday</v>
      </c>
      <c r="J537" s="9" t="str" cm="1">
        <f t="array" ref="J537">_xlfn.IFS(Call_Table_Data[[#This Row],[Duration]]&lt;=10,"Under 10 Mins",Call_Table_Data[[#This Row],[Duration]]&lt;=30,"10 to 30 Mins",Call_Table_Data[[#This Row],[Duration]]&lt;=60,"30 to 60 Mins",Call_Table_Data[[#This Row],[Duration]]&lt;=120,"1 to 2 Hours",TRUE,"More Than 2 Hours")</f>
        <v>More Than 2 Hours</v>
      </c>
      <c r="K537" s="9">
        <f>ROUND(Call_Table_Data[[#This Row],[Satisfaction Rating]],0)</f>
        <v>4</v>
      </c>
    </row>
    <row r="538" spans="1:11" x14ac:dyDescent="0.3">
      <c r="A538" s="9" t="s">
        <v>575</v>
      </c>
      <c r="B538" s="9" t="s">
        <v>23</v>
      </c>
      <c r="C538" s="9">
        <v>76</v>
      </c>
      <c r="D538" s="10" t="s">
        <v>46</v>
      </c>
      <c r="E538" s="11">
        <v>45086</v>
      </c>
      <c r="F538" s="9">
        <v>164</v>
      </c>
      <c r="G538" s="9">
        <v>4.5</v>
      </c>
      <c r="H538" s="9">
        <f>IF(MONTH(Call_Table_Data[[#This Row],[Date of Call]])&lt;=3,YEAR(Call_Table_Data[[#This Row],[Date of Call]]),YEAR(Call_Table_Data[[#This Row],[Date of Call]])+1)</f>
        <v>2024</v>
      </c>
      <c r="I538" s="9" t="str">
        <f>TEXT(Call_Table_Data[[#This Row],[Date of Call]],"DDDD")</f>
        <v>Friday</v>
      </c>
      <c r="J538" s="9" t="str" cm="1">
        <f t="array" ref="J538">_xlfn.IFS(Call_Table_Data[[#This Row],[Duration]]&lt;=10,"Under 10 Mins",Call_Table_Data[[#This Row],[Duration]]&lt;=30,"10 to 30 Mins",Call_Table_Data[[#This Row],[Duration]]&lt;=60,"30 to 60 Mins",Call_Table_Data[[#This Row],[Duration]]&lt;=120,"1 to 2 Hours",TRUE,"More Than 2 Hours")</f>
        <v>1 to 2 Hours</v>
      </c>
      <c r="K538" s="9">
        <f>ROUND(Call_Table_Data[[#This Row],[Satisfaction Rating]],0)</f>
        <v>5</v>
      </c>
    </row>
    <row r="539" spans="1:11" x14ac:dyDescent="0.3">
      <c r="A539" s="9" t="s">
        <v>576</v>
      </c>
      <c r="B539" s="9" t="s">
        <v>37</v>
      </c>
      <c r="C539" s="9">
        <v>99</v>
      </c>
      <c r="D539" s="10" t="s">
        <v>33</v>
      </c>
      <c r="E539" s="11">
        <v>45087</v>
      </c>
      <c r="F539" s="9">
        <v>180</v>
      </c>
      <c r="G539" s="9">
        <v>3.8</v>
      </c>
      <c r="H539" s="9">
        <f>IF(MONTH(Call_Table_Data[[#This Row],[Date of Call]])&lt;=3,YEAR(Call_Table_Data[[#This Row],[Date of Call]]),YEAR(Call_Table_Data[[#This Row],[Date of Call]])+1)</f>
        <v>2024</v>
      </c>
      <c r="I539" s="9" t="str">
        <f>TEXT(Call_Table_Data[[#This Row],[Date of Call]],"DDDD")</f>
        <v>Saturday</v>
      </c>
      <c r="J539" s="9" t="str" cm="1">
        <f t="array" ref="J539">_xlfn.IFS(Call_Table_Data[[#This Row],[Duration]]&lt;=10,"Under 10 Mins",Call_Table_Data[[#This Row],[Duration]]&lt;=30,"10 to 30 Mins",Call_Table_Data[[#This Row],[Duration]]&lt;=60,"30 to 60 Mins",Call_Table_Data[[#This Row],[Duration]]&lt;=120,"1 to 2 Hours",TRUE,"More Than 2 Hours")</f>
        <v>1 to 2 Hours</v>
      </c>
      <c r="K539" s="9">
        <f>ROUND(Call_Table_Data[[#This Row],[Satisfaction Rating]],0)</f>
        <v>4</v>
      </c>
    </row>
    <row r="540" spans="1:11" x14ac:dyDescent="0.3">
      <c r="A540" s="9" t="s">
        <v>577</v>
      </c>
      <c r="B540" s="9" t="s">
        <v>41</v>
      </c>
      <c r="C540" s="9">
        <v>111</v>
      </c>
      <c r="D540" s="10" t="s">
        <v>40</v>
      </c>
      <c r="E540" s="11">
        <v>45088</v>
      </c>
      <c r="F540" s="9">
        <v>22</v>
      </c>
      <c r="G540" s="9">
        <v>4.0999999999999996</v>
      </c>
      <c r="H540" s="9">
        <f>IF(MONTH(Call_Table_Data[[#This Row],[Date of Call]])&lt;=3,YEAR(Call_Table_Data[[#This Row],[Date of Call]]),YEAR(Call_Table_Data[[#This Row],[Date of Call]])+1)</f>
        <v>2024</v>
      </c>
      <c r="I540" s="9" t="str">
        <f>TEXT(Call_Table_Data[[#This Row],[Date of Call]],"DDDD")</f>
        <v>Sunday</v>
      </c>
      <c r="J540" s="9" t="str" cm="1">
        <f t="array" ref="J540">_xlfn.IFS(Call_Table_Data[[#This Row],[Duration]]&lt;=10,"Under 10 Mins",Call_Table_Data[[#This Row],[Duration]]&lt;=30,"10 to 30 Mins",Call_Table_Data[[#This Row],[Duration]]&lt;=60,"30 to 60 Mins",Call_Table_Data[[#This Row],[Duration]]&lt;=120,"1 to 2 Hours",TRUE,"More Than 2 Hours")</f>
        <v>1 to 2 Hours</v>
      </c>
      <c r="K540" s="9">
        <f>ROUND(Call_Table_Data[[#This Row],[Satisfaction Rating]],0)</f>
        <v>4</v>
      </c>
    </row>
    <row r="541" spans="1:11" x14ac:dyDescent="0.3">
      <c r="A541" s="9" t="s">
        <v>578</v>
      </c>
      <c r="B541" s="9" t="s">
        <v>32</v>
      </c>
      <c r="C541" s="9">
        <v>147</v>
      </c>
      <c r="D541" s="10" t="s">
        <v>17</v>
      </c>
      <c r="E541" s="11">
        <v>45088</v>
      </c>
      <c r="F541" s="9">
        <v>82</v>
      </c>
      <c r="G541" s="9">
        <v>4.4000000000000004</v>
      </c>
      <c r="H541" s="9">
        <f>IF(MONTH(Call_Table_Data[[#This Row],[Date of Call]])&lt;=3,YEAR(Call_Table_Data[[#This Row],[Date of Call]]),YEAR(Call_Table_Data[[#This Row],[Date of Call]])+1)</f>
        <v>2024</v>
      </c>
      <c r="I541" s="9" t="str">
        <f>TEXT(Call_Table_Data[[#This Row],[Date of Call]],"DDDD")</f>
        <v>Sunday</v>
      </c>
      <c r="J541" s="9" t="str" cm="1">
        <f t="array" ref="J541">_xlfn.IFS(Call_Table_Data[[#This Row],[Duration]]&lt;=10,"Under 10 Mins",Call_Table_Data[[#This Row],[Duration]]&lt;=30,"10 to 30 Mins",Call_Table_Data[[#This Row],[Duration]]&lt;=60,"30 to 60 Mins",Call_Table_Data[[#This Row],[Duration]]&lt;=120,"1 to 2 Hours",TRUE,"More Than 2 Hours")</f>
        <v>More Than 2 Hours</v>
      </c>
      <c r="K541" s="9">
        <f>ROUND(Call_Table_Data[[#This Row],[Satisfaction Rating]],0)</f>
        <v>4</v>
      </c>
    </row>
    <row r="542" spans="1:11" x14ac:dyDescent="0.3">
      <c r="A542" s="9" t="s">
        <v>579</v>
      </c>
      <c r="B542" s="9" t="s">
        <v>16</v>
      </c>
      <c r="C542" s="9">
        <v>141</v>
      </c>
      <c r="D542" s="10" t="s">
        <v>33</v>
      </c>
      <c r="E542" s="11">
        <v>45088</v>
      </c>
      <c r="F542" s="9">
        <v>100</v>
      </c>
      <c r="G542" s="9">
        <v>4.5999999999999996</v>
      </c>
      <c r="H542" s="9">
        <f>IF(MONTH(Call_Table_Data[[#This Row],[Date of Call]])&lt;=3,YEAR(Call_Table_Data[[#This Row],[Date of Call]]),YEAR(Call_Table_Data[[#This Row],[Date of Call]])+1)</f>
        <v>2024</v>
      </c>
      <c r="I542" s="9" t="str">
        <f>TEXT(Call_Table_Data[[#This Row],[Date of Call]],"DDDD")</f>
        <v>Sunday</v>
      </c>
      <c r="J542" s="9" t="str" cm="1">
        <f t="array" ref="J542">_xlfn.IFS(Call_Table_Data[[#This Row],[Duration]]&lt;=10,"Under 10 Mins",Call_Table_Data[[#This Row],[Duration]]&lt;=30,"10 to 30 Mins",Call_Table_Data[[#This Row],[Duration]]&lt;=60,"30 to 60 Mins",Call_Table_Data[[#This Row],[Duration]]&lt;=120,"1 to 2 Hours",TRUE,"More Than 2 Hours")</f>
        <v>More Than 2 Hours</v>
      </c>
      <c r="K542" s="9">
        <f>ROUND(Call_Table_Data[[#This Row],[Satisfaction Rating]],0)</f>
        <v>5</v>
      </c>
    </row>
    <row r="543" spans="1:11" x14ac:dyDescent="0.3">
      <c r="A543" s="9" t="s">
        <v>580</v>
      </c>
      <c r="B543" s="9" t="s">
        <v>23</v>
      </c>
      <c r="C543" s="9">
        <v>71</v>
      </c>
      <c r="D543" s="10" t="s">
        <v>46</v>
      </c>
      <c r="E543" s="11">
        <v>45089</v>
      </c>
      <c r="F543" s="9">
        <v>52</v>
      </c>
      <c r="G543" s="9">
        <v>3.4</v>
      </c>
      <c r="H543" s="9">
        <f>IF(MONTH(Call_Table_Data[[#This Row],[Date of Call]])&lt;=3,YEAR(Call_Table_Data[[#This Row],[Date of Call]]),YEAR(Call_Table_Data[[#This Row],[Date of Call]])+1)</f>
        <v>2024</v>
      </c>
      <c r="I543" s="9" t="str">
        <f>TEXT(Call_Table_Data[[#This Row],[Date of Call]],"DDDD")</f>
        <v>Monday</v>
      </c>
      <c r="J543" s="9" t="str" cm="1">
        <f t="array" ref="J543">_xlfn.IFS(Call_Table_Data[[#This Row],[Duration]]&lt;=10,"Under 10 Mins",Call_Table_Data[[#This Row],[Duration]]&lt;=30,"10 to 30 Mins",Call_Table_Data[[#This Row],[Duration]]&lt;=60,"30 to 60 Mins",Call_Table_Data[[#This Row],[Duration]]&lt;=120,"1 to 2 Hours",TRUE,"More Than 2 Hours")</f>
        <v>1 to 2 Hours</v>
      </c>
      <c r="K543" s="9">
        <f>ROUND(Call_Table_Data[[#This Row],[Satisfaction Rating]],0)</f>
        <v>3</v>
      </c>
    </row>
    <row r="544" spans="1:11" x14ac:dyDescent="0.3">
      <c r="A544" s="9" t="s">
        <v>581</v>
      </c>
      <c r="B544" s="9" t="s">
        <v>23</v>
      </c>
      <c r="C544" s="9">
        <v>121</v>
      </c>
      <c r="D544" s="10" t="s">
        <v>17</v>
      </c>
      <c r="E544" s="11">
        <v>45090</v>
      </c>
      <c r="F544" s="9">
        <v>84</v>
      </c>
      <c r="G544" s="9">
        <v>4.5999999999999996</v>
      </c>
      <c r="H544" s="9">
        <f>IF(MONTH(Call_Table_Data[[#This Row],[Date of Call]])&lt;=3,YEAR(Call_Table_Data[[#This Row],[Date of Call]]),YEAR(Call_Table_Data[[#This Row],[Date of Call]])+1)</f>
        <v>2024</v>
      </c>
      <c r="I544" s="9" t="str">
        <f>TEXT(Call_Table_Data[[#This Row],[Date of Call]],"DDDD")</f>
        <v>Tuesday</v>
      </c>
      <c r="J544" s="9" t="str" cm="1">
        <f t="array" ref="J544">_xlfn.IFS(Call_Table_Data[[#This Row],[Duration]]&lt;=10,"Under 10 Mins",Call_Table_Data[[#This Row],[Duration]]&lt;=30,"10 to 30 Mins",Call_Table_Data[[#This Row],[Duration]]&lt;=60,"30 to 60 Mins",Call_Table_Data[[#This Row],[Duration]]&lt;=120,"1 to 2 Hours",TRUE,"More Than 2 Hours")</f>
        <v>More Than 2 Hours</v>
      </c>
      <c r="K544" s="9">
        <f>ROUND(Call_Table_Data[[#This Row],[Satisfaction Rating]],0)</f>
        <v>5</v>
      </c>
    </row>
    <row r="545" spans="1:11" x14ac:dyDescent="0.3">
      <c r="A545" s="9" t="s">
        <v>582</v>
      </c>
      <c r="B545" s="9" t="s">
        <v>23</v>
      </c>
      <c r="C545" s="9">
        <v>60</v>
      </c>
      <c r="D545" s="10" t="s">
        <v>17</v>
      </c>
      <c r="E545" s="11">
        <v>45090</v>
      </c>
      <c r="F545" s="9">
        <v>37</v>
      </c>
      <c r="G545" s="9">
        <v>3.9</v>
      </c>
      <c r="H545" s="9">
        <f>IF(MONTH(Call_Table_Data[[#This Row],[Date of Call]])&lt;=3,YEAR(Call_Table_Data[[#This Row],[Date of Call]]),YEAR(Call_Table_Data[[#This Row],[Date of Call]])+1)</f>
        <v>2024</v>
      </c>
      <c r="I545" s="9" t="str">
        <f>TEXT(Call_Table_Data[[#This Row],[Date of Call]],"DDDD")</f>
        <v>Tuesday</v>
      </c>
      <c r="J545" s="9" t="str" cm="1">
        <f t="array" ref="J545">_xlfn.IFS(Call_Table_Data[[#This Row],[Duration]]&lt;=10,"Under 10 Mins",Call_Table_Data[[#This Row],[Duration]]&lt;=30,"10 to 30 Mins",Call_Table_Data[[#This Row],[Duration]]&lt;=60,"30 to 60 Mins",Call_Table_Data[[#This Row],[Duration]]&lt;=120,"1 to 2 Hours",TRUE,"More Than 2 Hours")</f>
        <v>30 to 60 Mins</v>
      </c>
      <c r="K545" s="9">
        <f>ROUND(Call_Table_Data[[#This Row],[Satisfaction Rating]],0)</f>
        <v>4</v>
      </c>
    </row>
    <row r="546" spans="1:11" x14ac:dyDescent="0.3">
      <c r="A546" s="9" t="s">
        <v>583</v>
      </c>
      <c r="B546" s="9" t="s">
        <v>54</v>
      </c>
      <c r="C546" s="9">
        <v>158</v>
      </c>
      <c r="D546" s="10" t="s">
        <v>33</v>
      </c>
      <c r="E546" s="11">
        <v>45091</v>
      </c>
      <c r="F546" s="9">
        <v>190</v>
      </c>
      <c r="G546" s="9">
        <v>4</v>
      </c>
      <c r="H546" s="9">
        <f>IF(MONTH(Call_Table_Data[[#This Row],[Date of Call]])&lt;=3,YEAR(Call_Table_Data[[#This Row],[Date of Call]]),YEAR(Call_Table_Data[[#This Row],[Date of Call]])+1)</f>
        <v>2024</v>
      </c>
      <c r="I546" s="9" t="str">
        <f>TEXT(Call_Table_Data[[#This Row],[Date of Call]],"DDDD")</f>
        <v>Wednesday</v>
      </c>
      <c r="J546" s="9" t="str" cm="1">
        <f t="array" ref="J546">_xlfn.IFS(Call_Table_Data[[#This Row],[Duration]]&lt;=10,"Under 10 Mins",Call_Table_Data[[#This Row],[Duration]]&lt;=30,"10 to 30 Mins",Call_Table_Data[[#This Row],[Duration]]&lt;=60,"30 to 60 Mins",Call_Table_Data[[#This Row],[Duration]]&lt;=120,"1 to 2 Hours",TRUE,"More Than 2 Hours")</f>
        <v>More Than 2 Hours</v>
      </c>
      <c r="K546" s="9">
        <f>ROUND(Call_Table_Data[[#This Row],[Satisfaction Rating]],0)</f>
        <v>4</v>
      </c>
    </row>
    <row r="547" spans="1:11" x14ac:dyDescent="0.3">
      <c r="A547" s="9" t="s">
        <v>584</v>
      </c>
      <c r="B547" s="9" t="s">
        <v>45</v>
      </c>
      <c r="C547" s="9">
        <v>159</v>
      </c>
      <c r="D547" s="10" t="s">
        <v>27</v>
      </c>
      <c r="E547" s="11">
        <v>45091</v>
      </c>
      <c r="F547" s="9">
        <v>66</v>
      </c>
      <c r="G547" s="9">
        <v>3.4</v>
      </c>
      <c r="H547" s="9">
        <f>IF(MONTH(Call_Table_Data[[#This Row],[Date of Call]])&lt;=3,YEAR(Call_Table_Data[[#This Row],[Date of Call]]),YEAR(Call_Table_Data[[#This Row],[Date of Call]])+1)</f>
        <v>2024</v>
      </c>
      <c r="I547" s="9" t="str">
        <f>TEXT(Call_Table_Data[[#This Row],[Date of Call]],"DDDD")</f>
        <v>Wednesday</v>
      </c>
      <c r="J547" s="9" t="str" cm="1">
        <f t="array" ref="J547">_xlfn.IFS(Call_Table_Data[[#This Row],[Duration]]&lt;=10,"Under 10 Mins",Call_Table_Data[[#This Row],[Duration]]&lt;=30,"10 to 30 Mins",Call_Table_Data[[#This Row],[Duration]]&lt;=60,"30 to 60 Mins",Call_Table_Data[[#This Row],[Duration]]&lt;=120,"1 to 2 Hours",TRUE,"More Than 2 Hours")</f>
        <v>More Than 2 Hours</v>
      </c>
      <c r="K547" s="9">
        <f>ROUND(Call_Table_Data[[#This Row],[Satisfaction Rating]],0)</f>
        <v>3</v>
      </c>
    </row>
    <row r="548" spans="1:11" x14ac:dyDescent="0.3">
      <c r="A548" s="9" t="s">
        <v>585</v>
      </c>
      <c r="B548" s="9" t="s">
        <v>22</v>
      </c>
      <c r="C548" s="9">
        <v>70</v>
      </c>
      <c r="D548" s="10" t="s">
        <v>46</v>
      </c>
      <c r="E548" s="11">
        <v>45092</v>
      </c>
      <c r="F548" s="9">
        <v>116</v>
      </c>
      <c r="G548" s="9">
        <v>3.2</v>
      </c>
      <c r="H548" s="9">
        <f>IF(MONTH(Call_Table_Data[[#This Row],[Date of Call]])&lt;=3,YEAR(Call_Table_Data[[#This Row],[Date of Call]]),YEAR(Call_Table_Data[[#This Row],[Date of Call]])+1)</f>
        <v>2024</v>
      </c>
      <c r="I548" s="9" t="str">
        <f>TEXT(Call_Table_Data[[#This Row],[Date of Call]],"DDDD")</f>
        <v>Thursday</v>
      </c>
      <c r="J548" s="9" t="str" cm="1">
        <f t="array" ref="J548">_xlfn.IFS(Call_Table_Data[[#This Row],[Duration]]&lt;=10,"Under 10 Mins",Call_Table_Data[[#This Row],[Duration]]&lt;=30,"10 to 30 Mins",Call_Table_Data[[#This Row],[Duration]]&lt;=60,"30 to 60 Mins",Call_Table_Data[[#This Row],[Duration]]&lt;=120,"1 to 2 Hours",TRUE,"More Than 2 Hours")</f>
        <v>1 to 2 Hours</v>
      </c>
      <c r="K548" s="9">
        <f>ROUND(Call_Table_Data[[#This Row],[Satisfaction Rating]],0)</f>
        <v>3</v>
      </c>
    </row>
    <row r="549" spans="1:11" x14ac:dyDescent="0.3">
      <c r="A549" s="9" t="s">
        <v>586</v>
      </c>
      <c r="B549" s="9" t="s">
        <v>50</v>
      </c>
      <c r="C549" s="9">
        <v>78</v>
      </c>
      <c r="D549" s="10" t="s">
        <v>40</v>
      </c>
      <c r="E549" s="11">
        <v>45092</v>
      </c>
      <c r="F549" s="9">
        <v>28</v>
      </c>
      <c r="G549" s="9">
        <v>3.9</v>
      </c>
      <c r="H549" s="9">
        <f>IF(MONTH(Call_Table_Data[[#This Row],[Date of Call]])&lt;=3,YEAR(Call_Table_Data[[#This Row],[Date of Call]]),YEAR(Call_Table_Data[[#This Row],[Date of Call]])+1)</f>
        <v>2024</v>
      </c>
      <c r="I549" s="9" t="str">
        <f>TEXT(Call_Table_Data[[#This Row],[Date of Call]],"DDDD")</f>
        <v>Thursday</v>
      </c>
      <c r="J549" s="9" t="str" cm="1">
        <f t="array" ref="J549">_xlfn.IFS(Call_Table_Data[[#This Row],[Duration]]&lt;=10,"Under 10 Mins",Call_Table_Data[[#This Row],[Duration]]&lt;=30,"10 to 30 Mins",Call_Table_Data[[#This Row],[Duration]]&lt;=60,"30 to 60 Mins",Call_Table_Data[[#This Row],[Duration]]&lt;=120,"1 to 2 Hours",TRUE,"More Than 2 Hours")</f>
        <v>1 to 2 Hours</v>
      </c>
      <c r="K549" s="9">
        <f>ROUND(Call_Table_Data[[#This Row],[Satisfaction Rating]],0)</f>
        <v>4</v>
      </c>
    </row>
    <row r="550" spans="1:11" x14ac:dyDescent="0.3">
      <c r="A550" s="9" t="s">
        <v>587</v>
      </c>
      <c r="B550" s="9" t="s">
        <v>32</v>
      </c>
      <c r="C550" s="9">
        <v>103</v>
      </c>
      <c r="D550" s="10" t="s">
        <v>46</v>
      </c>
      <c r="E550" s="11">
        <v>45092</v>
      </c>
      <c r="F550" s="9">
        <v>120</v>
      </c>
      <c r="G550" s="9">
        <v>5</v>
      </c>
      <c r="H550" s="9">
        <f>IF(MONTH(Call_Table_Data[[#This Row],[Date of Call]])&lt;=3,YEAR(Call_Table_Data[[#This Row],[Date of Call]]),YEAR(Call_Table_Data[[#This Row],[Date of Call]])+1)</f>
        <v>2024</v>
      </c>
      <c r="I550" s="9" t="str">
        <f>TEXT(Call_Table_Data[[#This Row],[Date of Call]],"DDDD")</f>
        <v>Thursday</v>
      </c>
      <c r="J550" s="9" t="str" cm="1">
        <f t="array" ref="J550">_xlfn.IFS(Call_Table_Data[[#This Row],[Duration]]&lt;=10,"Under 10 Mins",Call_Table_Data[[#This Row],[Duration]]&lt;=30,"10 to 30 Mins",Call_Table_Data[[#This Row],[Duration]]&lt;=60,"30 to 60 Mins",Call_Table_Data[[#This Row],[Duration]]&lt;=120,"1 to 2 Hours",TRUE,"More Than 2 Hours")</f>
        <v>1 to 2 Hours</v>
      </c>
      <c r="K550" s="9">
        <f>ROUND(Call_Table_Data[[#This Row],[Satisfaction Rating]],0)</f>
        <v>5</v>
      </c>
    </row>
    <row r="551" spans="1:11" x14ac:dyDescent="0.3">
      <c r="A551" s="9" t="s">
        <v>588</v>
      </c>
      <c r="B551" s="9" t="s">
        <v>26</v>
      </c>
      <c r="C551" s="9">
        <v>108</v>
      </c>
      <c r="D551" s="10" t="s">
        <v>33</v>
      </c>
      <c r="E551" s="11">
        <v>45092</v>
      </c>
      <c r="F551" s="9">
        <v>56</v>
      </c>
      <c r="G551" s="9">
        <v>3.5</v>
      </c>
      <c r="H551" s="9">
        <f>IF(MONTH(Call_Table_Data[[#This Row],[Date of Call]])&lt;=3,YEAR(Call_Table_Data[[#This Row],[Date of Call]]),YEAR(Call_Table_Data[[#This Row],[Date of Call]])+1)</f>
        <v>2024</v>
      </c>
      <c r="I551" s="9" t="str">
        <f>TEXT(Call_Table_Data[[#This Row],[Date of Call]],"DDDD")</f>
        <v>Thursday</v>
      </c>
      <c r="J551" s="9" t="str" cm="1">
        <f t="array" ref="J551">_xlfn.IFS(Call_Table_Data[[#This Row],[Duration]]&lt;=10,"Under 10 Mins",Call_Table_Data[[#This Row],[Duration]]&lt;=30,"10 to 30 Mins",Call_Table_Data[[#This Row],[Duration]]&lt;=60,"30 to 60 Mins",Call_Table_Data[[#This Row],[Duration]]&lt;=120,"1 to 2 Hours",TRUE,"More Than 2 Hours")</f>
        <v>1 to 2 Hours</v>
      </c>
      <c r="K551" s="9">
        <f>ROUND(Call_Table_Data[[#This Row],[Satisfaction Rating]],0)</f>
        <v>4</v>
      </c>
    </row>
    <row r="552" spans="1:11" x14ac:dyDescent="0.3">
      <c r="A552" s="9" t="s">
        <v>589</v>
      </c>
      <c r="B552" s="9" t="s">
        <v>26</v>
      </c>
      <c r="C552" s="9">
        <v>44</v>
      </c>
      <c r="D552" s="10" t="s">
        <v>17</v>
      </c>
      <c r="E552" s="11">
        <v>45092</v>
      </c>
      <c r="F552" s="9">
        <v>170</v>
      </c>
      <c r="G552" s="9">
        <v>3.8</v>
      </c>
      <c r="H552" s="9">
        <f>IF(MONTH(Call_Table_Data[[#This Row],[Date of Call]])&lt;=3,YEAR(Call_Table_Data[[#This Row],[Date of Call]]),YEAR(Call_Table_Data[[#This Row],[Date of Call]])+1)</f>
        <v>2024</v>
      </c>
      <c r="I552" s="9" t="str">
        <f>TEXT(Call_Table_Data[[#This Row],[Date of Call]],"DDDD")</f>
        <v>Thursday</v>
      </c>
      <c r="J552" s="9" t="str" cm="1">
        <f t="array" ref="J552">_xlfn.IFS(Call_Table_Data[[#This Row],[Duration]]&lt;=10,"Under 10 Mins",Call_Table_Data[[#This Row],[Duration]]&lt;=30,"10 to 30 Mins",Call_Table_Data[[#This Row],[Duration]]&lt;=60,"30 to 60 Mins",Call_Table_Data[[#This Row],[Duration]]&lt;=120,"1 to 2 Hours",TRUE,"More Than 2 Hours")</f>
        <v>30 to 60 Mins</v>
      </c>
      <c r="K552" s="9">
        <f>ROUND(Call_Table_Data[[#This Row],[Satisfaction Rating]],0)</f>
        <v>4</v>
      </c>
    </row>
    <row r="553" spans="1:11" x14ac:dyDescent="0.3">
      <c r="A553" s="9" t="s">
        <v>590</v>
      </c>
      <c r="B553" s="9" t="s">
        <v>50</v>
      </c>
      <c r="C553" s="9">
        <v>127</v>
      </c>
      <c r="D553" s="10" t="s">
        <v>33</v>
      </c>
      <c r="E553" s="11">
        <v>45093</v>
      </c>
      <c r="F553" s="9">
        <v>200</v>
      </c>
      <c r="G553" s="9">
        <v>4.8</v>
      </c>
      <c r="H553" s="9">
        <f>IF(MONTH(Call_Table_Data[[#This Row],[Date of Call]])&lt;=3,YEAR(Call_Table_Data[[#This Row],[Date of Call]]),YEAR(Call_Table_Data[[#This Row],[Date of Call]])+1)</f>
        <v>2024</v>
      </c>
      <c r="I553" s="9" t="str">
        <f>TEXT(Call_Table_Data[[#This Row],[Date of Call]],"DDDD")</f>
        <v>Friday</v>
      </c>
      <c r="J553" s="9" t="str" cm="1">
        <f t="array" ref="J553">_xlfn.IFS(Call_Table_Data[[#This Row],[Duration]]&lt;=10,"Under 10 Mins",Call_Table_Data[[#This Row],[Duration]]&lt;=30,"10 to 30 Mins",Call_Table_Data[[#This Row],[Duration]]&lt;=60,"30 to 60 Mins",Call_Table_Data[[#This Row],[Duration]]&lt;=120,"1 to 2 Hours",TRUE,"More Than 2 Hours")</f>
        <v>More Than 2 Hours</v>
      </c>
      <c r="K553" s="9">
        <f>ROUND(Call_Table_Data[[#This Row],[Satisfaction Rating]],0)</f>
        <v>5</v>
      </c>
    </row>
    <row r="554" spans="1:11" x14ac:dyDescent="0.3">
      <c r="A554" s="9" t="s">
        <v>591</v>
      </c>
      <c r="B554" s="9" t="s">
        <v>32</v>
      </c>
      <c r="C554" s="9">
        <v>132</v>
      </c>
      <c r="D554" s="10" t="s">
        <v>46</v>
      </c>
      <c r="E554" s="11">
        <v>45094</v>
      </c>
      <c r="F554" s="9">
        <v>50</v>
      </c>
      <c r="G554" s="9">
        <v>4.2</v>
      </c>
      <c r="H554" s="9">
        <f>IF(MONTH(Call_Table_Data[[#This Row],[Date of Call]])&lt;=3,YEAR(Call_Table_Data[[#This Row],[Date of Call]]),YEAR(Call_Table_Data[[#This Row],[Date of Call]])+1)</f>
        <v>2024</v>
      </c>
      <c r="I554" s="9" t="str">
        <f>TEXT(Call_Table_Data[[#This Row],[Date of Call]],"DDDD")</f>
        <v>Saturday</v>
      </c>
      <c r="J554" s="9" t="str" cm="1">
        <f t="array" ref="J554">_xlfn.IFS(Call_Table_Data[[#This Row],[Duration]]&lt;=10,"Under 10 Mins",Call_Table_Data[[#This Row],[Duration]]&lt;=30,"10 to 30 Mins",Call_Table_Data[[#This Row],[Duration]]&lt;=60,"30 to 60 Mins",Call_Table_Data[[#This Row],[Duration]]&lt;=120,"1 to 2 Hours",TRUE,"More Than 2 Hours")</f>
        <v>More Than 2 Hours</v>
      </c>
      <c r="K554" s="9">
        <f>ROUND(Call_Table_Data[[#This Row],[Satisfaction Rating]],0)</f>
        <v>4</v>
      </c>
    </row>
    <row r="555" spans="1:11" x14ac:dyDescent="0.3">
      <c r="A555" s="9" t="s">
        <v>592</v>
      </c>
      <c r="B555" s="9" t="s">
        <v>16</v>
      </c>
      <c r="C555" s="9">
        <v>106</v>
      </c>
      <c r="D555" s="10" t="s">
        <v>40</v>
      </c>
      <c r="E555" s="11">
        <v>45094</v>
      </c>
      <c r="F555" s="9">
        <v>112</v>
      </c>
      <c r="G555" s="9">
        <v>3.7</v>
      </c>
      <c r="H555" s="9">
        <f>IF(MONTH(Call_Table_Data[[#This Row],[Date of Call]])&lt;=3,YEAR(Call_Table_Data[[#This Row],[Date of Call]]),YEAR(Call_Table_Data[[#This Row],[Date of Call]])+1)</f>
        <v>2024</v>
      </c>
      <c r="I555" s="9" t="str">
        <f>TEXT(Call_Table_Data[[#This Row],[Date of Call]],"DDDD")</f>
        <v>Saturday</v>
      </c>
      <c r="J555" s="9" t="str" cm="1">
        <f t="array" ref="J555">_xlfn.IFS(Call_Table_Data[[#This Row],[Duration]]&lt;=10,"Under 10 Mins",Call_Table_Data[[#This Row],[Duration]]&lt;=30,"10 to 30 Mins",Call_Table_Data[[#This Row],[Duration]]&lt;=60,"30 to 60 Mins",Call_Table_Data[[#This Row],[Duration]]&lt;=120,"1 to 2 Hours",TRUE,"More Than 2 Hours")</f>
        <v>1 to 2 Hours</v>
      </c>
      <c r="K555" s="9">
        <f>ROUND(Call_Table_Data[[#This Row],[Satisfaction Rating]],0)</f>
        <v>4</v>
      </c>
    </row>
    <row r="556" spans="1:11" x14ac:dyDescent="0.3">
      <c r="A556" s="9" t="s">
        <v>593</v>
      </c>
      <c r="B556" s="9" t="s">
        <v>41</v>
      </c>
      <c r="C556" s="9">
        <v>107</v>
      </c>
      <c r="D556" s="10" t="s">
        <v>46</v>
      </c>
      <c r="E556" s="11">
        <v>45095</v>
      </c>
      <c r="F556" s="9">
        <v>39</v>
      </c>
      <c r="G556" s="9">
        <v>4.8</v>
      </c>
      <c r="H556" s="9">
        <f>IF(MONTH(Call_Table_Data[[#This Row],[Date of Call]])&lt;=3,YEAR(Call_Table_Data[[#This Row],[Date of Call]]),YEAR(Call_Table_Data[[#This Row],[Date of Call]])+1)</f>
        <v>2024</v>
      </c>
      <c r="I556" s="9" t="str">
        <f>TEXT(Call_Table_Data[[#This Row],[Date of Call]],"DDDD")</f>
        <v>Sunday</v>
      </c>
      <c r="J556" s="9" t="str" cm="1">
        <f t="array" ref="J556">_xlfn.IFS(Call_Table_Data[[#This Row],[Duration]]&lt;=10,"Under 10 Mins",Call_Table_Data[[#This Row],[Duration]]&lt;=30,"10 to 30 Mins",Call_Table_Data[[#This Row],[Duration]]&lt;=60,"30 to 60 Mins",Call_Table_Data[[#This Row],[Duration]]&lt;=120,"1 to 2 Hours",TRUE,"More Than 2 Hours")</f>
        <v>1 to 2 Hours</v>
      </c>
      <c r="K556" s="9">
        <f>ROUND(Call_Table_Data[[#This Row],[Satisfaction Rating]],0)</f>
        <v>5</v>
      </c>
    </row>
    <row r="557" spans="1:11" x14ac:dyDescent="0.3">
      <c r="A557" s="9" t="s">
        <v>594</v>
      </c>
      <c r="B557" s="9" t="s">
        <v>45</v>
      </c>
      <c r="C557" s="9">
        <v>85</v>
      </c>
      <c r="D557" s="10" t="s">
        <v>40</v>
      </c>
      <c r="E557" s="11">
        <v>45095</v>
      </c>
      <c r="F557" s="9">
        <v>38</v>
      </c>
      <c r="G557" s="9">
        <v>4.8</v>
      </c>
      <c r="H557" s="9">
        <f>IF(MONTH(Call_Table_Data[[#This Row],[Date of Call]])&lt;=3,YEAR(Call_Table_Data[[#This Row],[Date of Call]]),YEAR(Call_Table_Data[[#This Row],[Date of Call]])+1)</f>
        <v>2024</v>
      </c>
      <c r="I557" s="9" t="str">
        <f>TEXT(Call_Table_Data[[#This Row],[Date of Call]],"DDDD")</f>
        <v>Sunday</v>
      </c>
      <c r="J557" s="9" t="str" cm="1">
        <f t="array" ref="J557">_xlfn.IFS(Call_Table_Data[[#This Row],[Duration]]&lt;=10,"Under 10 Mins",Call_Table_Data[[#This Row],[Duration]]&lt;=30,"10 to 30 Mins",Call_Table_Data[[#This Row],[Duration]]&lt;=60,"30 to 60 Mins",Call_Table_Data[[#This Row],[Duration]]&lt;=120,"1 to 2 Hours",TRUE,"More Than 2 Hours")</f>
        <v>1 to 2 Hours</v>
      </c>
      <c r="K557" s="9">
        <f>ROUND(Call_Table_Data[[#This Row],[Satisfaction Rating]],0)</f>
        <v>5</v>
      </c>
    </row>
    <row r="558" spans="1:11" x14ac:dyDescent="0.3">
      <c r="A558" s="9" t="s">
        <v>595</v>
      </c>
      <c r="B558" s="9" t="s">
        <v>37</v>
      </c>
      <c r="C558" s="9">
        <v>49</v>
      </c>
      <c r="D558" s="10" t="s">
        <v>46</v>
      </c>
      <c r="E558" s="11">
        <v>45096</v>
      </c>
      <c r="F558" s="9">
        <v>84</v>
      </c>
      <c r="G558" s="9">
        <v>2.9</v>
      </c>
      <c r="H558" s="9">
        <f>IF(MONTH(Call_Table_Data[[#This Row],[Date of Call]])&lt;=3,YEAR(Call_Table_Data[[#This Row],[Date of Call]]),YEAR(Call_Table_Data[[#This Row],[Date of Call]])+1)</f>
        <v>2024</v>
      </c>
      <c r="I558" s="9" t="str">
        <f>TEXT(Call_Table_Data[[#This Row],[Date of Call]],"DDDD")</f>
        <v>Monday</v>
      </c>
      <c r="J558" s="9" t="str" cm="1">
        <f t="array" ref="J558">_xlfn.IFS(Call_Table_Data[[#This Row],[Duration]]&lt;=10,"Under 10 Mins",Call_Table_Data[[#This Row],[Duration]]&lt;=30,"10 to 30 Mins",Call_Table_Data[[#This Row],[Duration]]&lt;=60,"30 to 60 Mins",Call_Table_Data[[#This Row],[Duration]]&lt;=120,"1 to 2 Hours",TRUE,"More Than 2 Hours")</f>
        <v>30 to 60 Mins</v>
      </c>
      <c r="K558" s="9">
        <f>ROUND(Call_Table_Data[[#This Row],[Satisfaction Rating]],0)</f>
        <v>3</v>
      </c>
    </row>
    <row r="559" spans="1:11" x14ac:dyDescent="0.3">
      <c r="A559" s="9" t="s">
        <v>596</v>
      </c>
      <c r="B559" s="9" t="s">
        <v>23</v>
      </c>
      <c r="C559" s="9">
        <v>117</v>
      </c>
      <c r="D559" s="10" t="s">
        <v>33</v>
      </c>
      <c r="E559" s="11">
        <v>45097</v>
      </c>
      <c r="F559" s="9">
        <v>82</v>
      </c>
      <c r="G559" s="9">
        <v>3.5</v>
      </c>
      <c r="H559" s="9">
        <f>IF(MONTH(Call_Table_Data[[#This Row],[Date of Call]])&lt;=3,YEAR(Call_Table_Data[[#This Row],[Date of Call]]),YEAR(Call_Table_Data[[#This Row],[Date of Call]])+1)</f>
        <v>2024</v>
      </c>
      <c r="I559" s="9" t="str">
        <f>TEXT(Call_Table_Data[[#This Row],[Date of Call]],"DDDD")</f>
        <v>Tuesday</v>
      </c>
      <c r="J559" s="9" t="str" cm="1">
        <f t="array" ref="J559">_xlfn.IFS(Call_Table_Data[[#This Row],[Duration]]&lt;=10,"Under 10 Mins",Call_Table_Data[[#This Row],[Duration]]&lt;=30,"10 to 30 Mins",Call_Table_Data[[#This Row],[Duration]]&lt;=60,"30 to 60 Mins",Call_Table_Data[[#This Row],[Duration]]&lt;=120,"1 to 2 Hours",TRUE,"More Than 2 Hours")</f>
        <v>1 to 2 Hours</v>
      </c>
      <c r="K559" s="9">
        <f>ROUND(Call_Table_Data[[#This Row],[Satisfaction Rating]],0)</f>
        <v>4</v>
      </c>
    </row>
    <row r="560" spans="1:11" x14ac:dyDescent="0.3">
      <c r="A560" s="9" t="s">
        <v>597</v>
      </c>
      <c r="B560" s="9" t="s">
        <v>41</v>
      </c>
      <c r="C560" s="9">
        <v>136</v>
      </c>
      <c r="D560" s="10" t="s">
        <v>40</v>
      </c>
      <c r="E560" s="11">
        <v>45097</v>
      </c>
      <c r="F560" s="9">
        <v>37</v>
      </c>
      <c r="G560" s="9">
        <v>0.9</v>
      </c>
      <c r="H560" s="9">
        <f>IF(MONTH(Call_Table_Data[[#This Row],[Date of Call]])&lt;=3,YEAR(Call_Table_Data[[#This Row],[Date of Call]]),YEAR(Call_Table_Data[[#This Row],[Date of Call]])+1)</f>
        <v>2024</v>
      </c>
      <c r="I560" s="9" t="str">
        <f>TEXT(Call_Table_Data[[#This Row],[Date of Call]],"DDDD")</f>
        <v>Tuesday</v>
      </c>
      <c r="J560" s="9" t="str" cm="1">
        <f t="array" ref="J560">_xlfn.IFS(Call_Table_Data[[#This Row],[Duration]]&lt;=10,"Under 10 Mins",Call_Table_Data[[#This Row],[Duration]]&lt;=30,"10 to 30 Mins",Call_Table_Data[[#This Row],[Duration]]&lt;=60,"30 to 60 Mins",Call_Table_Data[[#This Row],[Duration]]&lt;=120,"1 to 2 Hours",TRUE,"More Than 2 Hours")</f>
        <v>More Than 2 Hours</v>
      </c>
      <c r="K560" s="9">
        <f>ROUND(Call_Table_Data[[#This Row],[Satisfaction Rating]],0)</f>
        <v>1</v>
      </c>
    </row>
    <row r="561" spans="1:11" x14ac:dyDescent="0.3">
      <c r="A561" s="9" t="s">
        <v>598</v>
      </c>
      <c r="B561" s="9" t="s">
        <v>26</v>
      </c>
      <c r="C561" s="9">
        <v>130</v>
      </c>
      <c r="D561" s="10" t="s">
        <v>27</v>
      </c>
      <c r="E561" s="11">
        <v>45098</v>
      </c>
      <c r="F561" s="9">
        <v>87</v>
      </c>
      <c r="G561" s="9">
        <v>3.4</v>
      </c>
      <c r="H561" s="9">
        <f>IF(MONTH(Call_Table_Data[[#This Row],[Date of Call]])&lt;=3,YEAR(Call_Table_Data[[#This Row],[Date of Call]]),YEAR(Call_Table_Data[[#This Row],[Date of Call]])+1)</f>
        <v>2024</v>
      </c>
      <c r="I561" s="9" t="str">
        <f>TEXT(Call_Table_Data[[#This Row],[Date of Call]],"DDDD")</f>
        <v>Wednesday</v>
      </c>
      <c r="J561" s="9" t="str" cm="1">
        <f t="array" ref="J561">_xlfn.IFS(Call_Table_Data[[#This Row],[Duration]]&lt;=10,"Under 10 Mins",Call_Table_Data[[#This Row],[Duration]]&lt;=30,"10 to 30 Mins",Call_Table_Data[[#This Row],[Duration]]&lt;=60,"30 to 60 Mins",Call_Table_Data[[#This Row],[Duration]]&lt;=120,"1 to 2 Hours",TRUE,"More Than 2 Hours")</f>
        <v>More Than 2 Hours</v>
      </c>
      <c r="K561" s="9">
        <f>ROUND(Call_Table_Data[[#This Row],[Satisfaction Rating]],0)</f>
        <v>3</v>
      </c>
    </row>
    <row r="562" spans="1:11" x14ac:dyDescent="0.3">
      <c r="A562" s="9" t="s">
        <v>599</v>
      </c>
      <c r="B562" s="9" t="s">
        <v>26</v>
      </c>
      <c r="C562" s="9">
        <v>73</v>
      </c>
      <c r="D562" s="10" t="s">
        <v>27</v>
      </c>
      <c r="E562" s="11">
        <v>45098</v>
      </c>
      <c r="F562" s="9">
        <v>75</v>
      </c>
      <c r="G562" s="9">
        <v>2.7</v>
      </c>
      <c r="H562" s="9">
        <f>IF(MONTH(Call_Table_Data[[#This Row],[Date of Call]])&lt;=3,YEAR(Call_Table_Data[[#This Row],[Date of Call]]),YEAR(Call_Table_Data[[#This Row],[Date of Call]])+1)</f>
        <v>2024</v>
      </c>
      <c r="I562" s="9" t="str">
        <f>TEXT(Call_Table_Data[[#This Row],[Date of Call]],"DDDD")</f>
        <v>Wednesday</v>
      </c>
      <c r="J562" s="9" t="str" cm="1">
        <f t="array" ref="J562">_xlfn.IFS(Call_Table_Data[[#This Row],[Duration]]&lt;=10,"Under 10 Mins",Call_Table_Data[[#This Row],[Duration]]&lt;=30,"10 to 30 Mins",Call_Table_Data[[#This Row],[Duration]]&lt;=60,"30 to 60 Mins",Call_Table_Data[[#This Row],[Duration]]&lt;=120,"1 to 2 Hours",TRUE,"More Than 2 Hours")</f>
        <v>1 to 2 Hours</v>
      </c>
      <c r="K562" s="9">
        <f>ROUND(Call_Table_Data[[#This Row],[Satisfaction Rating]],0)</f>
        <v>3</v>
      </c>
    </row>
    <row r="563" spans="1:11" x14ac:dyDescent="0.3">
      <c r="A563" s="9" t="s">
        <v>600</v>
      </c>
      <c r="B563" s="9" t="s">
        <v>37</v>
      </c>
      <c r="C563" s="9">
        <v>80</v>
      </c>
      <c r="D563" s="10" t="s">
        <v>46</v>
      </c>
      <c r="E563" s="11">
        <v>45098</v>
      </c>
      <c r="F563" s="9">
        <v>32</v>
      </c>
      <c r="G563" s="9">
        <v>4.7</v>
      </c>
      <c r="H563" s="9">
        <f>IF(MONTH(Call_Table_Data[[#This Row],[Date of Call]])&lt;=3,YEAR(Call_Table_Data[[#This Row],[Date of Call]]),YEAR(Call_Table_Data[[#This Row],[Date of Call]])+1)</f>
        <v>2024</v>
      </c>
      <c r="I563" s="9" t="str">
        <f>TEXT(Call_Table_Data[[#This Row],[Date of Call]],"DDDD")</f>
        <v>Wednesday</v>
      </c>
      <c r="J563" s="9" t="str" cm="1">
        <f t="array" ref="J563">_xlfn.IFS(Call_Table_Data[[#This Row],[Duration]]&lt;=10,"Under 10 Mins",Call_Table_Data[[#This Row],[Duration]]&lt;=30,"10 to 30 Mins",Call_Table_Data[[#This Row],[Duration]]&lt;=60,"30 to 60 Mins",Call_Table_Data[[#This Row],[Duration]]&lt;=120,"1 to 2 Hours",TRUE,"More Than 2 Hours")</f>
        <v>1 to 2 Hours</v>
      </c>
      <c r="K563" s="9">
        <f>ROUND(Call_Table_Data[[#This Row],[Satisfaction Rating]],0)</f>
        <v>5</v>
      </c>
    </row>
    <row r="564" spans="1:11" x14ac:dyDescent="0.3">
      <c r="A564" s="9" t="s">
        <v>601</v>
      </c>
      <c r="B564" s="9" t="s">
        <v>18</v>
      </c>
      <c r="C564" s="9">
        <v>44</v>
      </c>
      <c r="D564" s="10" t="s">
        <v>33</v>
      </c>
      <c r="E564" s="11">
        <v>45098</v>
      </c>
      <c r="F564" s="9">
        <v>33</v>
      </c>
      <c r="G564" s="9">
        <v>3</v>
      </c>
      <c r="H564" s="9">
        <f>IF(MONTH(Call_Table_Data[[#This Row],[Date of Call]])&lt;=3,YEAR(Call_Table_Data[[#This Row],[Date of Call]]),YEAR(Call_Table_Data[[#This Row],[Date of Call]])+1)</f>
        <v>2024</v>
      </c>
      <c r="I564" s="9" t="str">
        <f>TEXT(Call_Table_Data[[#This Row],[Date of Call]],"DDDD")</f>
        <v>Wednesday</v>
      </c>
      <c r="J564" s="9" t="str" cm="1">
        <f t="array" ref="J564">_xlfn.IFS(Call_Table_Data[[#This Row],[Duration]]&lt;=10,"Under 10 Mins",Call_Table_Data[[#This Row],[Duration]]&lt;=30,"10 to 30 Mins",Call_Table_Data[[#This Row],[Duration]]&lt;=60,"30 to 60 Mins",Call_Table_Data[[#This Row],[Duration]]&lt;=120,"1 to 2 Hours",TRUE,"More Than 2 Hours")</f>
        <v>30 to 60 Mins</v>
      </c>
      <c r="K564" s="9">
        <f>ROUND(Call_Table_Data[[#This Row],[Satisfaction Rating]],0)</f>
        <v>3</v>
      </c>
    </row>
    <row r="565" spans="1:11" x14ac:dyDescent="0.3">
      <c r="A565" s="9" t="s">
        <v>602</v>
      </c>
      <c r="B565" s="9" t="s">
        <v>18</v>
      </c>
      <c r="C565" s="9">
        <v>102</v>
      </c>
      <c r="D565" s="10" t="s">
        <v>17</v>
      </c>
      <c r="E565" s="11">
        <v>45098</v>
      </c>
      <c r="F565" s="9">
        <v>76</v>
      </c>
      <c r="G565" s="9">
        <v>4.2</v>
      </c>
      <c r="H565" s="9">
        <f>IF(MONTH(Call_Table_Data[[#This Row],[Date of Call]])&lt;=3,YEAR(Call_Table_Data[[#This Row],[Date of Call]]),YEAR(Call_Table_Data[[#This Row],[Date of Call]])+1)</f>
        <v>2024</v>
      </c>
      <c r="I565" s="9" t="str">
        <f>TEXT(Call_Table_Data[[#This Row],[Date of Call]],"DDDD")</f>
        <v>Wednesday</v>
      </c>
      <c r="J565" s="9" t="str" cm="1">
        <f t="array" ref="J565">_xlfn.IFS(Call_Table_Data[[#This Row],[Duration]]&lt;=10,"Under 10 Mins",Call_Table_Data[[#This Row],[Duration]]&lt;=30,"10 to 30 Mins",Call_Table_Data[[#This Row],[Duration]]&lt;=60,"30 to 60 Mins",Call_Table_Data[[#This Row],[Duration]]&lt;=120,"1 to 2 Hours",TRUE,"More Than 2 Hours")</f>
        <v>1 to 2 Hours</v>
      </c>
      <c r="K565" s="9">
        <f>ROUND(Call_Table_Data[[#This Row],[Satisfaction Rating]],0)</f>
        <v>4</v>
      </c>
    </row>
    <row r="566" spans="1:11" x14ac:dyDescent="0.3">
      <c r="A566" s="9" t="s">
        <v>603</v>
      </c>
      <c r="B566" s="9" t="s">
        <v>54</v>
      </c>
      <c r="C566" s="9">
        <v>74</v>
      </c>
      <c r="D566" s="10" t="s">
        <v>17</v>
      </c>
      <c r="E566" s="11">
        <v>45098</v>
      </c>
      <c r="F566" s="9">
        <v>117</v>
      </c>
      <c r="G566" s="9">
        <v>4.8</v>
      </c>
      <c r="H566" s="9">
        <f>IF(MONTH(Call_Table_Data[[#This Row],[Date of Call]])&lt;=3,YEAR(Call_Table_Data[[#This Row],[Date of Call]]),YEAR(Call_Table_Data[[#This Row],[Date of Call]])+1)</f>
        <v>2024</v>
      </c>
      <c r="I566" s="9" t="str">
        <f>TEXT(Call_Table_Data[[#This Row],[Date of Call]],"DDDD")</f>
        <v>Wednesday</v>
      </c>
      <c r="J566" s="9" t="str" cm="1">
        <f t="array" ref="J566">_xlfn.IFS(Call_Table_Data[[#This Row],[Duration]]&lt;=10,"Under 10 Mins",Call_Table_Data[[#This Row],[Duration]]&lt;=30,"10 to 30 Mins",Call_Table_Data[[#This Row],[Duration]]&lt;=60,"30 to 60 Mins",Call_Table_Data[[#This Row],[Duration]]&lt;=120,"1 to 2 Hours",TRUE,"More Than 2 Hours")</f>
        <v>1 to 2 Hours</v>
      </c>
      <c r="K566" s="9">
        <f>ROUND(Call_Table_Data[[#This Row],[Satisfaction Rating]],0)</f>
        <v>5</v>
      </c>
    </row>
    <row r="567" spans="1:11" x14ac:dyDescent="0.3">
      <c r="A567" s="9" t="s">
        <v>604</v>
      </c>
      <c r="B567" s="9" t="s">
        <v>37</v>
      </c>
      <c r="C567" s="9">
        <v>52</v>
      </c>
      <c r="D567" s="10" t="s">
        <v>33</v>
      </c>
      <c r="E567" s="11">
        <v>45100</v>
      </c>
      <c r="F567" s="9">
        <v>70</v>
      </c>
      <c r="G567" s="9">
        <v>4.0999999999999996</v>
      </c>
      <c r="H567" s="9">
        <f>IF(MONTH(Call_Table_Data[[#This Row],[Date of Call]])&lt;=3,YEAR(Call_Table_Data[[#This Row],[Date of Call]]),YEAR(Call_Table_Data[[#This Row],[Date of Call]])+1)</f>
        <v>2024</v>
      </c>
      <c r="I567" s="9" t="str">
        <f>TEXT(Call_Table_Data[[#This Row],[Date of Call]],"DDDD")</f>
        <v>Friday</v>
      </c>
      <c r="J567" s="9" t="str" cm="1">
        <f t="array" ref="J567">_xlfn.IFS(Call_Table_Data[[#This Row],[Duration]]&lt;=10,"Under 10 Mins",Call_Table_Data[[#This Row],[Duration]]&lt;=30,"10 to 30 Mins",Call_Table_Data[[#This Row],[Duration]]&lt;=60,"30 to 60 Mins",Call_Table_Data[[#This Row],[Duration]]&lt;=120,"1 to 2 Hours",TRUE,"More Than 2 Hours")</f>
        <v>30 to 60 Mins</v>
      </c>
      <c r="K567" s="9">
        <f>ROUND(Call_Table_Data[[#This Row],[Satisfaction Rating]],0)</f>
        <v>4</v>
      </c>
    </row>
    <row r="568" spans="1:11" x14ac:dyDescent="0.3">
      <c r="A568" s="9" t="s">
        <v>605</v>
      </c>
      <c r="B568" s="9" t="s">
        <v>37</v>
      </c>
      <c r="C568" s="9">
        <v>74</v>
      </c>
      <c r="D568" s="10" t="s">
        <v>27</v>
      </c>
      <c r="E568" s="11">
        <v>45100</v>
      </c>
      <c r="F568" s="9">
        <v>37</v>
      </c>
      <c r="G568" s="9">
        <v>2.7</v>
      </c>
      <c r="H568" s="9">
        <f>IF(MONTH(Call_Table_Data[[#This Row],[Date of Call]])&lt;=3,YEAR(Call_Table_Data[[#This Row],[Date of Call]]),YEAR(Call_Table_Data[[#This Row],[Date of Call]])+1)</f>
        <v>2024</v>
      </c>
      <c r="I568" s="9" t="str">
        <f>TEXT(Call_Table_Data[[#This Row],[Date of Call]],"DDDD")</f>
        <v>Friday</v>
      </c>
      <c r="J568" s="9" t="str" cm="1">
        <f t="array" ref="J568">_xlfn.IFS(Call_Table_Data[[#This Row],[Duration]]&lt;=10,"Under 10 Mins",Call_Table_Data[[#This Row],[Duration]]&lt;=30,"10 to 30 Mins",Call_Table_Data[[#This Row],[Duration]]&lt;=60,"30 to 60 Mins",Call_Table_Data[[#This Row],[Duration]]&lt;=120,"1 to 2 Hours",TRUE,"More Than 2 Hours")</f>
        <v>1 to 2 Hours</v>
      </c>
      <c r="K568" s="9">
        <f>ROUND(Call_Table_Data[[#This Row],[Satisfaction Rating]],0)</f>
        <v>3</v>
      </c>
    </row>
    <row r="569" spans="1:11" x14ac:dyDescent="0.3">
      <c r="A569" s="9" t="s">
        <v>606</v>
      </c>
      <c r="B569" s="9" t="s">
        <v>26</v>
      </c>
      <c r="C569" s="9">
        <v>96</v>
      </c>
      <c r="D569" s="10" t="s">
        <v>17</v>
      </c>
      <c r="E569" s="11">
        <v>45100</v>
      </c>
      <c r="F569" s="9">
        <v>46</v>
      </c>
      <c r="G569" s="9">
        <v>2.9</v>
      </c>
      <c r="H569" s="9">
        <f>IF(MONTH(Call_Table_Data[[#This Row],[Date of Call]])&lt;=3,YEAR(Call_Table_Data[[#This Row],[Date of Call]]),YEAR(Call_Table_Data[[#This Row],[Date of Call]])+1)</f>
        <v>2024</v>
      </c>
      <c r="I569" s="9" t="str">
        <f>TEXT(Call_Table_Data[[#This Row],[Date of Call]],"DDDD")</f>
        <v>Friday</v>
      </c>
      <c r="J569" s="9" t="str" cm="1">
        <f t="array" ref="J569">_xlfn.IFS(Call_Table_Data[[#This Row],[Duration]]&lt;=10,"Under 10 Mins",Call_Table_Data[[#This Row],[Duration]]&lt;=30,"10 to 30 Mins",Call_Table_Data[[#This Row],[Duration]]&lt;=60,"30 to 60 Mins",Call_Table_Data[[#This Row],[Duration]]&lt;=120,"1 to 2 Hours",TRUE,"More Than 2 Hours")</f>
        <v>1 to 2 Hours</v>
      </c>
      <c r="K569" s="9">
        <f>ROUND(Call_Table_Data[[#This Row],[Satisfaction Rating]],0)</f>
        <v>3</v>
      </c>
    </row>
    <row r="570" spans="1:11" x14ac:dyDescent="0.3">
      <c r="A570" s="9" t="s">
        <v>607</v>
      </c>
      <c r="B570" s="9" t="s">
        <v>49</v>
      </c>
      <c r="C570" s="9">
        <v>104</v>
      </c>
      <c r="D570" s="10" t="s">
        <v>46</v>
      </c>
      <c r="E570" s="11">
        <v>45100</v>
      </c>
      <c r="F570" s="9">
        <v>136</v>
      </c>
      <c r="G570" s="9">
        <v>5</v>
      </c>
      <c r="H570" s="9">
        <f>IF(MONTH(Call_Table_Data[[#This Row],[Date of Call]])&lt;=3,YEAR(Call_Table_Data[[#This Row],[Date of Call]]),YEAR(Call_Table_Data[[#This Row],[Date of Call]])+1)</f>
        <v>2024</v>
      </c>
      <c r="I570" s="9" t="str">
        <f>TEXT(Call_Table_Data[[#This Row],[Date of Call]],"DDDD")</f>
        <v>Friday</v>
      </c>
      <c r="J570" s="9" t="str" cm="1">
        <f t="array" ref="J570">_xlfn.IFS(Call_Table_Data[[#This Row],[Duration]]&lt;=10,"Under 10 Mins",Call_Table_Data[[#This Row],[Duration]]&lt;=30,"10 to 30 Mins",Call_Table_Data[[#This Row],[Duration]]&lt;=60,"30 to 60 Mins",Call_Table_Data[[#This Row],[Duration]]&lt;=120,"1 to 2 Hours",TRUE,"More Than 2 Hours")</f>
        <v>1 to 2 Hours</v>
      </c>
      <c r="K570" s="9">
        <f>ROUND(Call_Table_Data[[#This Row],[Satisfaction Rating]],0)</f>
        <v>5</v>
      </c>
    </row>
    <row r="571" spans="1:11" x14ac:dyDescent="0.3">
      <c r="A571" s="9" t="s">
        <v>608</v>
      </c>
      <c r="B571" s="9" t="s">
        <v>26</v>
      </c>
      <c r="C571" s="9">
        <v>123</v>
      </c>
      <c r="D571" s="10" t="s">
        <v>17</v>
      </c>
      <c r="E571" s="11">
        <v>45101</v>
      </c>
      <c r="F571" s="9">
        <v>44</v>
      </c>
      <c r="G571" s="9">
        <v>4.5999999999999996</v>
      </c>
      <c r="H571" s="9">
        <f>IF(MONTH(Call_Table_Data[[#This Row],[Date of Call]])&lt;=3,YEAR(Call_Table_Data[[#This Row],[Date of Call]]),YEAR(Call_Table_Data[[#This Row],[Date of Call]])+1)</f>
        <v>2024</v>
      </c>
      <c r="I571" s="9" t="str">
        <f>TEXT(Call_Table_Data[[#This Row],[Date of Call]],"DDDD")</f>
        <v>Saturday</v>
      </c>
      <c r="J571" s="9" t="str" cm="1">
        <f t="array" ref="J571">_xlfn.IFS(Call_Table_Data[[#This Row],[Duration]]&lt;=10,"Under 10 Mins",Call_Table_Data[[#This Row],[Duration]]&lt;=30,"10 to 30 Mins",Call_Table_Data[[#This Row],[Duration]]&lt;=60,"30 to 60 Mins",Call_Table_Data[[#This Row],[Duration]]&lt;=120,"1 to 2 Hours",TRUE,"More Than 2 Hours")</f>
        <v>More Than 2 Hours</v>
      </c>
      <c r="K571" s="9">
        <f>ROUND(Call_Table_Data[[#This Row],[Satisfaction Rating]],0)</f>
        <v>5</v>
      </c>
    </row>
    <row r="572" spans="1:11" x14ac:dyDescent="0.3">
      <c r="A572" s="9" t="s">
        <v>609</v>
      </c>
      <c r="B572" s="9" t="s">
        <v>43</v>
      </c>
      <c r="C572" s="9">
        <v>100</v>
      </c>
      <c r="D572" s="10" t="s">
        <v>40</v>
      </c>
      <c r="E572" s="11">
        <v>45101</v>
      </c>
      <c r="F572" s="9">
        <v>69</v>
      </c>
      <c r="G572" s="9">
        <v>3</v>
      </c>
      <c r="H572" s="9">
        <f>IF(MONTH(Call_Table_Data[[#This Row],[Date of Call]])&lt;=3,YEAR(Call_Table_Data[[#This Row],[Date of Call]]),YEAR(Call_Table_Data[[#This Row],[Date of Call]])+1)</f>
        <v>2024</v>
      </c>
      <c r="I572" s="9" t="str">
        <f>TEXT(Call_Table_Data[[#This Row],[Date of Call]],"DDDD")</f>
        <v>Saturday</v>
      </c>
      <c r="J572" s="9" t="str" cm="1">
        <f t="array" ref="J572">_xlfn.IFS(Call_Table_Data[[#This Row],[Duration]]&lt;=10,"Under 10 Mins",Call_Table_Data[[#This Row],[Duration]]&lt;=30,"10 to 30 Mins",Call_Table_Data[[#This Row],[Duration]]&lt;=60,"30 to 60 Mins",Call_Table_Data[[#This Row],[Duration]]&lt;=120,"1 to 2 Hours",TRUE,"More Than 2 Hours")</f>
        <v>1 to 2 Hours</v>
      </c>
      <c r="K572" s="9">
        <f>ROUND(Call_Table_Data[[#This Row],[Satisfaction Rating]],0)</f>
        <v>3</v>
      </c>
    </row>
    <row r="573" spans="1:11" x14ac:dyDescent="0.3">
      <c r="A573" s="9" t="s">
        <v>610</v>
      </c>
      <c r="B573" s="9" t="s">
        <v>49</v>
      </c>
      <c r="C573" s="9">
        <v>35</v>
      </c>
      <c r="D573" s="10" t="s">
        <v>33</v>
      </c>
      <c r="E573" s="11">
        <v>45102</v>
      </c>
      <c r="F573" s="9">
        <v>86</v>
      </c>
      <c r="G573" s="9">
        <v>4.5999999999999996</v>
      </c>
      <c r="H573" s="9">
        <f>IF(MONTH(Call_Table_Data[[#This Row],[Date of Call]])&lt;=3,YEAR(Call_Table_Data[[#This Row],[Date of Call]]),YEAR(Call_Table_Data[[#This Row],[Date of Call]])+1)</f>
        <v>2024</v>
      </c>
      <c r="I573" s="9" t="str">
        <f>TEXT(Call_Table_Data[[#This Row],[Date of Call]],"DDDD")</f>
        <v>Sunday</v>
      </c>
      <c r="J573" s="9" t="str" cm="1">
        <f t="array" ref="J573">_xlfn.IFS(Call_Table_Data[[#This Row],[Duration]]&lt;=10,"Under 10 Mins",Call_Table_Data[[#This Row],[Duration]]&lt;=30,"10 to 30 Mins",Call_Table_Data[[#This Row],[Duration]]&lt;=60,"30 to 60 Mins",Call_Table_Data[[#This Row],[Duration]]&lt;=120,"1 to 2 Hours",TRUE,"More Than 2 Hours")</f>
        <v>30 to 60 Mins</v>
      </c>
      <c r="K573" s="9">
        <f>ROUND(Call_Table_Data[[#This Row],[Satisfaction Rating]],0)</f>
        <v>5</v>
      </c>
    </row>
    <row r="574" spans="1:11" x14ac:dyDescent="0.3">
      <c r="A574" s="9" t="s">
        <v>611</v>
      </c>
      <c r="B574" s="9" t="s">
        <v>37</v>
      </c>
      <c r="C574" s="9">
        <v>123</v>
      </c>
      <c r="D574" s="10" t="s">
        <v>46</v>
      </c>
      <c r="E574" s="11">
        <v>45102</v>
      </c>
      <c r="F574" s="9">
        <v>68</v>
      </c>
      <c r="G574" s="9">
        <v>4.5</v>
      </c>
      <c r="H574" s="9">
        <f>IF(MONTH(Call_Table_Data[[#This Row],[Date of Call]])&lt;=3,YEAR(Call_Table_Data[[#This Row],[Date of Call]]),YEAR(Call_Table_Data[[#This Row],[Date of Call]])+1)</f>
        <v>2024</v>
      </c>
      <c r="I574" s="9" t="str">
        <f>TEXT(Call_Table_Data[[#This Row],[Date of Call]],"DDDD")</f>
        <v>Sunday</v>
      </c>
      <c r="J574" s="9" t="str" cm="1">
        <f t="array" ref="J574">_xlfn.IFS(Call_Table_Data[[#This Row],[Duration]]&lt;=10,"Under 10 Mins",Call_Table_Data[[#This Row],[Duration]]&lt;=30,"10 to 30 Mins",Call_Table_Data[[#This Row],[Duration]]&lt;=60,"30 to 60 Mins",Call_Table_Data[[#This Row],[Duration]]&lt;=120,"1 to 2 Hours",TRUE,"More Than 2 Hours")</f>
        <v>More Than 2 Hours</v>
      </c>
      <c r="K574" s="9">
        <f>ROUND(Call_Table_Data[[#This Row],[Satisfaction Rating]],0)</f>
        <v>5</v>
      </c>
    </row>
    <row r="575" spans="1:11" x14ac:dyDescent="0.3">
      <c r="A575" s="9" t="s">
        <v>612</v>
      </c>
      <c r="B575" s="9" t="s">
        <v>23</v>
      </c>
      <c r="C575" s="9">
        <v>133</v>
      </c>
      <c r="D575" s="10" t="s">
        <v>33</v>
      </c>
      <c r="E575" s="11">
        <v>45103</v>
      </c>
      <c r="F575" s="9">
        <v>21</v>
      </c>
      <c r="G575" s="9">
        <v>3.7</v>
      </c>
      <c r="H575" s="9">
        <f>IF(MONTH(Call_Table_Data[[#This Row],[Date of Call]])&lt;=3,YEAR(Call_Table_Data[[#This Row],[Date of Call]]),YEAR(Call_Table_Data[[#This Row],[Date of Call]])+1)</f>
        <v>2024</v>
      </c>
      <c r="I575" s="9" t="str">
        <f>TEXT(Call_Table_Data[[#This Row],[Date of Call]],"DDDD")</f>
        <v>Monday</v>
      </c>
      <c r="J575" s="9" t="str" cm="1">
        <f t="array" ref="J575">_xlfn.IFS(Call_Table_Data[[#This Row],[Duration]]&lt;=10,"Under 10 Mins",Call_Table_Data[[#This Row],[Duration]]&lt;=30,"10 to 30 Mins",Call_Table_Data[[#This Row],[Duration]]&lt;=60,"30 to 60 Mins",Call_Table_Data[[#This Row],[Duration]]&lt;=120,"1 to 2 Hours",TRUE,"More Than 2 Hours")</f>
        <v>More Than 2 Hours</v>
      </c>
      <c r="K575" s="9">
        <f>ROUND(Call_Table_Data[[#This Row],[Satisfaction Rating]],0)</f>
        <v>4</v>
      </c>
    </row>
    <row r="576" spans="1:11" x14ac:dyDescent="0.3">
      <c r="A576" s="9" t="s">
        <v>613</v>
      </c>
      <c r="B576" s="9" t="s">
        <v>26</v>
      </c>
      <c r="C576" s="9">
        <v>126</v>
      </c>
      <c r="D576" s="10" t="s">
        <v>27</v>
      </c>
      <c r="E576" s="11">
        <v>45103</v>
      </c>
      <c r="F576" s="9">
        <v>190</v>
      </c>
      <c r="G576" s="9">
        <v>2.4</v>
      </c>
      <c r="H576" s="9">
        <f>IF(MONTH(Call_Table_Data[[#This Row],[Date of Call]])&lt;=3,YEAR(Call_Table_Data[[#This Row],[Date of Call]]),YEAR(Call_Table_Data[[#This Row],[Date of Call]])+1)</f>
        <v>2024</v>
      </c>
      <c r="I576" s="9" t="str">
        <f>TEXT(Call_Table_Data[[#This Row],[Date of Call]],"DDDD")</f>
        <v>Monday</v>
      </c>
      <c r="J576" s="9" t="str" cm="1">
        <f t="array" ref="J576">_xlfn.IFS(Call_Table_Data[[#This Row],[Duration]]&lt;=10,"Under 10 Mins",Call_Table_Data[[#This Row],[Duration]]&lt;=30,"10 to 30 Mins",Call_Table_Data[[#This Row],[Duration]]&lt;=60,"30 to 60 Mins",Call_Table_Data[[#This Row],[Duration]]&lt;=120,"1 to 2 Hours",TRUE,"More Than 2 Hours")</f>
        <v>More Than 2 Hours</v>
      </c>
      <c r="K576" s="9">
        <f>ROUND(Call_Table_Data[[#This Row],[Satisfaction Rating]],0)</f>
        <v>2</v>
      </c>
    </row>
    <row r="577" spans="1:11" x14ac:dyDescent="0.3">
      <c r="A577" s="9" t="s">
        <v>614</v>
      </c>
      <c r="B577" s="9" t="s">
        <v>37</v>
      </c>
      <c r="C577" s="9">
        <v>39</v>
      </c>
      <c r="D577" s="10" t="s">
        <v>17</v>
      </c>
      <c r="E577" s="11">
        <v>45103</v>
      </c>
      <c r="F577" s="9">
        <v>176</v>
      </c>
      <c r="G577" s="9">
        <v>4.3</v>
      </c>
      <c r="H577" s="9">
        <f>IF(MONTH(Call_Table_Data[[#This Row],[Date of Call]])&lt;=3,YEAR(Call_Table_Data[[#This Row],[Date of Call]]),YEAR(Call_Table_Data[[#This Row],[Date of Call]])+1)</f>
        <v>2024</v>
      </c>
      <c r="I577" s="9" t="str">
        <f>TEXT(Call_Table_Data[[#This Row],[Date of Call]],"DDDD")</f>
        <v>Monday</v>
      </c>
      <c r="J577" s="9" t="str" cm="1">
        <f t="array" ref="J577">_xlfn.IFS(Call_Table_Data[[#This Row],[Duration]]&lt;=10,"Under 10 Mins",Call_Table_Data[[#This Row],[Duration]]&lt;=30,"10 to 30 Mins",Call_Table_Data[[#This Row],[Duration]]&lt;=60,"30 to 60 Mins",Call_Table_Data[[#This Row],[Duration]]&lt;=120,"1 to 2 Hours",TRUE,"More Than 2 Hours")</f>
        <v>30 to 60 Mins</v>
      </c>
      <c r="K577" s="9">
        <f>ROUND(Call_Table_Data[[#This Row],[Satisfaction Rating]],0)</f>
        <v>4</v>
      </c>
    </row>
    <row r="578" spans="1:11" x14ac:dyDescent="0.3">
      <c r="A578" s="9" t="s">
        <v>615</v>
      </c>
      <c r="B578" s="9" t="s">
        <v>54</v>
      </c>
      <c r="C578" s="9">
        <v>31</v>
      </c>
      <c r="D578" s="10" t="s">
        <v>46</v>
      </c>
      <c r="E578" s="11">
        <v>45103</v>
      </c>
      <c r="F578" s="9">
        <v>172</v>
      </c>
      <c r="G578" s="9">
        <v>3.9</v>
      </c>
      <c r="H578" s="9">
        <f>IF(MONTH(Call_Table_Data[[#This Row],[Date of Call]])&lt;=3,YEAR(Call_Table_Data[[#This Row],[Date of Call]]),YEAR(Call_Table_Data[[#This Row],[Date of Call]])+1)</f>
        <v>2024</v>
      </c>
      <c r="I578" s="9" t="str">
        <f>TEXT(Call_Table_Data[[#This Row],[Date of Call]],"DDDD")</f>
        <v>Monday</v>
      </c>
      <c r="J578" s="9" t="str" cm="1">
        <f t="array" ref="J578">_xlfn.IFS(Call_Table_Data[[#This Row],[Duration]]&lt;=10,"Under 10 Mins",Call_Table_Data[[#This Row],[Duration]]&lt;=30,"10 to 30 Mins",Call_Table_Data[[#This Row],[Duration]]&lt;=60,"30 to 60 Mins",Call_Table_Data[[#This Row],[Duration]]&lt;=120,"1 to 2 Hours",TRUE,"More Than 2 Hours")</f>
        <v>30 to 60 Mins</v>
      </c>
      <c r="K578" s="9">
        <f>ROUND(Call_Table_Data[[#This Row],[Satisfaction Rating]],0)</f>
        <v>4</v>
      </c>
    </row>
    <row r="579" spans="1:11" x14ac:dyDescent="0.3">
      <c r="A579" s="9" t="s">
        <v>616</v>
      </c>
      <c r="B579" s="9" t="s">
        <v>32</v>
      </c>
      <c r="C579" s="9">
        <v>25</v>
      </c>
      <c r="D579" s="10" t="s">
        <v>33</v>
      </c>
      <c r="E579" s="11">
        <v>45103</v>
      </c>
      <c r="F579" s="9">
        <v>84</v>
      </c>
      <c r="G579" s="9">
        <v>4.5</v>
      </c>
      <c r="H579" s="9">
        <f>IF(MONTH(Call_Table_Data[[#This Row],[Date of Call]])&lt;=3,YEAR(Call_Table_Data[[#This Row],[Date of Call]]),YEAR(Call_Table_Data[[#This Row],[Date of Call]])+1)</f>
        <v>2024</v>
      </c>
      <c r="I579" s="9" t="str">
        <f>TEXT(Call_Table_Data[[#This Row],[Date of Call]],"DDDD")</f>
        <v>Monday</v>
      </c>
      <c r="J579" s="9" t="str" cm="1">
        <f t="array" ref="J579">_xlfn.IFS(Call_Table_Data[[#This Row],[Duration]]&lt;=10,"Under 10 Mins",Call_Table_Data[[#This Row],[Duration]]&lt;=30,"10 to 30 Mins",Call_Table_Data[[#This Row],[Duration]]&lt;=60,"30 to 60 Mins",Call_Table_Data[[#This Row],[Duration]]&lt;=120,"1 to 2 Hours",TRUE,"More Than 2 Hours")</f>
        <v>10 to 30 Mins</v>
      </c>
      <c r="K579" s="9">
        <f>ROUND(Call_Table_Data[[#This Row],[Satisfaction Rating]],0)</f>
        <v>5</v>
      </c>
    </row>
    <row r="580" spans="1:11" x14ac:dyDescent="0.3">
      <c r="A580" s="9" t="s">
        <v>617</v>
      </c>
      <c r="B580" s="9" t="s">
        <v>22</v>
      </c>
      <c r="C580" s="9">
        <v>132</v>
      </c>
      <c r="D580" s="10" t="s">
        <v>40</v>
      </c>
      <c r="E580" s="11">
        <v>45104</v>
      </c>
      <c r="F580" s="9">
        <v>42</v>
      </c>
      <c r="G580" s="9">
        <v>5</v>
      </c>
      <c r="H580" s="9">
        <f>IF(MONTH(Call_Table_Data[[#This Row],[Date of Call]])&lt;=3,YEAR(Call_Table_Data[[#This Row],[Date of Call]]),YEAR(Call_Table_Data[[#This Row],[Date of Call]])+1)</f>
        <v>2024</v>
      </c>
      <c r="I580" s="9" t="str">
        <f>TEXT(Call_Table_Data[[#This Row],[Date of Call]],"DDDD")</f>
        <v>Tuesday</v>
      </c>
      <c r="J580" s="9" t="str" cm="1">
        <f t="array" ref="J580">_xlfn.IFS(Call_Table_Data[[#This Row],[Duration]]&lt;=10,"Under 10 Mins",Call_Table_Data[[#This Row],[Duration]]&lt;=30,"10 to 30 Mins",Call_Table_Data[[#This Row],[Duration]]&lt;=60,"30 to 60 Mins",Call_Table_Data[[#This Row],[Duration]]&lt;=120,"1 to 2 Hours",TRUE,"More Than 2 Hours")</f>
        <v>More Than 2 Hours</v>
      </c>
      <c r="K580" s="9">
        <f>ROUND(Call_Table_Data[[#This Row],[Satisfaction Rating]],0)</f>
        <v>5</v>
      </c>
    </row>
    <row r="581" spans="1:11" x14ac:dyDescent="0.3">
      <c r="A581" s="9" t="s">
        <v>618</v>
      </c>
      <c r="B581" s="9" t="s">
        <v>49</v>
      </c>
      <c r="C581" s="9">
        <v>63</v>
      </c>
      <c r="D581" s="10" t="s">
        <v>27</v>
      </c>
      <c r="E581" s="11">
        <v>45104</v>
      </c>
      <c r="F581" s="9">
        <v>70</v>
      </c>
      <c r="G581" s="9">
        <v>1.6</v>
      </c>
      <c r="H581" s="9">
        <f>IF(MONTH(Call_Table_Data[[#This Row],[Date of Call]])&lt;=3,YEAR(Call_Table_Data[[#This Row],[Date of Call]]),YEAR(Call_Table_Data[[#This Row],[Date of Call]])+1)</f>
        <v>2024</v>
      </c>
      <c r="I581" s="9" t="str">
        <f>TEXT(Call_Table_Data[[#This Row],[Date of Call]],"DDDD")</f>
        <v>Tuesday</v>
      </c>
      <c r="J581" s="9" t="str" cm="1">
        <f t="array" ref="J581">_xlfn.IFS(Call_Table_Data[[#This Row],[Duration]]&lt;=10,"Under 10 Mins",Call_Table_Data[[#This Row],[Duration]]&lt;=30,"10 to 30 Mins",Call_Table_Data[[#This Row],[Duration]]&lt;=60,"30 to 60 Mins",Call_Table_Data[[#This Row],[Duration]]&lt;=120,"1 to 2 Hours",TRUE,"More Than 2 Hours")</f>
        <v>1 to 2 Hours</v>
      </c>
      <c r="K581" s="9">
        <f>ROUND(Call_Table_Data[[#This Row],[Satisfaction Rating]],0)</f>
        <v>2</v>
      </c>
    </row>
    <row r="582" spans="1:11" x14ac:dyDescent="0.3">
      <c r="A582" s="9" t="s">
        <v>619</v>
      </c>
      <c r="B582" s="9" t="s">
        <v>43</v>
      </c>
      <c r="C582" s="9">
        <v>135</v>
      </c>
      <c r="D582" s="10" t="s">
        <v>40</v>
      </c>
      <c r="E582" s="11">
        <v>45104</v>
      </c>
      <c r="F582" s="9">
        <v>60</v>
      </c>
      <c r="G582" s="9">
        <v>4.3</v>
      </c>
      <c r="H582" s="9">
        <f>IF(MONTH(Call_Table_Data[[#This Row],[Date of Call]])&lt;=3,YEAR(Call_Table_Data[[#This Row],[Date of Call]]),YEAR(Call_Table_Data[[#This Row],[Date of Call]])+1)</f>
        <v>2024</v>
      </c>
      <c r="I582" s="9" t="str">
        <f>TEXT(Call_Table_Data[[#This Row],[Date of Call]],"DDDD")</f>
        <v>Tuesday</v>
      </c>
      <c r="J582" s="9" t="str" cm="1">
        <f t="array" ref="J582">_xlfn.IFS(Call_Table_Data[[#This Row],[Duration]]&lt;=10,"Under 10 Mins",Call_Table_Data[[#This Row],[Duration]]&lt;=30,"10 to 30 Mins",Call_Table_Data[[#This Row],[Duration]]&lt;=60,"30 to 60 Mins",Call_Table_Data[[#This Row],[Duration]]&lt;=120,"1 to 2 Hours",TRUE,"More Than 2 Hours")</f>
        <v>More Than 2 Hours</v>
      </c>
      <c r="K582" s="9">
        <f>ROUND(Call_Table_Data[[#This Row],[Satisfaction Rating]],0)</f>
        <v>4</v>
      </c>
    </row>
    <row r="583" spans="1:11" x14ac:dyDescent="0.3">
      <c r="A583" s="9" t="s">
        <v>620</v>
      </c>
      <c r="B583" s="9" t="s">
        <v>45</v>
      </c>
      <c r="C583" s="9">
        <v>101</v>
      </c>
      <c r="D583" s="10" t="s">
        <v>27</v>
      </c>
      <c r="E583" s="11">
        <v>45104</v>
      </c>
      <c r="F583" s="9">
        <v>84</v>
      </c>
      <c r="G583" s="9">
        <v>3.5</v>
      </c>
      <c r="H583" s="9">
        <f>IF(MONTH(Call_Table_Data[[#This Row],[Date of Call]])&lt;=3,YEAR(Call_Table_Data[[#This Row],[Date of Call]]),YEAR(Call_Table_Data[[#This Row],[Date of Call]])+1)</f>
        <v>2024</v>
      </c>
      <c r="I583" s="9" t="str">
        <f>TEXT(Call_Table_Data[[#This Row],[Date of Call]],"DDDD")</f>
        <v>Tuesday</v>
      </c>
      <c r="J583" s="9" t="str" cm="1">
        <f t="array" ref="J583">_xlfn.IFS(Call_Table_Data[[#This Row],[Duration]]&lt;=10,"Under 10 Mins",Call_Table_Data[[#This Row],[Duration]]&lt;=30,"10 to 30 Mins",Call_Table_Data[[#This Row],[Duration]]&lt;=60,"30 to 60 Mins",Call_Table_Data[[#This Row],[Duration]]&lt;=120,"1 to 2 Hours",TRUE,"More Than 2 Hours")</f>
        <v>1 to 2 Hours</v>
      </c>
      <c r="K583" s="9">
        <f>ROUND(Call_Table_Data[[#This Row],[Satisfaction Rating]],0)</f>
        <v>4</v>
      </c>
    </row>
    <row r="584" spans="1:11" x14ac:dyDescent="0.3">
      <c r="A584" s="9" t="s">
        <v>621</v>
      </c>
      <c r="B584" s="9" t="s">
        <v>23</v>
      </c>
      <c r="C584" s="9">
        <v>80</v>
      </c>
      <c r="D584" s="10" t="s">
        <v>17</v>
      </c>
      <c r="E584" s="11">
        <v>45105</v>
      </c>
      <c r="F584" s="9">
        <v>68</v>
      </c>
      <c r="G584" s="9">
        <v>3.1</v>
      </c>
      <c r="H584" s="9">
        <f>IF(MONTH(Call_Table_Data[[#This Row],[Date of Call]])&lt;=3,YEAR(Call_Table_Data[[#This Row],[Date of Call]]),YEAR(Call_Table_Data[[#This Row],[Date of Call]])+1)</f>
        <v>2024</v>
      </c>
      <c r="I584" s="9" t="str">
        <f>TEXT(Call_Table_Data[[#This Row],[Date of Call]],"DDDD")</f>
        <v>Wednesday</v>
      </c>
      <c r="J584" s="9" t="str" cm="1">
        <f t="array" ref="J584">_xlfn.IFS(Call_Table_Data[[#This Row],[Duration]]&lt;=10,"Under 10 Mins",Call_Table_Data[[#This Row],[Duration]]&lt;=30,"10 to 30 Mins",Call_Table_Data[[#This Row],[Duration]]&lt;=60,"30 to 60 Mins",Call_Table_Data[[#This Row],[Duration]]&lt;=120,"1 to 2 Hours",TRUE,"More Than 2 Hours")</f>
        <v>1 to 2 Hours</v>
      </c>
      <c r="K584" s="9">
        <f>ROUND(Call_Table_Data[[#This Row],[Satisfaction Rating]],0)</f>
        <v>3</v>
      </c>
    </row>
    <row r="585" spans="1:11" x14ac:dyDescent="0.3">
      <c r="A585" s="9" t="s">
        <v>622</v>
      </c>
      <c r="B585" s="9" t="s">
        <v>18</v>
      </c>
      <c r="C585" s="9">
        <v>28</v>
      </c>
      <c r="D585" s="10" t="s">
        <v>17</v>
      </c>
      <c r="E585" s="11">
        <v>45105</v>
      </c>
      <c r="F585" s="9">
        <v>44</v>
      </c>
      <c r="G585" s="9">
        <v>2.9</v>
      </c>
      <c r="H585" s="9">
        <f>IF(MONTH(Call_Table_Data[[#This Row],[Date of Call]])&lt;=3,YEAR(Call_Table_Data[[#This Row],[Date of Call]]),YEAR(Call_Table_Data[[#This Row],[Date of Call]])+1)</f>
        <v>2024</v>
      </c>
      <c r="I585" s="9" t="str">
        <f>TEXT(Call_Table_Data[[#This Row],[Date of Call]],"DDDD")</f>
        <v>Wednesday</v>
      </c>
      <c r="J585" s="9" t="str" cm="1">
        <f t="array" ref="J585">_xlfn.IFS(Call_Table_Data[[#This Row],[Duration]]&lt;=10,"Under 10 Mins",Call_Table_Data[[#This Row],[Duration]]&lt;=30,"10 to 30 Mins",Call_Table_Data[[#This Row],[Duration]]&lt;=60,"30 to 60 Mins",Call_Table_Data[[#This Row],[Duration]]&lt;=120,"1 to 2 Hours",TRUE,"More Than 2 Hours")</f>
        <v>10 to 30 Mins</v>
      </c>
      <c r="K585" s="9">
        <f>ROUND(Call_Table_Data[[#This Row],[Satisfaction Rating]],0)</f>
        <v>3</v>
      </c>
    </row>
    <row r="586" spans="1:11" x14ac:dyDescent="0.3">
      <c r="A586" s="9" t="s">
        <v>623</v>
      </c>
      <c r="B586" s="9" t="s">
        <v>45</v>
      </c>
      <c r="C586" s="9">
        <v>102</v>
      </c>
      <c r="D586" s="10" t="s">
        <v>40</v>
      </c>
      <c r="E586" s="11">
        <v>45106</v>
      </c>
      <c r="F586" s="9">
        <v>99</v>
      </c>
      <c r="G586" s="9">
        <v>3.2</v>
      </c>
      <c r="H586" s="9">
        <f>IF(MONTH(Call_Table_Data[[#This Row],[Date of Call]])&lt;=3,YEAR(Call_Table_Data[[#This Row],[Date of Call]]),YEAR(Call_Table_Data[[#This Row],[Date of Call]])+1)</f>
        <v>2024</v>
      </c>
      <c r="I586" s="9" t="str">
        <f>TEXT(Call_Table_Data[[#This Row],[Date of Call]],"DDDD")</f>
        <v>Thursday</v>
      </c>
      <c r="J586" s="9" t="str" cm="1">
        <f t="array" ref="J586">_xlfn.IFS(Call_Table_Data[[#This Row],[Duration]]&lt;=10,"Under 10 Mins",Call_Table_Data[[#This Row],[Duration]]&lt;=30,"10 to 30 Mins",Call_Table_Data[[#This Row],[Duration]]&lt;=60,"30 to 60 Mins",Call_Table_Data[[#This Row],[Duration]]&lt;=120,"1 to 2 Hours",TRUE,"More Than 2 Hours")</f>
        <v>1 to 2 Hours</v>
      </c>
      <c r="K586" s="9">
        <f>ROUND(Call_Table_Data[[#This Row],[Satisfaction Rating]],0)</f>
        <v>3</v>
      </c>
    </row>
    <row r="587" spans="1:11" x14ac:dyDescent="0.3">
      <c r="A587" s="9" t="s">
        <v>624</v>
      </c>
      <c r="B587" s="9" t="s">
        <v>49</v>
      </c>
      <c r="C587" s="9">
        <v>60</v>
      </c>
      <c r="D587" s="10" t="s">
        <v>40</v>
      </c>
      <c r="E587" s="11">
        <v>45107</v>
      </c>
      <c r="F587" s="9">
        <v>66</v>
      </c>
      <c r="G587" s="9">
        <v>3.2</v>
      </c>
      <c r="H587" s="9">
        <f>IF(MONTH(Call_Table_Data[[#This Row],[Date of Call]])&lt;=3,YEAR(Call_Table_Data[[#This Row],[Date of Call]]),YEAR(Call_Table_Data[[#This Row],[Date of Call]])+1)</f>
        <v>2024</v>
      </c>
      <c r="I587" s="9" t="str">
        <f>TEXT(Call_Table_Data[[#This Row],[Date of Call]],"DDDD")</f>
        <v>Friday</v>
      </c>
      <c r="J587" s="9" t="str" cm="1">
        <f t="array" ref="J587">_xlfn.IFS(Call_Table_Data[[#This Row],[Duration]]&lt;=10,"Under 10 Mins",Call_Table_Data[[#This Row],[Duration]]&lt;=30,"10 to 30 Mins",Call_Table_Data[[#This Row],[Duration]]&lt;=60,"30 to 60 Mins",Call_Table_Data[[#This Row],[Duration]]&lt;=120,"1 to 2 Hours",TRUE,"More Than 2 Hours")</f>
        <v>30 to 60 Mins</v>
      </c>
      <c r="K587" s="9">
        <f>ROUND(Call_Table_Data[[#This Row],[Satisfaction Rating]],0)</f>
        <v>3</v>
      </c>
    </row>
    <row r="588" spans="1:11" x14ac:dyDescent="0.3">
      <c r="A588" s="9" t="s">
        <v>625</v>
      </c>
      <c r="B588" s="9" t="s">
        <v>30</v>
      </c>
      <c r="C588" s="9">
        <v>103</v>
      </c>
      <c r="D588" s="10" t="s">
        <v>40</v>
      </c>
      <c r="E588" s="11">
        <v>45107</v>
      </c>
      <c r="F588" s="9">
        <v>102</v>
      </c>
      <c r="G588" s="9">
        <v>4.5</v>
      </c>
      <c r="H588" s="9">
        <f>IF(MONTH(Call_Table_Data[[#This Row],[Date of Call]])&lt;=3,YEAR(Call_Table_Data[[#This Row],[Date of Call]]),YEAR(Call_Table_Data[[#This Row],[Date of Call]])+1)</f>
        <v>2024</v>
      </c>
      <c r="I588" s="9" t="str">
        <f>TEXT(Call_Table_Data[[#This Row],[Date of Call]],"DDDD")</f>
        <v>Friday</v>
      </c>
      <c r="J588" s="9" t="str" cm="1">
        <f t="array" ref="J588">_xlfn.IFS(Call_Table_Data[[#This Row],[Duration]]&lt;=10,"Under 10 Mins",Call_Table_Data[[#This Row],[Duration]]&lt;=30,"10 to 30 Mins",Call_Table_Data[[#This Row],[Duration]]&lt;=60,"30 to 60 Mins",Call_Table_Data[[#This Row],[Duration]]&lt;=120,"1 to 2 Hours",TRUE,"More Than 2 Hours")</f>
        <v>1 to 2 Hours</v>
      </c>
      <c r="K588" s="9">
        <f>ROUND(Call_Table_Data[[#This Row],[Satisfaction Rating]],0)</f>
        <v>5</v>
      </c>
    </row>
    <row r="589" spans="1:11" x14ac:dyDescent="0.3">
      <c r="A589" s="9" t="s">
        <v>626</v>
      </c>
      <c r="B589" s="9" t="s">
        <v>23</v>
      </c>
      <c r="C589" s="9">
        <v>90</v>
      </c>
      <c r="D589" s="10" t="s">
        <v>17</v>
      </c>
      <c r="E589" s="11">
        <v>45108</v>
      </c>
      <c r="F589" s="9">
        <v>129</v>
      </c>
      <c r="G589" s="9">
        <v>3.9</v>
      </c>
      <c r="H589" s="9">
        <f>IF(MONTH(Call_Table_Data[[#This Row],[Date of Call]])&lt;=3,YEAR(Call_Table_Data[[#This Row],[Date of Call]]),YEAR(Call_Table_Data[[#This Row],[Date of Call]])+1)</f>
        <v>2024</v>
      </c>
      <c r="I589" s="9" t="str">
        <f>TEXT(Call_Table_Data[[#This Row],[Date of Call]],"DDDD")</f>
        <v>Saturday</v>
      </c>
      <c r="J589" s="9" t="str" cm="1">
        <f t="array" ref="J589">_xlfn.IFS(Call_Table_Data[[#This Row],[Duration]]&lt;=10,"Under 10 Mins",Call_Table_Data[[#This Row],[Duration]]&lt;=30,"10 to 30 Mins",Call_Table_Data[[#This Row],[Duration]]&lt;=60,"30 to 60 Mins",Call_Table_Data[[#This Row],[Duration]]&lt;=120,"1 to 2 Hours",TRUE,"More Than 2 Hours")</f>
        <v>1 to 2 Hours</v>
      </c>
      <c r="K589" s="9">
        <f>ROUND(Call_Table_Data[[#This Row],[Satisfaction Rating]],0)</f>
        <v>4</v>
      </c>
    </row>
    <row r="590" spans="1:11" x14ac:dyDescent="0.3">
      <c r="A590" s="9" t="s">
        <v>627</v>
      </c>
      <c r="B590" s="9" t="s">
        <v>50</v>
      </c>
      <c r="C590" s="9">
        <v>88</v>
      </c>
      <c r="D590" s="10" t="s">
        <v>40</v>
      </c>
      <c r="E590" s="11">
        <v>45108</v>
      </c>
      <c r="F590" s="9">
        <v>80</v>
      </c>
      <c r="G590" s="9">
        <v>4.2</v>
      </c>
      <c r="H590" s="9">
        <f>IF(MONTH(Call_Table_Data[[#This Row],[Date of Call]])&lt;=3,YEAR(Call_Table_Data[[#This Row],[Date of Call]]),YEAR(Call_Table_Data[[#This Row],[Date of Call]])+1)</f>
        <v>2024</v>
      </c>
      <c r="I590" s="9" t="str">
        <f>TEXT(Call_Table_Data[[#This Row],[Date of Call]],"DDDD")</f>
        <v>Saturday</v>
      </c>
      <c r="J590" s="9" t="str" cm="1">
        <f t="array" ref="J590">_xlfn.IFS(Call_Table_Data[[#This Row],[Duration]]&lt;=10,"Under 10 Mins",Call_Table_Data[[#This Row],[Duration]]&lt;=30,"10 to 30 Mins",Call_Table_Data[[#This Row],[Duration]]&lt;=60,"30 to 60 Mins",Call_Table_Data[[#This Row],[Duration]]&lt;=120,"1 to 2 Hours",TRUE,"More Than 2 Hours")</f>
        <v>1 to 2 Hours</v>
      </c>
      <c r="K590" s="9">
        <f>ROUND(Call_Table_Data[[#This Row],[Satisfaction Rating]],0)</f>
        <v>4</v>
      </c>
    </row>
    <row r="591" spans="1:11" x14ac:dyDescent="0.3">
      <c r="A591" s="9" t="s">
        <v>628</v>
      </c>
      <c r="B591" s="9" t="s">
        <v>30</v>
      </c>
      <c r="C591" s="9">
        <v>37</v>
      </c>
      <c r="D591" s="10" t="s">
        <v>40</v>
      </c>
      <c r="E591" s="11">
        <v>45108</v>
      </c>
      <c r="F591" s="9">
        <v>54</v>
      </c>
      <c r="G591" s="9">
        <v>1.8</v>
      </c>
      <c r="H591" s="9">
        <f>IF(MONTH(Call_Table_Data[[#This Row],[Date of Call]])&lt;=3,YEAR(Call_Table_Data[[#This Row],[Date of Call]]),YEAR(Call_Table_Data[[#This Row],[Date of Call]])+1)</f>
        <v>2024</v>
      </c>
      <c r="I591" s="9" t="str">
        <f>TEXT(Call_Table_Data[[#This Row],[Date of Call]],"DDDD")</f>
        <v>Saturday</v>
      </c>
      <c r="J591" s="9" t="str" cm="1">
        <f t="array" ref="J591">_xlfn.IFS(Call_Table_Data[[#This Row],[Duration]]&lt;=10,"Under 10 Mins",Call_Table_Data[[#This Row],[Duration]]&lt;=30,"10 to 30 Mins",Call_Table_Data[[#This Row],[Duration]]&lt;=60,"30 to 60 Mins",Call_Table_Data[[#This Row],[Duration]]&lt;=120,"1 to 2 Hours",TRUE,"More Than 2 Hours")</f>
        <v>30 to 60 Mins</v>
      </c>
      <c r="K591" s="9">
        <f>ROUND(Call_Table_Data[[#This Row],[Satisfaction Rating]],0)</f>
        <v>2</v>
      </c>
    </row>
    <row r="592" spans="1:11" x14ac:dyDescent="0.3">
      <c r="A592" s="9" t="s">
        <v>629</v>
      </c>
      <c r="B592" s="9" t="s">
        <v>18</v>
      </c>
      <c r="C592" s="9">
        <v>142</v>
      </c>
      <c r="D592" s="10" t="s">
        <v>17</v>
      </c>
      <c r="E592" s="11">
        <v>45108</v>
      </c>
      <c r="F592" s="9">
        <v>116</v>
      </c>
      <c r="G592" s="9">
        <v>4.2</v>
      </c>
      <c r="H592" s="9">
        <f>IF(MONTH(Call_Table_Data[[#This Row],[Date of Call]])&lt;=3,YEAR(Call_Table_Data[[#This Row],[Date of Call]]),YEAR(Call_Table_Data[[#This Row],[Date of Call]])+1)</f>
        <v>2024</v>
      </c>
      <c r="I592" s="9" t="str">
        <f>TEXT(Call_Table_Data[[#This Row],[Date of Call]],"DDDD")</f>
        <v>Saturday</v>
      </c>
      <c r="J592" s="9" t="str" cm="1">
        <f t="array" ref="J592">_xlfn.IFS(Call_Table_Data[[#This Row],[Duration]]&lt;=10,"Under 10 Mins",Call_Table_Data[[#This Row],[Duration]]&lt;=30,"10 to 30 Mins",Call_Table_Data[[#This Row],[Duration]]&lt;=60,"30 to 60 Mins",Call_Table_Data[[#This Row],[Duration]]&lt;=120,"1 to 2 Hours",TRUE,"More Than 2 Hours")</f>
        <v>More Than 2 Hours</v>
      </c>
      <c r="K592" s="9">
        <f>ROUND(Call_Table_Data[[#This Row],[Satisfaction Rating]],0)</f>
        <v>4</v>
      </c>
    </row>
    <row r="593" spans="1:11" x14ac:dyDescent="0.3">
      <c r="A593" s="9" t="s">
        <v>630</v>
      </c>
      <c r="B593" s="9" t="s">
        <v>18</v>
      </c>
      <c r="C593" s="9">
        <v>153</v>
      </c>
      <c r="D593" s="10" t="s">
        <v>33</v>
      </c>
      <c r="E593" s="11">
        <v>45108</v>
      </c>
      <c r="F593" s="9">
        <v>102</v>
      </c>
      <c r="G593" s="9">
        <v>3.1</v>
      </c>
      <c r="H593" s="9">
        <f>IF(MONTH(Call_Table_Data[[#This Row],[Date of Call]])&lt;=3,YEAR(Call_Table_Data[[#This Row],[Date of Call]]),YEAR(Call_Table_Data[[#This Row],[Date of Call]])+1)</f>
        <v>2024</v>
      </c>
      <c r="I593" s="9" t="str">
        <f>TEXT(Call_Table_Data[[#This Row],[Date of Call]],"DDDD")</f>
        <v>Saturday</v>
      </c>
      <c r="J593" s="9" t="str" cm="1">
        <f t="array" ref="J593">_xlfn.IFS(Call_Table_Data[[#This Row],[Duration]]&lt;=10,"Under 10 Mins",Call_Table_Data[[#This Row],[Duration]]&lt;=30,"10 to 30 Mins",Call_Table_Data[[#This Row],[Duration]]&lt;=60,"30 to 60 Mins",Call_Table_Data[[#This Row],[Duration]]&lt;=120,"1 to 2 Hours",TRUE,"More Than 2 Hours")</f>
        <v>More Than 2 Hours</v>
      </c>
      <c r="K593" s="9">
        <f>ROUND(Call_Table_Data[[#This Row],[Satisfaction Rating]],0)</f>
        <v>3</v>
      </c>
    </row>
    <row r="594" spans="1:11" x14ac:dyDescent="0.3">
      <c r="A594" s="9" t="s">
        <v>631</v>
      </c>
      <c r="B594" s="9" t="s">
        <v>35</v>
      </c>
      <c r="C594" s="9">
        <v>128</v>
      </c>
      <c r="D594" s="10" t="s">
        <v>27</v>
      </c>
      <c r="E594" s="11">
        <v>45108</v>
      </c>
      <c r="F594" s="9">
        <v>140</v>
      </c>
      <c r="G594" s="9">
        <v>4.3</v>
      </c>
      <c r="H594" s="9">
        <f>IF(MONTH(Call_Table_Data[[#This Row],[Date of Call]])&lt;=3,YEAR(Call_Table_Data[[#This Row],[Date of Call]]),YEAR(Call_Table_Data[[#This Row],[Date of Call]])+1)</f>
        <v>2024</v>
      </c>
      <c r="I594" s="9" t="str">
        <f>TEXT(Call_Table_Data[[#This Row],[Date of Call]],"DDDD")</f>
        <v>Saturday</v>
      </c>
      <c r="J594" s="9" t="str" cm="1">
        <f t="array" ref="J594">_xlfn.IFS(Call_Table_Data[[#This Row],[Duration]]&lt;=10,"Under 10 Mins",Call_Table_Data[[#This Row],[Duration]]&lt;=30,"10 to 30 Mins",Call_Table_Data[[#This Row],[Duration]]&lt;=60,"30 to 60 Mins",Call_Table_Data[[#This Row],[Duration]]&lt;=120,"1 to 2 Hours",TRUE,"More Than 2 Hours")</f>
        <v>More Than 2 Hours</v>
      </c>
      <c r="K594" s="9">
        <f>ROUND(Call_Table_Data[[#This Row],[Satisfaction Rating]],0)</f>
        <v>4</v>
      </c>
    </row>
    <row r="595" spans="1:11" x14ac:dyDescent="0.3">
      <c r="A595" s="9" t="s">
        <v>632</v>
      </c>
      <c r="B595" s="9" t="s">
        <v>49</v>
      </c>
      <c r="C595" s="9">
        <v>110</v>
      </c>
      <c r="D595" s="10" t="s">
        <v>27</v>
      </c>
      <c r="E595" s="11">
        <v>45109</v>
      </c>
      <c r="F595" s="9">
        <v>104</v>
      </c>
      <c r="G595" s="9">
        <v>4.4000000000000004</v>
      </c>
      <c r="H595" s="9">
        <f>IF(MONTH(Call_Table_Data[[#This Row],[Date of Call]])&lt;=3,YEAR(Call_Table_Data[[#This Row],[Date of Call]]),YEAR(Call_Table_Data[[#This Row],[Date of Call]])+1)</f>
        <v>2024</v>
      </c>
      <c r="I595" s="9" t="str">
        <f>TEXT(Call_Table_Data[[#This Row],[Date of Call]],"DDDD")</f>
        <v>Sunday</v>
      </c>
      <c r="J595" s="9" t="str" cm="1">
        <f t="array" ref="J595">_xlfn.IFS(Call_Table_Data[[#This Row],[Duration]]&lt;=10,"Under 10 Mins",Call_Table_Data[[#This Row],[Duration]]&lt;=30,"10 to 30 Mins",Call_Table_Data[[#This Row],[Duration]]&lt;=60,"30 to 60 Mins",Call_Table_Data[[#This Row],[Duration]]&lt;=120,"1 to 2 Hours",TRUE,"More Than 2 Hours")</f>
        <v>1 to 2 Hours</v>
      </c>
      <c r="K595" s="9">
        <f>ROUND(Call_Table_Data[[#This Row],[Satisfaction Rating]],0)</f>
        <v>4</v>
      </c>
    </row>
    <row r="596" spans="1:11" x14ac:dyDescent="0.3">
      <c r="A596" s="9" t="s">
        <v>633</v>
      </c>
      <c r="B596" s="9" t="s">
        <v>35</v>
      </c>
      <c r="C596" s="9">
        <v>139</v>
      </c>
      <c r="D596" s="10" t="s">
        <v>40</v>
      </c>
      <c r="E596" s="11">
        <v>45109</v>
      </c>
      <c r="F596" s="9">
        <v>81</v>
      </c>
      <c r="G596" s="9">
        <v>4.4000000000000004</v>
      </c>
      <c r="H596" s="9">
        <f>IF(MONTH(Call_Table_Data[[#This Row],[Date of Call]])&lt;=3,YEAR(Call_Table_Data[[#This Row],[Date of Call]]),YEAR(Call_Table_Data[[#This Row],[Date of Call]])+1)</f>
        <v>2024</v>
      </c>
      <c r="I596" s="9" t="str">
        <f>TEXT(Call_Table_Data[[#This Row],[Date of Call]],"DDDD")</f>
        <v>Sunday</v>
      </c>
      <c r="J596" s="9" t="str" cm="1">
        <f t="array" ref="J596">_xlfn.IFS(Call_Table_Data[[#This Row],[Duration]]&lt;=10,"Under 10 Mins",Call_Table_Data[[#This Row],[Duration]]&lt;=30,"10 to 30 Mins",Call_Table_Data[[#This Row],[Duration]]&lt;=60,"30 to 60 Mins",Call_Table_Data[[#This Row],[Duration]]&lt;=120,"1 to 2 Hours",TRUE,"More Than 2 Hours")</f>
        <v>More Than 2 Hours</v>
      </c>
      <c r="K596" s="9">
        <f>ROUND(Call_Table_Data[[#This Row],[Satisfaction Rating]],0)</f>
        <v>4</v>
      </c>
    </row>
    <row r="597" spans="1:11" x14ac:dyDescent="0.3">
      <c r="A597" s="9" t="s">
        <v>634</v>
      </c>
      <c r="B597" s="9" t="s">
        <v>45</v>
      </c>
      <c r="C597" s="9">
        <v>109</v>
      </c>
      <c r="D597" s="10" t="s">
        <v>46</v>
      </c>
      <c r="E597" s="11">
        <v>45111</v>
      </c>
      <c r="F597" s="9">
        <v>140</v>
      </c>
      <c r="G597" s="9">
        <v>2.4</v>
      </c>
      <c r="H597" s="9">
        <f>IF(MONTH(Call_Table_Data[[#This Row],[Date of Call]])&lt;=3,YEAR(Call_Table_Data[[#This Row],[Date of Call]]),YEAR(Call_Table_Data[[#This Row],[Date of Call]])+1)</f>
        <v>2024</v>
      </c>
      <c r="I597" s="9" t="str">
        <f>TEXT(Call_Table_Data[[#This Row],[Date of Call]],"DDDD")</f>
        <v>Tuesday</v>
      </c>
      <c r="J597" s="9" t="str" cm="1">
        <f t="array" ref="J597">_xlfn.IFS(Call_Table_Data[[#This Row],[Duration]]&lt;=10,"Under 10 Mins",Call_Table_Data[[#This Row],[Duration]]&lt;=30,"10 to 30 Mins",Call_Table_Data[[#This Row],[Duration]]&lt;=60,"30 to 60 Mins",Call_Table_Data[[#This Row],[Duration]]&lt;=120,"1 to 2 Hours",TRUE,"More Than 2 Hours")</f>
        <v>1 to 2 Hours</v>
      </c>
      <c r="K597" s="9">
        <f>ROUND(Call_Table_Data[[#This Row],[Satisfaction Rating]],0)</f>
        <v>2</v>
      </c>
    </row>
    <row r="598" spans="1:11" x14ac:dyDescent="0.3">
      <c r="A598" s="9" t="s">
        <v>635</v>
      </c>
      <c r="B598" s="9" t="s">
        <v>22</v>
      </c>
      <c r="C598" s="9">
        <v>57</v>
      </c>
      <c r="D598" s="10" t="s">
        <v>17</v>
      </c>
      <c r="E598" s="11">
        <v>45112</v>
      </c>
      <c r="F598" s="9">
        <v>120</v>
      </c>
      <c r="G598" s="9">
        <v>3.5</v>
      </c>
      <c r="H598" s="9">
        <f>IF(MONTH(Call_Table_Data[[#This Row],[Date of Call]])&lt;=3,YEAR(Call_Table_Data[[#This Row],[Date of Call]]),YEAR(Call_Table_Data[[#This Row],[Date of Call]])+1)</f>
        <v>2024</v>
      </c>
      <c r="I598" s="9" t="str">
        <f>TEXT(Call_Table_Data[[#This Row],[Date of Call]],"DDDD")</f>
        <v>Wednesday</v>
      </c>
      <c r="J598" s="9" t="str" cm="1">
        <f t="array" ref="J598">_xlfn.IFS(Call_Table_Data[[#This Row],[Duration]]&lt;=10,"Under 10 Mins",Call_Table_Data[[#This Row],[Duration]]&lt;=30,"10 to 30 Mins",Call_Table_Data[[#This Row],[Duration]]&lt;=60,"30 to 60 Mins",Call_Table_Data[[#This Row],[Duration]]&lt;=120,"1 to 2 Hours",TRUE,"More Than 2 Hours")</f>
        <v>30 to 60 Mins</v>
      </c>
      <c r="K598" s="9">
        <f>ROUND(Call_Table_Data[[#This Row],[Satisfaction Rating]],0)</f>
        <v>4</v>
      </c>
    </row>
    <row r="599" spans="1:11" x14ac:dyDescent="0.3">
      <c r="A599" s="9" t="s">
        <v>636</v>
      </c>
      <c r="B599" s="9" t="s">
        <v>45</v>
      </c>
      <c r="C599" s="9">
        <v>68</v>
      </c>
      <c r="D599" s="10" t="s">
        <v>40</v>
      </c>
      <c r="E599" s="11">
        <v>45112</v>
      </c>
      <c r="F599" s="9">
        <v>41</v>
      </c>
      <c r="G599" s="9">
        <v>3.1</v>
      </c>
      <c r="H599" s="9">
        <f>IF(MONTH(Call_Table_Data[[#This Row],[Date of Call]])&lt;=3,YEAR(Call_Table_Data[[#This Row],[Date of Call]]),YEAR(Call_Table_Data[[#This Row],[Date of Call]])+1)</f>
        <v>2024</v>
      </c>
      <c r="I599" s="9" t="str">
        <f>TEXT(Call_Table_Data[[#This Row],[Date of Call]],"DDDD")</f>
        <v>Wednesday</v>
      </c>
      <c r="J599" s="9" t="str" cm="1">
        <f t="array" ref="J599">_xlfn.IFS(Call_Table_Data[[#This Row],[Duration]]&lt;=10,"Under 10 Mins",Call_Table_Data[[#This Row],[Duration]]&lt;=30,"10 to 30 Mins",Call_Table_Data[[#This Row],[Duration]]&lt;=60,"30 to 60 Mins",Call_Table_Data[[#This Row],[Duration]]&lt;=120,"1 to 2 Hours",TRUE,"More Than 2 Hours")</f>
        <v>1 to 2 Hours</v>
      </c>
      <c r="K599" s="9">
        <f>ROUND(Call_Table_Data[[#This Row],[Satisfaction Rating]],0)</f>
        <v>3</v>
      </c>
    </row>
    <row r="600" spans="1:11" x14ac:dyDescent="0.3">
      <c r="A600" s="9" t="s">
        <v>637</v>
      </c>
      <c r="B600" s="9" t="s">
        <v>32</v>
      </c>
      <c r="C600" s="9">
        <v>128</v>
      </c>
      <c r="D600" s="10" t="s">
        <v>40</v>
      </c>
      <c r="E600" s="11">
        <v>45112</v>
      </c>
      <c r="F600" s="9">
        <v>116</v>
      </c>
      <c r="G600" s="9">
        <v>2.2999999999999998</v>
      </c>
      <c r="H600" s="9">
        <f>IF(MONTH(Call_Table_Data[[#This Row],[Date of Call]])&lt;=3,YEAR(Call_Table_Data[[#This Row],[Date of Call]]),YEAR(Call_Table_Data[[#This Row],[Date of Call]])+1)</f>
        <v>2024</v>
      </c>
      <c r="I600" s="9" t="str">
        <f>TEXT(Call_Table_Data[[#This Row],[Date of Call]],"DDDD")</f>
        <v>Wednesday</v>
      </c>
      <c r="J600" s="9" t="str" cm="1">
        <f t="array" ref="J600">_xlfn.IFS(Call_Table_Data[[#This Row],[Duration]]&lt;=10,"Under 10 Mins",Call_Table_Data[[#This Row],[Duration]]&lt;=30,"10 to 30 Mins",Call_Table_Data[[#This Row],[Duration]]&lt;=60,"30 to 60 Mins",Call_Table_Data[[#This Row],[Duration]]&lt;=120,"1 to 2 Hours",TRUE,"More Than 2 Hours")</f>
        <v>More Than 2 Hours</v>
      </c>
      <c r="K600" s="9">
        <f>ROUND(Call_Table_Data[[#This Row],[Satisfaction Rating]],0)</f>
        <v>2</v>
      </c>
    </row>
    <row r="601" spans="1:11" x14ac:dyDescent="0.3">
      <c r="A601" s="9" t="s">
        <v>638</v>
      </c>
      <c r="B601" s="9" t="s">
        <v>16</v>
      </c>
      <c r="C601" s="9">
        <v>102</v>
      </c>
      <c r="D601" s="10" t="s">
        <v>17</v>
      </c>
      <c r="E601" s="11">
        <v>45113</v>
      </c>
      <c r="F601" s="9">
        <v>70</v>
      </c>
      <c r="G601" s="9">
        <v>2.8</v>
      </c>
      <c r="H601" s="9">
        <f>IF(MONTH(Call_Table_Data[[#This Row],[Date of Call]])&lt;=3,YEAR(Call_Table_Data[[#This Row],[Date of Call]]),YEAR(Call_Table_Data[[#This Row],[Date of Call]])+1)</f>
        <v>2024</v>
      </c>
      <c r="I601" s="9" t="str">
        <f>TEXT(Call_Table_Data[[#This Row],[Date of Call]],"DDDD")</f>
        <v>Thursday</v>
      </c>
      <c r="J601" s="9" t="str" cm="1">
        <f t="array" ref="J601">_xlfn.IFS(Call_Table_Data[[#This Row],[Duration]]&lt;=10,"Under 10 Mins",Call_Table_Data[[#This Row],[Duration]]&lt;=30,"10 to 30 Mins",Call_Table_Data[[#This Row],[Duration]]&lt;=60,"30 to 60 Mins",Call_Table_Data[[#This Row],[Duration]]&lt;=120,"1 to 2 Hours",TRUE,"More Than 2 Hours")</f>
        <v>1 to 2 Hours</v>
      </c>
      <c r="K601" s="9">
        <f>ROUND(Call_Table_Data[[#This Row],[Satisfaction Rating]],0)</f>
        <v>3</v>
      </c>
    </row>
    <row r="602" spans="1:11" x14ac:dyDescent="0.3">
      <c r="A602" s="9" t="s">
        <v>639</v>
      </c>
      <c r="B602" s="9" t="s">
        <v>35</v>
      </c>
      <c r="C602" s="9">
        <v>52</v>
      </c>
      <c r="D602" s="10" t="s">
        <v>33</v>
      </c>
      <c r="E602" s="11">
        <v>45113</v>
      </c>
      <c r="F602" s="9">
        <v>42</v>
      </c>
      <c r="G602" s="9">
        <v>4.5</v>
      </c>
      <c r="H602" s="9">
        <f>IF(MONTH(Call_Table_Data[[#This Row],[Date of Call]])&lt;=3,YEAR(Call_Table_Data[[#This Row],[Date of Call]]),YEAR(Call_Table_Data[[#This Row],[Date of Call]])+1)</f>
        <v>2024</v>
      </c>
      <c r="I602" s="9" t="str">
        <f>TEXT(Call_Table_Data[[#This Row],[Date of Call]],"DDDD")</f>
        <v>Thursday</v>
      </c>
      <c r="J602" s="9" t="str" cm="1">
        <f t="array" ref="J602">_xlfn.IFS(Call_Table_Data[[#This Row],[Duration]]&lt;=10,"Under 10 Mins",Call_Table_Data[[#This Row],[Duration]]&lt;=30,"10 to 30 Mins",Call_Table_Data[[#This Row],[Duration]]&lt;=60,"30 to 60 Mins",Call_Table_Data[[#This Row],[Duration]]&lt;=120,"1 to 2 Hours",TRUE,"More Than 2 Hours")</f>
        <v>30 to 60 Mins</v>
      </c>
      <c r="K602" s="9">
        <f>ROUND(Call_Table_Data[[#This Row],[Satisfaction Rating]],0)</f>
        <v>5</v>
      </c>
    </row>
    <row r="603" spans="1:11" x14ac:dyDescent="0.3">
      <c r="A603" s="9" t="s">
        <v>640</v>
      </c>
      <c r="B603" s="9" t="s">
        <v>32</v>
      </c>
      <c r="C603" s="9">
        <v>55</v>
      </c>
      <c r="D603" s="10" t="s">
        <v>27</v>
      </c>
      <c r="E603" s="11">
        <v>45114</v>
      </c>
      <c r="F603" s="9">
        <v>112</v>
      </c>
      <c r="G603" s="9">
        <v>4.5</v>
      </c>
      <c r="H603" s="9">
        <f>IF(MONTH(Call_Table_Data[[#This Row],[Date of Call]])&lt;=3,YEAR(Call_Table_Data[[#This Row],[Date of Call]]),YEAR(Call_Table_Data[[#This Row],[Date of Call]])+1)</f>
        <v>2024</v>
      </c>
      <c r="I603" s="9" t="str">
        <f>TEXT(Call_Table_Data[[#This Row],[Date of Call]],"DDDD")</f>
        <v>Friday</v>
      </c>
      <c r="J603" s="9" t="str" cm="1">
        <f t="array" ref="J603">_xlfn.IFS(Call_Table_Data[[#This Row],[Duration]]&lt;=10,"Under 10 Mins",Call_Table_Data[[#This Row],[Duration]]&lt;=30,"10 to 30 Mins",Call_Table_Data[[#This Row],[Duration]]&lt;=60,"30 to 60 Mins",Call_Table_Data[[#This Row],[Duration]]&lt;=120,"1 to 2 Hours",TRUE,"More Than 2 Hours")</f>
        <v>30 to 60 Mins</v>
      </c>
      <c r="K603" s="9">
        <f>ROUND(Call_Table_Data[[#This Row],[Satisfaction Rating]],0)</f>
        <v>5</v>
      </c>
    </row>
    <row r="604" spans="1:11" x14ac:dyDescent="0.3">
      <c r="A604" s="9" t="s">
        <v>641</v>
      </c>
      <c r="B604" s="9" t="s">
        <v>30</v>
      </c>
      <c r="C604" s="9">
        <v>107</v>
      </c>
      <c r="D604" s="10" t="s">
        <v>40</v>
      </c>
      <c r="E604" s="11">
        <v>45114</v>
      </c>
      <c r="F604" s="9">
        <v>20</v>
      </c>
      <c r="G604" s="9">
        <v>4.5</v>
      </c>
      <c r="H604" s="9">
        <f>IF(MONTH(Call_Table_Data[[#This Row],[Date of Call]])&lt;=3,YEAR(Call_Table_Data[[#This Row],[Date of Call]]),YEAR(Call_Table_Data[[#This Row],[Date of Call]])+1)</f>
        <v>2024</v>
      </c>
      <c r="I604" s="9" t="str">
        <f>TEXT(Call_Table_Data[[#This Row],[Date of Call]],"DDDD")</f>
        <v>Friday</v>
      </c>
      <c r="J604" s="9" t="str" cm="1">
        <f t="array" ref="J604">_xlfn.IFS(Call_Table_Data[[#This Row],[Duration]]&lt;=10,"Under 10 Mins",Call_Table_Data[[#This Row],[Duration]]&lt;=30,"10 to 30 Mins",Call_Table_Data[[#This Row],[Duration]]&lt;=60,"30 to 60 Mins",Call_Table_Data[[#This Row],[Duration]]&lt;=120,"1 to 2 Hours",TRUE,"More Than 2 Hours")</f>
        <v>1 to 2 Hours</v>
      </c>
      <c r="K604" s="9">
        <f>ROUND(Call_Table_Data[[#This Row],[Satisfaction Rating]],0)</f>
        <v>5</v>
      </c>
    </row>
    <row r="605" spans="1:11" x14ac:dyDescent="0.3">
      <c r="A605" s="9" t="s">
        <v>642</v>
      </c>
      <c r="B605" s="9" t="s">
        <v>23</v>
      </c>
      <c r="C605" s="9">
        <v>88</v>
      </c>
      <c r="D605" s="10" t="s">
        <v>33</v>
      </c>
      <c r="E605" s="11">
        <v>45115</v>
      </c>
      <c r="F605" s="9">
        <v>110</v>
      </c>
      <c r="G605" s="9">
        <v>4.8</v>
      </c>
      <c r="H605" s="9">
        <f>IF(MONTH(Call_Table_Data[[#This Row],[Date of Call]])&lt;=3,YEAR(Call_Table_Data[[#This Row],[Date of Call]]),YEAR(Call_Table_Data[[#This Row],[Date of Call]])+1)</f>
        <v>2024</v>
      </c>
      <c r="I605" s="9" t="str">
        <f>TEXT(Call_Table_Data[[#This Row],[Date of Call]],"DDDD")</f>
        <v>Saturday</v>
      </c>
      <c r="J605" s="9" t="str" cm="1">
        <f t="array" ref="J605">_xlfn.IFS(Call_Table_Data[[#This Row],[Duration]]&lt;=10,"Under 10 Mins",Call_Table_Data[[#This Row],[Duration]]&lt;=30,"10 to 30 Mins",Call_Table_Data[[#This Row],[Duration]]&lt;=60,"30 to 60 Mins",Call_Table_Data[[#This Row],[Duration]]&lt;=120,"1 to 2 Hours",TRUE,"More Than 2 Hours")</f>
        <v>1 to 2 Hours</v>
      </c>
      <c r="K605" s="9">
        <f>ROUND(Call_Table_Data[[#This Row],[Satisfaction Rating]],0)</f>
        <v>5</v>
      </c>
    </row>
    <row r="606" spans="1:11" x14ac:dyDescent="0.3">
      <c r="A606" s="9" t="s">
        <v>643</v>
      </c>
      <c r="B606" s="9" t="s">
        <v>37</v>
      </c>
      <c r="C606" s="9">
        <v>49</v>
      </c>
      <c r="D606" s="10" t="s">
        <v>33</v>
      </c>
      <c r="E606" s="11">
        <v>45115</v>
      </c>
      <c r="F606" s="9">
        <v>39</v>
      </c>
      <c r="G606" s="9">
        <v>4.5999999999999996</v>
      </c>
      <c r="H606" s="9">
        <f>IF(MONTH(Call_Table_Data[[#This Row],[Date of Call]])&lt;=3,YEAR(Call_Table_Data[[#This Row],[Date of Call]]),YEAR(Call_Table_Data[[#This Row],[Date of Call]])+1)</f>
        <v>2024</v>
      </c>
      <c r="I606" s="9" t="str">
        <f>TEXT(Call_Table_Data[[#This Row],[Date of Call]],"DDDD")</f>
        <v>Saturday</v>
      </c>
      <c r="J606" s="9" t="str" cm="1">
        <f t="array" ref="J606">_xlfn.IFS(Call_Table_Data[[#This Row],[Duration]]&lt;=10,"Under 10 Mins",Call_Table_Data[[#This Row],[Duration]]&lt;=30,"10 to 30 Mins",Call_Table_Data[[#This Row],[Duration]]&lt;=60,"30 to 60 Mins",Call_Table_Data[[#This Row],[Duration]]&lt;=120,"1 to 2 Hours",TRUE,"More Than 2 Hours")</f>
        <v>30 to 60 Mins</v>
      </c>
      <c r="K606" s="9">
        <f>ROUND(Call_Table_Data[[#This Row],[Satisfaction Rating]],0)</f>
        <v>5</v>
      </c>
    </row>
    <row r="607" spans="1:11" x14ac:dyDescent="0.3">
      <c r="A607" s="9" t="s">
        <v>644</v>
      </c>
      <c r="B607" s="9" t="s">
        <v>23</v>
      </c>
      <c r="C607" s="9">
        <v>72</v>
      </c>
      <c r="D607" s="10" t="s">
        <v>17</v>
      </c>
      <c r="E607" s="11">
        <v>45115</v>
      </c>
      <c r="F607" s="9">
        <v>76</v>
      </c>
      <c r="G607" s="9">
        <v>4.5</v>
      </c>
      <c r="H607" s="9">
        <f>IF(MONTH(Call_Table_Data[[#This Row],[Date of Call]])&lt;=3,YEAR(Call_Table_Data[[#This Row],[Date of Call]]),YEAR(Call_Table_Data[[#This Row],[Date of Call]])+1)</f>
        <v>2024</v>
      </c>
      <c r="I607" s="9" t="str">
        <f>TEXT(Call_Table_Data[[#This Row],[Date of Call]],"DDDD")</f>
        <v>Saturday</v>
      </c>
      <c r="J607" s="9" t="str" cm="1">
        <f t="array" ref="J607">_xlfn.IFS(Call_Table_Data[[#This Row],[Duration]]&lt;=10,"Under 10 Mins",Call_Table_Data[[#This Row],[Duration]]&lt;=30,"10 to 30 Mins",Call_Table_Data[[#This Row],[Duration]]&lt;=60,"30 to 60 Mins",Call_Table_Data[[#This Row],[Duration]]&lt;=120,"1 to 2 Hours",TRUE,"More Than 2 Hours")</f>
        <v>1 to 2 Hours</v>
      </c>
      <c r="K607" s="9">
        <f>ROUND(Call_Table_Data[[#This Row],[Satisfaction Rating]],0)</f>
        <v>5</v>
      </c>
    </row>
    <row r="608" spans="1:11" x14ac:dyDescent="0.3">
      <c r="A608" s="9" t="s">
        <v>645</v>
      </c>
      <c r="B608" s="9" t="s">
        <v>22</v>
      </c>
      <c r="C608" s="9">
        <v>50</v>
      </c>
      <c r="D608" s="10" t="s">
        <v>17</v>
      </c>
      <c r="E608" s="11">
        <v>45115</v>
      </c>
      <c r="F608" s="9">
        <v>40</v>
      </c>
      <c r="G608" s="9">
        <v>5</v>
      </c>
      <c r="H608" s="9">
        <f>IF(MONTH(Call_Table_Data[[#This Row],[Date of Call]])&lt;=3,YEAR(Call_Table_Data[[#This Row],[Date of Call]]),YEAR(Call_Table_Data[[#This Row],[Date of Call]])+1)</f>
        <v>2024</v>
      </c>
      <c r="I608" s="9" t="str">
        <f>TEXT(Call_Table_Data[[#This Row],[Date of Call]],"DDDD")</f>
        <v>Saturday</v>
      </c>
      <c r="J608" s="9" t="str" cm="1">
        <f t="array" ref="J608">_xlfn.IFS(Call_Table_Data[[#This Row],[Duration]]&lt;=10,"Under 10 Mins",Call_Table_Data[[#This Row],[Duration]]&lt;=30,"10 to 30 Mins",Call_Table_Data[[#This Row],[Duration]]&lt;=60,"30 to 60 Mins",Call_Table_Data[[#This Row],[Duration]]&lt;=120,"1 to 2 Hours",TRUE,"More Than 2 Hours")</f>
        <v>30 to 60 Mins</v>
      </c>
      <c r="K608" s="9">
        <f>ROUND(Call_Table_Data[[#This Row],[Satisfaction Rating]],0)</f>
        <v>5</v>
      </c>
    </row>
    <row r="609" spans="1:11" x14ac:dyDescent="0.3">
      <c r="A609" s="9" t="s">
        <v>646</v>
      </c>
      <c r="B609" s="9" t="s">
        <v>23</v>
      </c>
      <c r="C609" s="9">
        <v>52</v>
      </c>
      <c r="D609" s="10" t="s">
        <v>40</v>
      </c>
      <c r="E609" s="11">
        <v>45115</v>
      </c>
      <c r="F609" s="9">
        <v>42</v>
      </c>
      <c r="G609" s="9">
        <v>4.8</v>
      </c>
      <c r="H609" s="9">
        <f>IF(MONTH(Call_Table_Data[[#This Row],[Date of Call]])&lt;=3,YEAR(Call_Table_Data[[#This Row],[Date of Call]]),YEAR(Call_Table_Data[[#This Row],[Date of Call]])+1)</f>
        <v>2024</v>
      </c>
      <c r="I609" s="9" t="str">
        <f>TEXT(Call_Table_Data[[#This Row],[Date of Call]],"DDDD")</f>
        <v>Saturday</v>
      </c>
      <c r="J609" s="9" t="str" cm="1">
        <f t="array" ref="J609">_xlfn.IFS(Call_Table_Data[[#This Row],[Duration]]&lt;=10,"Under 10 Mins",Call_Table_Data[[#This Row],[Duration]]&lt;=30,"10 to 30 Mins",Call_Table_Data[[#This Row],[Duration]]&lt;=60,"30 to 60 Mins",Call_Table_Data[[#This Row],[Duration]]&lt;=120,"1 to 2 Hours",TRUE,"More Than 2 Hours")</f>
        <v>30 to 60 Mins</v>
      </c>
      <c r="K609" s="9">
        <f>ROUND(Call_Table_Data[[#This Row],[Satisfaction Rating]],0)</f>
        <v>5</v>
      </c>
    </row>
    <row r="610" spans="1:11" x14ac:dyDescent="0.3">
      <c r="A610" s="9" t="s">
        <v>647</v>
      </c>
      <c r="B610" s="9" t="s">
        <v>26</v>
      </c>
      <c r="C610" s="9">
        <v>85</v>
      </c>
      <c r="D610" s="10" t="s">
        <v>46</v>
      </c>
      <c r="E610" s="11">
        <v>45116</v>
      </c>
      <c r="F610" s="9">
        <v>215</v>
      </c>
      <c r="G610" s="9">
        <v>3.5</v>
      </c>
      <c r="H610" s="9">
        <f>IF(MONTH(Call_Table_Data[[#This Row],[Date of Call]])&lt;=3,YEAR(Call_Table_Data[[#This Row],[Date of Call]]),YEAR(Call_Table_Data[[#This Row],[Date of Call]])+1)</f>
        <v>2024</v>
      </c>
      <c r="I610" s="9" t="str">
        <f>TEXT(Call_Table_Data[[#This Row],[Date of Call]],"DDDD")</f>
        <v>Sunday</v>
      </c>
      <c r="J610" s="9" t="str" cm="1">
        <f t="array" ref="J610">_xlfn.IFS(Call_Table_Data[[#This Row],[Duration]]&lt;=10,"Under 10 Mins",Call_Table_Data[[#This Row],[Duration]]&lt;=30,"10 to 30 Mins",Call_Table_Data[[#This Row],[Duration]]&lt;=60,"30 to 60 Mins",Call_Table_Data[[#This Row],[Duration]]&lt;=120,"1 to 2 Hours",TRUE,"More Than 2 Hours")</f>
        <v>1 to 2 Hours</v>
      </c>
      <c r="K610" s="9">
        <f>ROUND(Call_Table_Data[[#This Row],[Satisfaction Rating]],0)</f>
        <v>4</v>
      </c>
    </row>
    <row r="611" spans="1:11" x14ac:dyDescent="0.3">
      <c r="A611" s="9" t="s">
        <v>648</v>
      </c>
      <c r="B611" s="9" t="s">
        <v>43</v>
      </c>
      <c r="C611" s="9">
        <v>98</v>
      </c>
      <c r="D611" s="10" t="s">
        <v>46</v>
      </c>
      <c r="E611" s="11">
        <v>45117</v>
      </c>
      <c r="F611" s="9">
        <v>130</v>
      </c>
      <c r="G611" s="9">
        <v>3.4</v>
      </c>
      <c r="H611" s="9">
        <f>IF(MONTH(Call_Table_Data[[#This Row],[Date of Call]])&lt;=3,YEAR(Call_Table_Data[[#This Row],[Date of Call]]),YEAR(Call_Table_Data[[#This Row],[Date of Call]])+1)</f>
        <v>2024</v>
      </c>
      <c r="I611" s="9" t="str">
        <f>TEXT(Call_Table_Data[[#This Row],[Date of Call]],"DDDD")</f>
        <v>Monday</v>
      </c>
      <c r="J611" s="9" t="str" cm="1">
        <f t="array" ref="J611">_xlfn.IFS(Call_Table_Data[[#This Row],[Duration]]&lt;=10,"Under 10 Mins",Call_Table_Data[[#This Row],[Duration]]&lt;=30,"10 to 30 Mins",Call_Table_Data[[#This Row],[Duration]]&lt;=60,"30 to 60 Mins",Call_Table_Data[[#This Row],[Duration]]&lt;=120,"1 to 2 Hours",TRUE,"More Than 2 Hours")</f>
        <v>1 to 2 Hours</v>
      </c>
      <c r="K611" s="9">
        <f>ROUND(Call_Table_Data[[#This Row],[Satisfaction Rating]],0)</f>
        <v>3</v>
      </c>
    </row>
    <row r="612" spans="1:11" x14ac:dyDescent="0.3">
      <c r="A612" s="9" t="s">
        <v>649</v>
      </c>
      <c r="B612" s="9" t="s">
        <v>54</v>
      </c>
      <c r="C612" s="9">
        <v>52</v>
      </c>
      <c r="D612" s="10" t="s">
        <v>46</v>
      </c>
      <c r="E612" s="11">
        <v>45117</v>
      </c>
      <c r="F612" s="9">
        <v>190</v>
      </c>
      <c r="G612" s="9">
        <v>3.3</v>
      </c>
      <c r="H612" s="9">
        <f>IF(MONTH(Call_Table_Data[[#This Row],[Date of Call]])&lt;=3,YEAR(Call_Table_Data[[#This Row],[Date of Call]]),YEAR(Call_Table_Data[[#This Row],[Date of Call]])+1)</f>
        <v>2024</v>
      </c>
      <c r="I612" s="9" t="str">
        <f>TEXT(Call_Table_Data[[#This Row],[Date of Call]],"DDDD")</f>
        <v>Monday</v>
      </c>
      <c r="J612" s="9" t="str" cm="1">
        <f t="array" ref="J612">_xlfn.IFS(Call_Table_Data[[#This Row],[Duration]]&lt;=10,"Under 10 Mins",Call_Table_Data[[#This Row],[Duration]]&lt;=30,"10 to 30 Mins",Call_Table_Data[[#This Row],[Duration]]&lt;=60,"30 to 60 Mins",Call_Table_Data[[#This Row],[Duration]]&lt;=120,"1 to 2 Hours",TRUE,"More Than 2 Hours")</f>
        <v>30 to 60 Mins</v>
      </c>
      <c r="K612" s="9">
        <f>ROUND(Call_Table_Data[[#This Row],[Satisfaction Rating]],0)</f>
        <v>3</v>
      </c>
    </row>
    <row r="613" spans="1:11" x14ac:dyDescent="0.3">
      <c r="A613" s="9" t="s">
        <v>650</v>
      </c>
      <c r="B613" s="9" t="s">
        <v>32</v>
      </c>
      <c r="C613" s="9">
        <v>154</v>
      </c>
      <c r="D613" s="10" t="s">
        <v>33</v>
      </c>
      <c r="E613" s="11">
        <v>45117</v>
      </c>
      <c r="F613" s="9">
        <v>164</v>
      </c>
      <c r="G613" s="9">
        <v>4.9000000000000004</v>
      </c>
      <c r="H613" s="9">
        <f>IF(MONTH(Call_Table_Data[[#This Row],[Date of Call]])&lt;=3,YEAR(Call_Table_Data[[#This Row],[Date of Call]]),YEAR(Call_Table_Data[[#This Row],[Date of Call]])+1)</f>
        <v>2024</v>
      </c>
      <c r="I613" s="9" t="str">
        <f>TEXT(Call_Table_Data[[#This Row],[Date of Call]],"DDDD")</f>
        <v>Monday</v>
      </c>
      <c r="J613" s="9" t="str" cm="1">
        <f t="array" ref="J613">_xlfn.IFS(Call_Table_Data[[#This Row],[Duration]]&lt;=10,"Under 10 Mins",Call_Table_Data[[#This Row],[Duration]]&lt;=30,"10 to 30 Mins",Call_Table_Data[[#This Row],[Duration]]&lt;=60,"30 to 60 Mins",Call_Table_Data[[#This Row],[Duration]]&lt;=120,"1 to 2 Hours",TRUE,"More Than 2 Hours")</f>
        <v>More Than 2 Hours</v>
      </c>
      <c r="K613" s="9">
        <f>ROUND(Call_Table_Data[[#This Row],[Satisfaction Rating]],0)</f>
        <v>5</v>
      </c>
    </row>
    <row r="614" spans="1:11" x14ac:dyDescent="0.3">
      <c r="A614" s="9" t="s">
        <v>651</v>
      </c>
      <c r="B614" s="9" t="s">
        <v>41</v>
      </c>
      <c r="C614" s="9">
        <v>131</v>
      </c>
      <c r="D614" s="10" t="s">
        <v>27</v>
      </c>
      <c r="E614" s="11">
        <v>45118</v>
      </c>
      <c r="F614" s="9">
        <v>76</v>
      </c>
      <c r="G614" s="9">
        <v>4.5</v>
      </c>
      <c r="H614" s="9">
        <f>IF(MONTH(Call_Table_Data[[#This Row],[Date of Call]])&lt;=3,YEAR(Call_Table_Data[[#This Row],[Date of Call]]),YEAR(Call_Table_Data[[#This Row],[Date of Call]])+1)</f>
        <v>2024</v>
      </c>
      <c r="I614" s="9" t="str">
        <f>TEXT(Call_Table_Data[[#This Row],[Date of Call]],"DDDD")</f>
        <v>Tuesday</v>
      </c>
      <c r="J614" s="9" t="str" cm="1">
        <f t="array" ref="J614">_xlfn.IFS(Call_Table_Data[[#This Row],[Duration]]&lt;=10,"Under 10 Mins",Call_Table_Data[[#This Row],[Duration]]&lt;=30,"10 to 30 Mins",Call_Table_Data[[#This Row],[Duration]]&lt;=60,"30 to 60 Mins",Call_Table_Data[[#This Row],[Duration]]&lt;=120,"1 to 2 Hours",TRUE,"More Than 2 Hours")</f>
        <v>More Than 2 Hours</v>
      </c>
      <c r="K614" s="9">
        <f>ROUND(Call_Table_Data[[#This Row],[Satisfaction Rating]],0)</f>
        <v>5</v>
      </c>
    </row>
    <row r="615" spans="1:11" x14ac:dyDescent="0.3">
      <c r="A615" s="9" t="s">
        <v>652</v>
      </c>
      <c r="B615" s="9" t="s">
        <v>26</v>
      </c>
      <c r="C615" s="9">
        <v>73</v>
      </c>
      <c r="D615" s="10" t="s">
        <v>27</v>
      </c>
      <c r="E615" s="11">
        <v>45119</v>
      </c>
      <c r="F615" s="9">
        <v>87</v>
      </c>
      <c r="G615" s="9">
        <v>4.8</v>
      </c>
      <c r="H615" s="9">
        <f>IF(MONTH(Call_Table_Data[[#This Row],[Date of Call]])&lt;=3,YEAR(Call_Table_Data[[#This Row],[Date of Call]]),YEAR(Call_Table_Data[[#This Row],[Date of Call]])+1)</f>
        <v>2024</v>
      </c>
      <c r="I615" s="9" t="str">
        <f>TEXT(Call_Table_Data[[#This Row],[Date of Call]],"DDDD")</f>
        <v>Wednesday</v>
      </c>
      <c r="J615" s="9" t="str" cm="1">
        <f t="array" ref="J615">_xlfn.IFS(Call_Table_Data[[#This Row],[Duration]]&lt;=10,"Under 10 Mins",Call_Table_Data[[#This Row],[Duration]]&lt;=30,"10 to 30 Mins",Call_Table_Data[[#This Row],[Duration]]&lt;=60,"30 to 60 Mins",Call_Table_Data[[#This Row],[Duration]]&lt;=120,"1 to 2 Hours",TRUE,"More Than 2 Hours")</f>
        <v>1 to 2 Hours</v>
      </c>
      <c r="K615" s="9">
        <f>ROUND(Call_Table_Data[[#This Row],[Satisfaction Rating]],0)</f>
        <v>5</v>
      </c>
    </row>
    <row r="616" spans="1:11" x14ac:dyDescent="0.3">
      <c r="A616" s="9" t="s">
        <v>653</v>
      </c>
      <c r="B616" s="9" t="s">
        <v>49</v>
      </c>
      <c r="C616" s="9">
        <v>45</v>
      </c>
      <c r="D616" s="10" t="s">
        <v>46</v>
      </c>
      <c r="E616" s="11">
        <v>45119</v>
      </c>
      <c r="F616" s="9">
        <v>84</v>
      </c>
      <c r="G616" s="9">
        <v>4.8</v>
      </c>
      <c r="H616" s="9">
        <f>IF(MONTH(Call_Table_Data[[#This Row],[Date of Call]])&lt;=3,YEAR(Call_Table_Data[[#This Row],[Date of Call]]),YEAR(Call_Table_Data[[#This Row],[Date of Call]])+1)</f>
        <v>2024</v>
      </c>
      <c r="I616" s="9" t="str">
        <f>TEXT(Call_Table_Data[[#This Row],[Date of Call]],"DDDD")</f>
        <v>Wednesday</v>
      </c>
      <c r="J616" s="9" t="str" cm="1">
        <f t="array" ref="J616">_xlfn.IFS(Call_Table_Data[[#This Row],[Duration]]&lt;=10,"Under 10 Mins",Call_Table_Data[[#This Row],[Duration]]&lt;=30,"10 to 30 Mins",Call_Table_Data[[#This Row],[Duration]]&lt;=60,"30 to 60 Mins",Call_Table_Data[[#This Row],[Duration]]&lt;=120,"1 to 2 Hours",TRUE,"More Than 2 Hours")</f>
        <v>30 to 60 Mins</v>
      </c>
      <c r="K616" s="9">
        <f>ROUND(Call_Table_Data[[#This Row],[Satisfaction Rating]],0)</f>
        <v>5</v>
      </c>
    </row>
    <row r="617" spans="1:11" x14ac:dyDescent="0.3">
      <c r="A617" s="9" t="s">
        <v>654</v>
      </c>
      <c r="B617" s="9" t="s">
        <v>35</v>
      </c>
      <c r="C617" s="9">
        <v>114</v>
      </c>
      <c r="D617" s="10" t="s">
        <v>40</v>
      </c>
      <c r="E617" s="11">
        <v>45119</v>
      </c>
      <c r="F617" s="9">
        <v>114</v>
      </c>
      <c r="G617" s="9">
        <v>3.9</v>
      </c>
      <c r="H617" s="9">
        <f>IF(MONTH(Call_Table_Data[[#This Row],[Date of Call]])&lt;=3,YEAR(Call_Table_Data[[#This Row],[Date of Call]]),YEAR(Call_Table_Data[[#This Row],[Date of Call]])+1)</f>
        <v>2024</v>
      </c>
      <c r="I617" s="9" t="str">
        <f>TEXT(Call_Table_Data[[#This Row],[Date of Call]],"DDDD")</f>
        <v>Wednesday</v>
      </c>
      <c r="J617" s="9" t="str" cm="1">
        <f t="array" ref="J617">_xlfn.IFS(Call_Table_Data[[#This Row],[Duration]]&lt;=10,"Under 10 Mins",Call_Table_Data[[#This Row],[Duration]]&lt;=30,"10 to 30 Mins",Call_Table_Data[[#This Row],[Duration]]&lt;=60,"30 to 60 Mins",Call_Table_Data[[#This Row],[Duration]]&lt;=120,"1 to 2 Hours",TRUE,"More Than 2 Hours")</f>
        <v>1 to 2 Hours</v>
      </c>
      <c r="K617" s="9">
        <f>ROUND(Call_Table_Data[[#This Row],[Satisfaction Rating]],0)</f>
        <v>4</v>
      </c>
    </row>
    <row r="618" spans="1:11" x14ac:dyDescent="0.3">
      <c r="A618" s="9" t="s">
        <v>655</v>
      </c>
      <c r="B618" s="9" t="s">
        <v>43</v>
      </c>
      <c r="C618" s="9">
        <v>69</v>
      </c>
      <c r="D618" s="10" t="s">
        <v>27</v>
      </c>
      <c r="E618" s="11">
        <v>45120</v>
      </c>
      <c r="F618" s="9">
        <v>56</v>
      </c>
      <c r="G618" s="9">
        <v>3.9</v>
      </c>
      <c r="H618" s="9">
        <f>IF(MONTH(Call_Table_Data[[#This Row],[Date of Call]])&lt;=3,YEAR(Call_Table_Data[[#This Row],[Date of Call]]),YEAR(Call_Table_Data[[#This Row],[Date of Call]])+1)</f>
        <v>2024</v>
      </c>
      <c r="I618" s="9" t="str">
        <f>TEXT(Call_Table_Data[[#This Row],[Date of Call]],"DDDD")</f>
        <v>Thursday</v>
      </c>
      <c r="J618" s="9" t="str" cm="1">
        <f t="array" ref="J618">_xlfn.IFS(Call_Table_Data[[#This Row],[Duration]]&lt;=10,"Under 10 Mins",Call_Table_Data[[#This Row],[Duration]]&lt;=30,"10 to 30 Mins",Call_Table_Data[[#This Row],[Duration]]&lt;=60,"30 to 60 Mins",Call_Table_Data[[#This Row],[Duration]]&lt;=120,"1 to 2 Hours",TRUE,"More Than 2 Hours")</f>
        <v>1 to 2 Hours</v>
      </c>
      <c r="K618" s="9">
        <f>ROUND(Call_Table_Data[[#This Row],[Satisfaction Rating]],0)</f>
        <v>4</v>
      </c>
    </row>
    <row r="619" spans="1:11" x14ac:dyDescent="0.3">
      <c r="A619" s="9" t="s">
        <v>656</v>
      </c>
      <c r="B619" s="9" t="s">
        <v>41</v>
      </c>
      <c r="C619" s="9">
        <v>33</v>
      </c>
      <c r="D619" s="10" t="s">
        <v>33</v>
      </c>
      <c r="E619" s="11">
        <v>45120</v>
      </c>
      <c r="F619" s="9">
        <v>27</v>
      </c>
      <c r="G619" s="9">
        <v>3.7</v>
      </c>
      <c r="H619" s="9">
        <f>IF(MONTH(Call_Table_Data[[#This Row],[Date of Call]])&lt;=3,YEAR(Call_Table_Data[[#This Row],[Date of Call]]),YEAR(Call_Table_Data[[#This Row],[Date of Call]])+1)</f>
        <v>2024</v>
      </c>
      <c r="I619" s="9" t="str">
        <f>TEXT(Call_Table_Data[[#This Row],[Date of Call]],"DDDD")</f>
        <v>Thursday</v>
      </c>
      <c r="J619" s="9" t="str" cm="1">
        <f t="array" ref="J619">_xlfn.IFS(Call_Table_Data[[#This Row],[Duration]]&lt;=10,"Under 10 Mins",Call_Table_Data[[#This Row],[Duration]]&lt;=30,"10 to 30 Mins",Call_Table_Data[[#This Row],[Duration]]&lt;=60,"30 to 60 Mins",Call_Table_Data[[#This Row],[Duration]]&lt;=120,"1 to 2 Hours",TRUE,"More Than 2 Hours")</f>
        <v>30 to 60 Mins</v>
      </c>
      <c r="K619" s="9">
        <f>ROUND(Call_Table_Data[[#This Row],[Satisfaction Rating]],0)</f>
        <v>4</v>
      </c>
    </row>
    <row r="620" spans="1:11" x14ac:dyDescent="0.3">
      <c r="A620" s="9" t="s">
        <v>657</v>
      </c>
      <c r="B620" s="9" t="s">
        <v>22</v>
      </c>
      <c r="C620" s="9">
        <v>31</v>
      </c>
      <c r="D620" s="10" t="s">
        <v>17</v>
      </c>
      <c r="E620" s="11">
        <v>45121</v>
      </c>
      <c r="F620" s="9">
        <v>84</v>
      </c>
      <c r="G620" s="9">
        <v>4.8</v>
      </c>
      <c r="H620" s="9">
        <f>IF(MONTH(Call_Table_Data[[#This Row],[Date of Call]])&lt;=3,YEAR(Call_Table_Data[[#This Row],[Date of Call]]),YEAR(Call_Table_Data[[#This Row],[Date of Call]])+1)</f>
        <v>2024</v>
      </c>
      <c r="I620" s="9" t="str">
        <f>TEXT(Call_Table_Data[[#This Row],[Date of Call]],"DDDD")</f>
        <v>Friday</v>
      </c>
      <c r="J620" s="9" t="str" cm="1">
        <f t="array" ref="J620">_xlfn.IFS(Call_Table_Data[[#This Row],[Duration]]&lt;=10,"Under 10 Mins",Call_Table_Data[[#This Row],[Duration]]&lt;=30,"10 to 30 Mins",Call_Table_Data[[#This Row],[Duration]]&lt;=60,"30 to 60 Mins",Call_Table_Data[[#This Row],[Duration]]&lt;=120,"1 to 2 Hours",TRUE,"More Than 2 Hours")</f>
        <v>30 to 60 Mins</v>
      </c>
      <c r="K620" s="9">
        <f>ROUND(Call_Table_Data[[#This Row],[Satisfaction Rating]],0)</f>
        <v>5</v>
      </c>
    </row>
    <row r="621" spans="1:11" x14ac:dyDescent="0.3">
      <c r="A621" s="9" t="s">
        <v>658</v>
      </c>
      <c r="B621" s="9" t="s">
        <v>49</v>
      </c>
      <c r="C621" s="9">
        <v>168</v>
      </c>
      <c r="D621" s="10" t="s">
        <v>33</v>
      </c>
      <c r="E621" s="11">
        <v>45121</v>
      </c>
      <c r="F621" s="9">
        <v>72</v>
      </c>
      <c r="G621" s="9">
        <v>3.5</v>
      </c>
      <c r="H621" s="9">
        <f>IF(MONTH(Call_Table_Data[[#This Row],[Date of Call]])&lt;=3,YEAR(Call_Table_Data[[#This Row],[Date of Call]]),YEAR(Call_Table_Data[[#This Row],[Date of Call]])+1)</f>
        <v>2024</v>
      </c>
      <c r="I621" s="9" t="str">
        <f>TEXT(Call_Table_Data[[#This Row],[Date of Call]],"DDDD")</f>
        <v>Friday</v>
      </c>
      <c r="J621" s="9" t="str" cm="1">
        <f t="array" ref="J621">_xlfn.IFS(Call_Table_Data[[#This Row],[Duration]]&lt;=10,"Under 10 Mins",Call_Table_Data[[#This Row],[Duration]]&lt;=30,"10 to 30 Mins",Call_Table_Data[[#This Row],[Duration]]&lt;=60,"30 to 60 Mins",Call_Table_Data[[#This Row],[Duration]]&lt;=120,"1 to 2 Hours",TRUE,"More Than 2 Hours")</f>
        <v>More Than 2 Hours</v>
      </c>
      <c r="K621" s="9">
        <f>ROUND(Call_Table_Data[[#This Row],[Satisfaction Rating]],0)</f>
        <v>4</v>
      </c>
    </row>
    <row r="622" spans="1:11" x14ac:dyDescent="0.3">
      <c r="A622" s="9" t="s">
        <v>659</v>
      </c>
      <c r="B622" s="9" t="s">
        <v>26</v>
      </c>
      <c r="C622" s="9">
        <v>111</v>
      </c>
      <c r="D622" s="10" t="s">
        <v>40</v>
      </c>
      <c r="E622" s="11">
        <v>45122</v>
      </c>
      <c r="F622" s="9">
        <v>126</v>
      </c>
      <c r="G622" s="9">
        <v>4.2</v>
      </c>
      <c r="H622" s="9">
        <f>IF(MONTH(Call_Table_Data[[#This Row],[Date of Call]])&lt;=3,YEAR(Call_Table_Data[[#This Row],[Date of Call]]),YEAR(Call_Table_Data[[#This Row],[Date of Call]])+1)</f>
        <v>2024</v>
      </c>
      <c r="I622" s="9" t="str">
        <f>TEXT(Call_Table_Data[[#This Row],[Date of Call]],"DDDD")</f>
        <v>Saturday</v>
      </c>
      <c r="J622" s="9" t="str" cm="1">
        <f t="array" ref="J622">_xlfn.IFS(Call_Table_Data[[#This Row],[Duration]]&lt;=10,"Under 10 Mins",Call_Table_Data[[#This Row],[Duration]]&lt;=30,"10 to 30 Mins",Call_Table_Data[[#This Row],[Duration]]&lt;=60,"30 to 60 Mins",Call_Table_Data[[#This Row],[Duration]]&lt;=120,"1 to 2 Hours",TRUE,"More Than 2 Hours")</f>
        <v>1 to 2 Hours</v>
      </c>
      <c r="K622" s="9">
        <f>ROUND(Call_Table_Data[[#This Row],[Satisfaction Rating]],0)</f>
        <v>4</v>
      </c>
    </row>
    <row r="623" spans="1:11" x14ac:dyDescent="0.3">
      <c r="A623" s="9" t="s">
        <v>660</v>
      </c>
      <c r="B623" s="9" t="s">
        <v>22</v>
      </c>
      <c r="C623" s="9">
        <v>80</v>
      </c>
      <c r="D623" s="10" t="s">
        <v>33</v>
      </c>
      <c r="E623" s="11">
        <v>45123</v>
      </c>
      <c r="F623" s="9">
        <v>88</v>
      </c>
      <c r="G623" s="9">
        <v>4.9000000000000004</v>
      </c>
      <c r="H623" s="9">
        <f>IF(MONTH(Call_Table_Data[[#This Row],[Date of Call]])&lt;=3,YEAR(Call_Table_Data[[#This Row],[Date of Call]]),YEAR(Call_Table_Data[[#This Row],[Date of Call]])+1)</f>
        <v>2024</v>
      </c>
      <c r="I623" s="9" t="str">
        <f>TEXT(Call_Table_Data[[#This Row],[Date of Call]],"DDDD")</f>
        <v>Sunday</v>
      </c>
      <c r="J623" s="9" t="str" cm="1">
        <f t="array" ref="J623">_xlfn.IFS(Call_Table_Data[[#This Row],[Duration]]&lt;=10,"Under 10 Mins",Call_Table_Data[[#This Row],[Duration]]&lt;=30,"10 to 30 Mins",Call_Table_Data[[#This Row],[Duration]]&lt;=60,"30 to 60 Mins",Call_Table_Data[[#This Row],[Duration]]&lt;=120,"1 to 2 Hours",TRUE,"More Than 2 Hours")</f>
        <v>1 to 2 Hours</v>
      </c>
      <c r="K623" s="9">
        <f>ROUND(Call_Table_Data[[#This Row],[Satisfaction Rating]],0)</f>
        <v>5</v>
      </c>
    </row>
    <row r="624" spans="1:11" x14ac:dyDescent="0.3">
      <c r="A624" s="9" t="s">
        <v>661</v>
      </c>
      <c r="B624" s="9" t="s">
        <v>16</v>
      </c>
      <c r="C624" s="9">
        <v>37</v>
      </c>
      <c r="D624" s="10" t="s">
        <v>33</v>
      </c>
      <c r="E624" s="11">
        <v>45123</v>
      </c>
      <c r="F624" s="9">
        <v>124</v>
      </c>
      <c r="G624" s="9">
        <v>4.5999999999999996</v>
      </c>
      <c r="H624" s="9">
        <f>IF(MONTH(Call_Table_Data[[#This Row],[Date of Call]])&lt;=3,YEAR(Call_Table_Data[[#This Row],[Date of Call]]),YEAR(Call_Table_Data[[#This Row],[Date of Call]])+1)</f>
        <v>2024</v>
      </c>
      <c r="I624" s="9" t="str">
        <f>TEXT(Call_Table_Data[[#This Row],[Date of Call]],"DDDD")</f>
        <v>Sunday</v>
      </c>
      <c r="J624" s="9" t="str" cm="1">
        <f t="array" ref="J624">_xlfn.IFS(Call_Table_Data[[#This Row],[Duration]]&lt;=10,"Under 10 Mins",Call_Table_Data[[#This Row],[Duration]]&lt;=30,"10 to 30 Mins",Call_Table_Data[[#This Row],[Duration]]&lt;=60,"30 to 60 Mins",Call_Table_Data[[#This Row],[Duration]]&lt;=120,"1 to 2 Hours",TRUE,"More Than 2 Hours")</f>
        <v>30 to 60 Mins</v>
      </c>
      <c r="K624" s="9">
        <f>ROUND(Call_Table_Data[[#This Row],[Satisfaction Rating]],0)</f>
        <v>5</v>
      </c>
    </row>
    <row r="625" spans="1:11" x14ac:dyDescent="0.3">
      <c r="A625" s="9" t="s">
        <v>662</v>
      </c>
      <c r="B625" s="9" t="s">
        <v>18</v>
      </c>
      <c r="C625" s="9">
        <v>137</v>
      </c>
      <c r="D625" s="10" t="s">
        <v>33</v>
      </c>
      <c r="E625" s="11">
        <v>45124</v>
      </c>
      <c r="F625" s="9">
        <v>84</v>
      </c>
      <c r="G625" s="9">
        <v>2.6</v>
      </c>
      <c r="H625" s="9">
        <f>IF(MONTH(Call_Table_Data[[#This Row],[Date of Call]])&lt;=3,YEAR(Call_Table_Data[[#This Row],[Date of Call]]),YEAR(Call_Table_Data[[#This Row],[Date of Call]])+1)</f>
        <v>2024</v>
      </c>
      <c r="I625" s="9" t="str">
        <f>TEXT(Call_Table_Data[[#This Row],[Date of Call]],"DDDD")</f>
        <v>Monday</v>
      </c>
      <c r="J625" s="9" t="str" cm="1">
        <f t="array" ref="J625">_xlfn.IFS(Call_Table_Data[[#This Row],[Duration]]&lt;=10,"Under 10 Mins",Call_Table_Data[[#This Row],[Duration]]&lt;=30,"10 to 30 Mins",Call_Table_Data[[#This Row],[Duration]]&lt;=60,"30 to 60 Mins",Call_Table_Data[[#This Row],[Duration]]&lt;=120,"1 to 2 Hours",TRUE,"More Than 2 Hours")</f>
        <v>More Than 2 Hours</v>
      </c>
      <c r="K625" s="9">
        <f>ROUND(Call_Table_Data[[#This Row],[Satisfaction Rating]],0)</f>
        <v>3</v>
      </c>
    </row>
    <row r="626" spans="1:11" x14ac:dyDescent="0.3">
      <c r="A626" s="9" t="s">
        <v>663</v>
      </c>
      <c r="B626" s="9" t="s">
        <v>43</v>
      </c>
      <c r="C626" s="9">
        <v>123</v>
      </c>
      <c r="D626" s="10" t="s">
        <v>40</v>
      </c>
      <c r="E626" s="11">
        <v>45124</v>
      </c>
      <c r="F626" s="9">
        <v>80</v>
      </c>
      <c r="G626" s="9">
        <v>2.7</v>
      </c>
      <c r="H626" s="9">
        <f>IF(MONTH(Call_Table_Data[[#This Row],[Date of Call]])&lt;=3,YEAR(Call_Table_Data[[#This Row],[Date of Call]]),YEAR(Call_Table_Data[[#This Row],[Date of Call]])+1)</f>
        <v>2024</v>
      </c>
      <c r="I626" s="9" t="str">
        <f>TEXT(Call_Table_Data[[#This Row],[Date of Call]],"DDDD")</f>
        <v>Monday</v>
      </c>
      <c r="J626" s="9" t="str" cm="1">
        <f t="array" ref="J626">_xlfn.IFS(Call_Table_Data[[#This Row],[Duration]]&lt;=10,"Under 10 Mins",Call_Table_Data[[#This Row],[Duration]]&lt;=30,"10 to 30 Mins",Call_Table_Data[[#This Row],[Duration]]&lt;=60,"30 to 60 Mins",Call_Table_Data[[#This Row],[Duration]]&lt;=120,"1 to 2 Hours",TRUE,"More Than 2 Hours")</f>
        <v>More Than 2 Hours</v>
      </c>
      <c r="K626" s="9">
        <f>ROUND(Call_Table_Data[[#This Row],[Satisfaction Rating]],0)</f>
        <v>3</v>
      </c>
    </row>
    <row r="627" spans="1:11" x14ac:dyDescent="0.3">
      <c r="A627" s="9" t="s">
        <v>664</v>
      </c>
      <c r="B627" s="9" t="s">
        <v>50</v>
      </c>
      <c r="C627" s="9">
        <v>105</v>
      </c>
      <c r="D627" s="10" t="s">
        <v>40</v>
      </c>
      <c r="E627" s="11">
        <v>45125</v>
      </c>
      <c r="F627" s="9">
        <v>176</v>
      </c>
      <c r="G627" s="9">
        <v>4.7</v>
      </c>
      <c r="H627" s="9">
        <f>IF(MONTH(Call_Table_Data[[#This Row],[Date of Call]])&lt;=3,YEAR(Call_Table_Data[[#This Row],[Date of Call]]),YEAR(Call_Table_Data[[#This Row],[Date of Call]])+1)</f>
        <v>2024</v>
      </c>
      <c r="I627" s="9" t="str">
        <f>TEXT(Call_Table_Data[[#This Row],[Date of Call]],"DDDD")</f>
        <v>Tuesday</v>
      </c>
      <c r="J627" s="9" t="str" cm="1">
        <f t="array" ref="J627">_xlfn.IFS(Call_Table_Data[[#This Row],[Duration]]&lt;=10,"Under 10 Mins",Call_Table_Data[[#This Row],[Duration]]&lt;=30,"10 to 30 Mins",Call_Table_Data[[#This Row],[Duration]]&lt;=60,"30 to 60 Mins",Call_Table_Data[[#This Row],[Duration]]&lt;=120,"1 to 2 Hours",TRUE,"More Than 2 Hours")</f>
        <v>1 to 2 Hours</v>
      </c>
      <c r="K627" s="9">
        <f>ROUND(Call_Table_Data[[#This Row],[Satisfaction Rating]],0)</f>
        <v>5</v>
      </c>
    </row>
    <row r="628" spans="1:11" x14ac:dyDescent="0.3">
      <c r="A628" s="9" t="s">
        <v>665</v>
      </c>
      <c r="B628" s="9" t="s">
        <v>16</v>
      </c>
      <c r="C628" s="9">
        <v>76</v>
      </c>
      <c r="D628" s="10" t="s">
        <v>46</v>
      </c>
      <c r="E628" s="11">
        <v>45126</v>
      </c>
      <c r="F628" s="9">
        <v>84</v>
      </c>
      <c r="G628" s="9">
        <v>3.9</v>
      </c>
      <c r="H628" s="9">
        <f>IF(MONTH(Call_Table_Data[[#This Row],[Date of Call]])&lt;=3,YEAR(Call_Table_Data[[#This Row],[Date of Call]]),YEAR(Call_Table_Data[[#This Row],[Date of Call]])+1)</f>
        <v>2024</v>
      </c>
      <c r="I628" s="9" t="str">
        <f>TEXT(Call_Table_Data[[#This Row],[Date of Call]],"DDDD")</f>
        <v>Wednesday</v>
      </c>
      <c r="J628" s="9" t="str" cm="1">
        <f t="array" ref="J628">_xlfn.IFS(Call_Table_Data[[#This Row],[Duration]]&lt;=10,"Under 10 Mins",Call_Table_Data[[#This Row],[Duration]]&lt;=30,"10 to 30 Mins",Call_Table_Data[[#This Row],[Duration]]&lt;=60,"30 to 60 Mins",Call_Table_Data[[#This Row],[Duration]]&lt;=120,"1 to 2 Hours",TRUE,"More Than 2 Hours")</f>
        <v>1 to 2 Hours</v>
      </c>
      <c r="K628" s="9">
        <f>ROUND(Call_Table_Data[[#This Row],[Satisfaction Rating]],0)</f>
        <v>4</v>
      </c>
    </row>
    <row r="629" spans="1:11" x14ac:dyDescent="0.3">
      <c r="A629" s="9" t="s">
        <v>666</v>
      </c>
      <c r="B629" s="9" t="s">
        <v>22</v>
      </c>
      <c r="C629" s="9">
        <v>144</v>
      </c>
      <c r="D629" s="10" t="s">
        <v>46</v>
      </c>
      <c r="E629" s="11">
        <v>45126</v>
      </c>
      <c r="F629" s="9">
        <v>164</v>
      </c>
      <c r="G629" s="9">
        <v>2.8</v>
      </c>
      <c r="H629" s="9">
        <f>IF(MONTH(Call_Table_Data[[#This Row],[Date of Call]])&lt;=3,YEAR(Call_Table_Data[[#This Row],[Date of Call]]),YEAR(Call_Table_Data[[#This Row],[Date of Call]])+1)</f>
        <v>2024</v>
      </c>
      <c r="I629" s="9" t="str">
        <f>TEXT(Call_Table_Data[[#This Row],[Date of Call]],"DDDD")</f>
        <v>Wednesday</v>
      </c>
      <c r="J629" s="9" t="str" cm="1">
        <f t="array" ref="J629">_xlfn.IFS(Call_Table_Data[[#This Row],[Duration]]&lt;=10,"Under 10 Mins",Call_Table_Data[[#This Row],[Duration]]&lt;=30,"10 to 30 Mins",Call_Table_Data[[#This Row],[Duration]]&lt;=60,"30 to 60 Mins",Call_Table_Data[[#This Row],[Duration]]&lt;=120,"1 to 2 Hours",TRUE,"More Than 2 Hours")</f>
        <v>More Than 2 Hours</v>
      </c>
      <c r="K629" s="9">
        <f>ROUND(Call_Table_Data[[#This Row],[Satisfaction Rating]],0)</f>
        <v>3</v>
      </c>
    </row>
    <row r="630" spans="1:11" x14ac:dyDescent="0.3">
      <c r="A630" s="9" t="s">
        <v>667</v>
      </c>
      <c r="B630" s="9" t="s">
        <v>41</v>
      </c>
      <c r="C630" s="9">
        <v>109</v>
      </c>
      <c r="D630" s="10" t="s">
        <v>17</v>
      </c>
      <c r="E630" s="11">
        <v>45126</v>
      </c>
      <c r="F630" s="9">
        <v>132</v>
      </c>
      <c r="G630" s="9">
        <v>3.1</v>
      </c>
      <c r="H630" s="9">
        <f>IF(MONTH(Call_Table_Data[[#This Row],[Date of Call]])&lt;=3,YEAR(Call_Table_Data[[#This Row],[Date of Call]]),YEAR(Call_Table_Data[[#This Row],[Date of Call]])+1)</f>
        <v>2024</v>
      </c>
      <c r="I630" s="9" t="str">
        <f>TEXT(Call_Table_Data[[#This Row],[Date of Call]],"DDDD")</f>
        <v>Wednesday</v>
      </c>
      <c r="J630" s="9" t="str" cm="1">
        <f t="array" ref="J630">_xlfn.IFS(Call_Table_Data[[#This Row],[Duration]]&lt;=10,"Under 10 Mins",Call_Table_Data[[#This Row],[Duration]]&lt;=30,"10 to 30 Mins",Call_Table_Data[[#This Row],[Duration]]&lt;=60,"30 to 60 Mins",Call_Table_Data[[#This Row],[Duration]]&lt;=120,"1 to 2 Hours",TRUE,"More Than 2 Hours")</f>
        <v>1 to 2 Hours</v>
      </c>
      <c r="K630" s="9">
        <f>ROUND(Call_Table_Data[[#This Row],[Satisfaction Rating]],0)</f>
        <v>3</v>
      </c>
    </row>
    <row r="631" spans="1:11" x14ac:dyDescent="0.3">
      <c r="A631" s="9" t="s">
        <v>668</v>
      </c>
      <c r="B631" s="9" t="s">
        <v>43</v>
      </c>
      <c r="C631" s="9">
        <v>172</v>
      </c>
      <c r="D631" s="10" t="s">
        <v>33</v>
      </c>
      <c r="E631" s="11">
        <v>45127</v>
      </c>
      <c r="F631" s="9">
        <v>27</v>
      </c>
      <c r="G631" s="9">
        <v>4.2</v>
      </c>
      <c r="H631" s="9">
        <f>IF(MONTH(Call_Table_Data[[#This Row],[Date of Call]])&lt;=3,YEAR(Call_Table_Data[[#This Row],[Date of Call]]),YEAR(Call_Table_Data[[#This Row],[Date of Call]])+1)</f>
        <v>2024</v>
      </c>
      <c r="I631" s="9" t="str">
        <f>TEXT(Call_Table_Data[[#This Row],[Date of Call]],"DDDD")</f>
        <v>Thursday</v>
      </c>
      <c r="J631" s="9" t="str" cm="1">
        <f t="array" ref="J631">_xlfn.IFS(Call_Table_Data[[#This Row],[Duration]]&lt;=10,"Under 10 Mins",Call_Table_Data[[#This Row],[Duration]]&lt;=30,"10 to 30 Mins",Call_Table_Data[[#This Row],[Duration]]&lt;=60,"30 to 60 Mins",Call_Table_Data[[#This Row],[Duration]]&lt;=120,"1 to 2 Hours",TRUE,"More Than 2 Hours")</f>
        <v>More Than 2 Hours</v>
      </c>
      <c r="K631" s="9">
        <f>ROUND(Call_Table_Data[[#This Row],[Satisfaction Rating]],0)</f>
        <v>4</v>
      </c>
    </row>
    <row r="632" spans="1:11" x14ac:dyDescent="0.3">
      <c r="A632" s="9" t="s">
        <v>669</v>
      </c>
      <c r="B632" s="9" t="s">
        <v>22</v>
      </c>
      <c r="C632" s="9">
        <v>56</v>
      </c>
      <c r="D632" s="10" t="s">
        <v>40</v>
      </c>
      <c r="E632" s="11">
        <v>45127</v>
      </c>
      <c r="F632" s="9">
        <v>27</v>
      </c>
      <c r="G632" s="9">
        <v>4.3</v>
      </c>
      <c r="H632" s="9">
        <f>IF(MONTH(Call_Table_Data[[#This Row],[Date of Call]])&lt;=3,YEAR(Call_Table_Data[[#This Row],[Date of Call]]),YEAR(Call_Table_Data[[#This Row],[Date of Call]])+1)</f>
        <v>2024</v>
      </c>
      <c r="I632" s="9" t="str">
        <f>TEXT(Call_Table_Data[[#This Row],[Date of Call]],"DDDD")</f>
        <v>Thursday</v>
      </c>
      <c r="J632" s="9" t="str" cm="1">
        <f t="array" ref="J632">_xlfn.IFS(Call_Table_Data[[#This Row],[Duration]]&lt;=10,"Under 10 Mins",Call_Table_Data[[#This Row],[Duration]]&lt;=30,"10 to 30 Mins",Call_Table_Data[[#This Row],[Duration]]&lt;=60,"30 to 60 Mins",Call_Table_Data[[#This Row],[Duration]]&lt;=120,"1 to 2 Hours",TRUE,"More Than 2 Hours")</f>
        <v>30 to 60 Mins</v>
      </c>
      <c r="K632" s="9">
        <f>ROUND(Call_Table_Data[[#This Row],[Satisfaction Rating]],0)</f>
        <v>4</v>
      </c>
    </row>
    <row r="633" spans="1:11" x14ac:dyDescent="0.3">
      <c r="A633" s="9" t="s">
        <v>670</v>
      </c>
      <c r="B633" s="9" t="s">
        <v>22</v>
      </c>
      <c r="C633" s="9">
        <v>121</v>
      </c>
      <c r="D633" s="10" t="s">
        <v>27</v>
      </c>
      <c r="E633" s="11">
        <v>45127</v>
      </c>
      <c r="F633" s="9">
        <v>20</v>
      </c>
      <c r="G633" s="9">
        <v>2.7</v>
      </c>
      <c r="H633" s="9">
        <f>IF(MONTH(Call_Table_Data[[#This Row],[Date of Call]])&lt;=3,YEAR(Call_Table_Data[[#This Row],[Date of Call]]),YEAR(Call_Table_Data[[#This Row],[Date of Call]])+1)</f>
        <v>2024</v>
      </c>
      <c r="I633" s="9" t="str">
        <f>TEXT(Call_Table_Data[[#This Row],[Date of Call]],"DDDD")</f>
        <v>Thursday</v>
      </c>
      <c r="J633" s="9" t="str" cm="1">
        <f t="array" ref="J633">_xlfn.IFS(Call_Table_Data[[#This Row],[Duration]]&lt;=10,"Under 10 Mins",Call_Table_Data[[#This Row],[Duration]]&lt;=30,"10 to 30 Mins",Call_Table_Data[[#This Row],[Duration]]&lt;=60,"30 to 60 Mins",Call_Table_Data[[#This Row],[Duration]]&lt;=120,"1 to 2 Hours",TRUE,"More Than 2 Hours")</f>
        <v>More Than 2 Hours</v>
      </c>
      <c r="K633" s="9">
        <f>ROUND(Call_Table_Data[[#This Row],[Satisfaction Rating]],0)</f>
        <v>3</v>
      </c>
    </row>
    <row r="634" spans="1:11" x14ac:dyDescent="0.3">
      <c r="A634" s="9" t="s">
        <v>671</v>
      </c>
      <c r="B634" s="9" t="s">
        <v>43</v>
      </c>
      <c r="C634" s="9">
        <v>41</v>
      </c>
      <c r="D634" s="10" t="s">
        <v>40</v>
      </c>
      <c r="E634" s="11">
        <v>45128</v>
      </c>
      <c r="F634" s="9">
        <v>112</v>
      </c>
      <c r="G634" s="9">
        <v>2.2999999999999998</v>
      </c>
      <c r="H634" s="9">
        <f>IF(MONTH(Call_Table_Data[[#This Row],[Date of Call]])&lt;=3,YEAR(Call_Table_Data[[#This Row],[Date of Call]]),YEAR(Call_Table_Data[[#This Row],[Date of Call]])+1)</f>
        <v>2024</v>
      </c>
      <c r="I634" s="9" t="str">
        <f>TEXT(Call_Table_Data[[#This Row],[Date of Call]],"DDDD")</f>
        <v>Friday</v>
      </c>
      <c r="J634" s="9" t="str" cm="1">
        <f t="array" ref="J634">_xlfn.IFS(Call_Table_Data[[#This Row],[Duration]]&lt;=10,"Under 10 Mins",Call_Table_Data[[#This Row],[Duration]]&lt;=30,"10 to 30 Mins",Call_Table_Data[[#This Row],[Duration]]&lt;=60,"30 to 60 Mins",Call_Table_Data[[#This Row],[Duration]]&lt;=120,"1 to 2 Hours",TRUE,"More Than 2 Hours")</f>
        <v>30 to 60 Mins</v>
      </c>
      <c r="K634" s="9">
        <f>ROUND(Call_Table_Data[[#This Row],[Satisfaction Rating]],0)</f>
        <v>2</v>
      </c>
    </row>
    <row r="635" spans="1:11" x14ac:dyDescent="0.3">
      <c r="A635" s="9" t="s">
        <v>672</v>
      </c>
      <c r="B635" s="9" t="s">
        <v>30</v>
      </c>
      <c r="C635" s="9">
        <v>60</v>
      </c>
      <c r="D635" s="10" t="s">
        <v>33</v>
      </c>
      <c r="E635" s="11">
        <v>45128</v>
      </c>
      <c r="F635" s="9">
        <v>60</v>
      </c>
      <c r="G635" s="9">
        <v>2.2999999999999998</v>
      </c>
      <c r="H635" s="9">
        <f>IF(MONTH(Call_Table_Data[[#This Row],[Date of Call]])&lt;=3,YEAR(Call_Table_Data[[#This Row],[Date of Call]]),YEAR(Call_Table_Data[[#This Row],[Date of Call]])+1)</f>
        <v>2024</v>
      </c>
      <c r="I635" s="9" t="str">
        <f>TEXT(Call_Table_Data[[#This Row],[Date of Call]],"DDDD")</f>
        <v>Friday</v>
      </c>
      <c r="J635" s="9" t="str" cm="1">
        <f t="array" ref="J635">_xlfn.IFS(Call_Table_Data[[#This Row],[Duration]]&lt;=10,"Under 10 Mins",Call_Table_Data[[#This Row],[Duration]]&lt;=30,"10 to 30 Mins",Call_Table_Data[[#This Row],[Duration]]&lt;=60,"30 to 60 Mins",Call_Table_Data[[#This Row],[Duration]]&lt;=120,"1 to 2 Hours",TRUE,"More Than 2 Hours")</f>
        <v>30 to 60 Mins</v>
      </c>
      <c r="K635" s="9">
        <f>ROUND(Call_Table_Data[[#This Row],[Satisfaction Rating]],0)</f>
        <v>2</v>
      </c>
    </row>
    <row r="636" spans="1:11" x14ac:dyDescent="0.3">
      <c r="A636" s="9" t="s">
        <v>673</v>
      </c>
      <c r="B636" s="9" t="s">
        <v>30</v>
      </c>
      <c r="C636" s="9">
        <v>144</v>
      </c>
      <c r="D636" s="10" t="s">
        <v>33</v>
      </c>
      <c r="E636" s="11">
        <v>45129</v>
      </c>
      <c r="F636" s="9">
        <v>102</v>
      </c>
      <c r="G636" s="9">
        <v>2.9</v>
      </c>
      <c r="H636" s="9">
        <f>IF(MONTH(Call_Table_Data[[#This Row],[Date of Call]])&lt;=3,YEAR(Call_Table_Data[[#This Row],[Date of Call]]),YEAR(Call_Table_Data[[#This Row],[Date of Call]])+1)</f>
        <v>2024</v>
      </c>
      <c r="I636" s="9" t="str">
        <f>TEXT(Call_Table_Data[[#This Row],[Date of Call]],"DDDD")</f>
        <v>Saturday</v>
      </c>
      <c r="J636" s="9" t="str" cm="1">
        <f t="array" ref="J636">_xlfn.IFS(Call_Table_Data[[#This Row],[Duration]]&lt;=10,"Under 10 Mins",Call_Table_Data[[#This Row],[Duration]]&lt;=30,"10 to 30 Mins",Call_Table_Data[[#This Row],[Duration]]&lt;=60,"30 to 60 Mins",Call_Table_Data[[#This Row],[Duration]]&lt;=120,"1 to 2 Hours",TRUE,"More Than 2 Hours")</f>
        <v>More Than 2 Hours</v>
      </c>
      <c r="K636" s="9">
        <f>ROUND(Call_Table_Data[[#This Row],[Satisfaction Rating]],0)</f>
        <v>3</v>
      </c>
    </row>
    <row r="637" spans="1:11" x14ac:dyDescent="0.3">
      <c r="A637" s="9" t="s">
        <v>674</v>
      </c>
      <c r="B637" s="9" t="s">
        <v>32</v>
      </c>
      <c r="C637" s="9">
        <v>67</v>
      </c>
      <c r="D637" s="10" t="s">
        <v>33</v>
      </c>
      <c r="E637" s="11">
        <v>45129</v>
      </c>
      <c r="F637" s="9">
        <v>38</v>
      </c>
      <c r="G637" s="9">
        <v>4.2</v>
      </c>
      <c r="H637" s="9">
        <f>IF(MONTH(Call_Table_Data[[#This Row],[Date of Call]])&lt;=3,YEAR(Call_Table_Data[[#This Row],[Date of Call]]),YEAR(Call_Table_Data[[#This Row],[Date of Call]])+1)</f>
        <v>2024</v>
      </c>
      <c r="I637" s="9" t="str">
        <f>TEXT(Call_Table_Data[[#This Row],[Date of Call]],"DDDD")</f>
        <v>Saturday</v>
      </c>
      <c r="J637" s="9" t="str" cm="1">
        <f t="array" ref="J637">_xlfn.IFS(Call_Table_Data[[#This Row],[Duration]]&lt;=10,"Under 10 Mins",Call_Table_Data[[#This Row],[Duration]]&lt;=30,"10 to 30 Mins",Call_Table_Data[[#This Row],[Duration]]&lt;=60,"30 to 60 Mins",Call_Table_Data[[#This Row],[Duration]]&lt;=120,"1 to 2 Hours",TRUE,"More Than 2 Hours")</f>
        <v>1 to 2 Hours</v>
      </c>
      <c r="K637" s="9">
        <f>ROUND(Call_Table_Data[[#This Row],[Satisfaction Rating]],0)</f>
        <v>4</v>
      </c>
    </row>
    <row r="638" spans="1:11" x14ac:dyDescent="0.3">
      <c r="A638" s="9" t="s">
        <v>675</v>
      </c>
      <c r="B638" s="9" t="s">
        <v>43</v>
      </c>
      <c r="C638" s="9">
        <v>162</v>
      </c>
      <c r="D638" s="10" t="s">
        <v>17</v>
      </c>
      <c r="E638" s="11">
        <v>45129</v>
      </c>
      <c r="F638" s="9">
        <v>82</v>
      </c>
      <c r="G638" s="9">
        <v>4.5999999999999996</v>
      </c>
      <c r="H638" s="9">
        <f>IF(MONTH(Call_Table_Data[[#This Row],[Date of Call]])&lt;=3,YEAR(Call_Table_Data[[#This Row],[Date of Call]]),YEAR(Call_Table_Data[[#This Row],[Date of Call]])+1)</f>
        <v>2024</v>
      </c>
      <c r="I638" s="9" t="str">
        <f>TEXT(Call_Table_Data[[#This Row],[Date of Call]],"DDDD")</f>
        <v>Saturday</v>
      </c>
      <c r="J638" s="9" t="str" cm="1">
        <f t="array" ref="J638">_xlfn.IFS(Call_Table_Data[[#This Row],[Duration]]&lt;=10,"Under 10 Mins",Call_Table_Data[[#This Row],[Duration]]&lt;=30,"10 to 30 Mins",Call_Table_Data[[#This Row],[Duration]]&lt;=60,"30 to 60 Mins",Call_Table_Data[[#This Row],[Duration]]&lt;=120,"1 to 2 Hours",TRUE,"More Than 2 Hours")</f>
        <v>More Than 2 Hours</v>
      </c>
      <c r="K638" s="9">
        <f>ROUND(Call_Table_Data[[#This Row],[Satisfaction Rating]],0)</f>
        <v>5</v>
      </c>
    </row>
    <row r="639" spans="1:11" x14ac:dyDescent="0.3">
      <c r="A639" s="9" t="s">
        <v>676</v>
      </c>
      <c r="B639" s="9" t="s">
        <v>30</v>
      </c>
      <c r="C639" s="9">
        <v>87</v>
      </c>
      <c r="D639" s="10" t="s">
        <v>27</v>
      </c>
      <c r="E639" s="11">
        <v>45132</v>
      </c>
      <c r="F639" s="9">
        <v>125</v>
      </c>
      <c r="G639" s="9">
        <v>4.5</v>
      </c>
      <c r="H639" s="9">
        <f>IF(MONTH(Call_Table_Data[[#This Row],[Date of Call]])&lt;=3,YEAR(Call_Table_Data[[#This Row],[Date of Call]]),YEAR(Call_Table_Data[[#This Row],[Date of Call]])+1)</f>
        <v>2024</v>
      </c>
      <c r="I639" s="9" t="str">
        <f>TEXT(Call_Table_Data[[#This Row],[Date of Call]],"DDDD")</f>
        <v>Tuesday</v>
      </c>
      <c r="J639" s="9" t="str" cm="1">
        <f t="array" ref="J639">_xlfn.IFS(Call_Table_Data[[#This Row],[Duration]]&lt;=10,"Under 10 Mins",Call_Table_Data[[#This Row],[Duration]]&lt;=30,"10 to 30 Mins",Call_Table_Data[[#This Row],[Duration]]&lt;=60,"30 to 60 Mins",Call_Table_Data[[#This Row],[Duration]]&lt;=120,"1 to 2 Hours",TRUE,"More Than 2 Hours")</f>
        <v>1 to 2 Hours</v>
      </c>
      <c r="K639" s="9">
        <f>ROUND(Call_Table_Data[[#This Row],[Satisfaction Rating]],0)</f>
        <v>5</v>
      </c>
    </row>
    <row r="640" spans="1:11" x14ac:dyDescent="0.3">
      <c r="A640" s="9" t="s">
        <v>677</v>
      </c>
      <c r="B640" s="9" t="s">
        <v>54</v>
      </c>
      <c r="C640" s="9">
        <v>10</v>
      </c>
      <c r="D640" s="10" t="s">
        <v>46</v>
      </c>
      <c r="E640" s="11">
        <v>45133</v>
      </c>
      <c r="F640" s="9">
        <v>72</v>
      </c>
      <c r="G640" s="9">
        <v>3.7</v>
      </c>
      <c r="H640" s="9">
        <f>IF(MONTH(Call_Table_Data[[#This Row],[Date of Call]])&lt;=3,YEAR(Call_Table_Data[[#This Row],[Date of Call]]),YEAR(Call_Table_Data[[#This Row],[Date of Call]])+1)</f>
        <v>2024</v>
      </c>
      <c r="I640" s="9" t="str">
        <f>TEXT(Call_Table_Data[[#This Row],[Date of Call]],"DDDD")</f>
        <v>Wednesday</v>
      </c>
      <c r="J640" s="9" t="str" cm="1">
        <f t="array" ref="J640">_xlfn.IFS(Call_Table_Data[[#This Row],[Duration]]&lt;=10,"Under 10 Mins",Call_Table_Data[[#This Row],[Duration]]&lt;=30,"10 to 30 Mins",Call_Table_Data[[#This Row],[Duration]]&lt;=60,"30 to 60 Mins",Call_Table_Data[[#This Row],[Duration]]&lt;=120,"1 to 2 Hours",TRUE,"More Than 2 Hours")</f>
        <v>Under 10 Mins</v>
      </c>
      <c r="K640" s="9">
        <f>ROUND(Call_Table_Data[[#This Row],[Satisfaction Rating]],0)</f>
        <v>4</v>
      </c>
    </row>
    <row r="641" spans="1:11" x14ac:dyDescent="0.3">
      <c r="A641" s="9" t="s">
        <v>678</v>
      </c>
      <c r="B641" s="9" t="s">
        <v>22</v>
      </c>
      <c r="C641" s="9">
        <v>138</v>
      </c>
      <c r="D641" s="10" t="s">
        <v>46</v>
      </c>
      <c r="E641" s="11">
        <v>45133</v>
      </c>
      <c r="F641" s="9">
        <v>195</v>
      </c>
      <c r="G641" s="9">
        <v>4.0999999999999996</v>
      </c>
      <c r="H641" s="9">
        <f>IF(MONTH(Call_Table_Data[[#This Row],[Date of Call]])&lt;=3,YEAR(Call_Table_Data[[#This Row],[Date of Call]]),YEAR(Call_Table_Data[[#This Row],[Date of Call]])+1)</f>
        <v>2024</v>
      </c>
      <c r="I641" s="9" t="str">
        <f>TEXT(Call_Table_Data[[#This Row],[Date of Call]],"DDDD")</f>
        <v>Wednesday</v>
      </c>
      <c r="J641" s="9" t="str" cm="1">
        <f t="array" ref="J641">_xlfn.IFS(Call_Table_Data[[#This Row],[Duration]]&lt;=10,"Under 10 Mins",Call_Table_Data[[#This Row],[Duration]]&lt;=30,"10 to 30 Mins",Call_Table_Data[[#This Row],[Duration]]&lt;=60,"30 to 60 Mins",Call_Table_Data[[#This Row],[Duration]]&lt;=120,"1 to 2 Hours",TRUE,"More Than 2 Hours")</f>
        <v>More Than 2 Hours</v>
      </c>
      <c r="K641" s="9">
        <f>ROUND(Call_Table_Data[[#This Row],[Satisfaction Rating]],0)</f>
        <v>4</v>
      </c>
    </row>
    <row r="642" spans="1:11" x14ac:dyDescent="0.3">
      <c r="A642" s="9" t="s">
        <v>679</v>
      </c>
      <c r="B642" s="9" t="s">
        <v>43</v>
      </c>
      <c r="C642" s="9">
        <v>31</v>
      </c>
      <c r="D642" s="10" t="s">
        <v>46</v>
      </c>
      <c r="E642" s="11">
        <v>45134</v>
      </c>
      <c r="F642" s="9">
        <v>160</v>
      </c>
      <c r="G642" s="9">
        <v>3.4</v>
      </c>
      <c r="H642" s="9">
        <f>IF(MONTH(Call_Table_Data[[#This Row],[Date of Call]])&lt;=3,YEAR(Call_Table_Data[[#This Row],[Date of Call]]),YEAR(Call_Table_Data[[#This Row],[Date of Call]])+1)</f>
        <v>2024</v>
      </c>
      <c r="I642" s="9" t="str">
        <f>TEXT(Call_Table_Data[[#This Row],[Date of Call]],"DDDD")</f>
        <v>Thursday</v>
      </c>
      <c r="J642" s="9" t="str" cm="1">
        <f t="array" ref="J642">_xlfn.IFS(Call_Table_Data[[#This Row],[Duration]]&lt;=10,"Under 10 Mins",Call_Table_Data[[#This Row],[Duration]]&lt;=30,"10 to 30 Mins",Call_Table_Data[[#This Row],[Duration]]&lt;=60,"30 to 60 Mins",Call_Table_Data[[#This Row],[Duration]]&lt;=120,"1 to 2 Hours",TRUE,"More Than 2 Hours")</f>
        <v>30 to 60 Mins</v>
      </c>
      <c r="K642" s="9">
        <f>ROUND(Call_Table_Data[[#This Row],[Satisfaction Rating]],0)</f>
        <v>3</v>
      </c>
    </row>
    <row r="643" spans="1:11" x14ac:dyDescent="0.3">
      <c r="A643" s="9" t="s">
        <v>680</v>
      </c>
      <c r="B643" s="9" t="s">
        <v>50</v>
      </c>
      <c r="C643" s="9">
        <v>75</v>
      </c>
      <c r="D643" s="10" t="s">
        <v>17</v>
      </c>
      <c r="E643" s="11">
        <v>45134</v>
      </c>
      <c r="F643" s="9">
        <v>78</v>
      </c>
      <c r="G643" s="9">
        <v>3.3</v>
      </c>
      <c r="H643" s="9">
        <f>IF(MONTH(Call_Table_Data[[#This Row],[Date of Call]])&lt;=3,YEAR(Call_Table_Data[[#This Row],[Date of Call]]),YEAR(Call_Table_Data[[#This Row],[Date of Call]])+1)</f>
        <v>2024</v>
      </c>
      <c r="I643" s="9" t="str">
        <f>TEXT(Call_Table_Data[[#This Row],[Date of Call]],"DDDD")</f>
        <v>Thursday</v>
      </c>
      <c r="J643" s="9" t="str" cm="1">
        <f t="array" ref="J643">_xlfn.IFS(Call_Table_Data[[#This Row],[Duration]]&lt;=10,"Under 10 Mins",Call_Table_Data[[#This Row],[Duration]]&lt;=30,"10 to 30 Mins",Call_Table_Data[[#This Row],[Duration]]&lt;=60,"30 to 60 Mins",Call_Table_Data[[#This Row],[Duration]]&lt;=120,"1 to 2 Hours",TRUE,"More Than 2 Hours")</f>
        <v>1 to 2 Hours</v>
      </c>
      <c r="K643" s="9">
        <f>ROUND(Call_Table_Data[[#This Row],[Satisfaction Rating]],0)</f>
        <v>3</v>
      </c>
    </row>
    <row r="644" spans="1:11" x14ac:dyDescent="0.3">
      <c r="A644" s="9" t="s">
        <v>681</v>
      </c>
      <c r="B644" s="9" t="s">
        <v>16</v>
      </c>
      <c r="C644" s="9">
        <v>65</v>
      </c>
      <c r="D644" s="10" t="s">
        <v>17</v>
      </c>
      <c r="E644" s="11">
        <v>45135</v>
      </c>
      <c r="F644" s="9">
        <v>70</v>
      </c>
      <c r="G644" s="9">
        <v>4.4000000000000004</v>
      </c>
      <c r="H644" s="9">
        <f>IF(MONTH(Call_Table_Data[[#This Row],[Date of Call]])&lt;=3,YEAR(Call_Table_Data[[#This Row],[Date of Call]]),YEAR(Call_Table_Data[[#This Row],[Date of Call]])+1)</f>
        <v>2024</v>
      </c>
      <c r="I644" s="9" t="str">
        <f>TEXT(Call_Table_Data[[#This Row],[Date of Call]],"DDDD")</f>
        <v>Friday</v>
      </c>
      <c r="J644" s="9" t="str" cm="1">
        <f t="array" ref="J644">_xlfn.IFS(Call_Table_Data[[#This Row],[Duration]]&lt;=10,"Under 10 Mins",Call_Table_Data[[#This Row],[Duration]]&lt;=30,"10 to 30 Mins",Call_Table_Data[[#This Row],[Duration]]&lt;=60,"30 to 60 Mins",Call_Table_Data[[#This Row],[Duration]]&lt;=120,"1 to 2 Hours",TRUE,"More Than 2 Hours")</f>
        <v>1 to 2 Hours</v>
      </c>
      <c r="K644" s="9">
        <f>ROUND(Call_Table_Data[[#This Row],[Satisfaction Rating]],0)</f>
        <v>4</v>
      </c>
    </row>
    <row r="645" spans="1:11" x14ac:dyDescent="0.3">
      <c r="A645" s="9" t="s">
        <v>682</v>
      </c>
      <c r="B645" s="9" t="s">
        <v>26</v>
      </c>
      <c r="C645" s="9">
        <v>106</v>
      </c>
      <c r="D645" s="10" t="s">
        <v>40</v>
      </c>
      <c r="E645" s="11">
        <v>45135</v>
      </c>
      <c r="F645" s="9">
        <v>105</v>
      </c>
      <c r="G645" s="9">
        <v>4.2</v>
      </c>
      <c r="H645" s="9">
        <f>IF(MONTH(Call_Table_Data[[#This Row],[Date of Call]])&lt;=3,YEAR(Call_Table_Data[[#This Row],[Date of Call]]),YEAR(Call_Table_Data[[#This Row],[Date of Call]])+1)</f>
        <v>2024</v>
      </c>
      <c r="I645" s="9" t="str">
        <f>TEXT(Call_Table_Data[[#This Row],[Date of Call]],"DDDD")</f>
        <v>Friday</v>
      </c>
      <c r="J645" s="9" t="str" cm="1">
        <f t="array" ref="J645">_xlfn.IFS(Call_Table_Data[[#This Row],[Duration]]&lt;=10,"Under 10 Mins",Call_Table_Data[[#This Row],[Duration]]&lt;=30,"10 to 30 Mins",Call_Table_Data[[#This Row],[Duration]]&lt;=60,"30 to 60 Mins",Call_Table_Data[[#This Row],[Duration]]&lt;=120,"1 to 2 Hours",TRUE,"More Than 2 Hours")</f>
        <v>1 to 2 Hours</v>
      </c>
      <c r="K645" s="9">
        <f>ROUND(Call_Table_Data[[#This Row],[Satisfaction Rating]],0)</f>
        <v>4</v>
      </c>
    </row>
    <row r="646" spans="1:11" x14ac:dyDescent="0.3">
      <c r="A646" s="9" t="s">
        <v>683</v>
      </c>
      <c r="B646" s="9" t="s">
        <v>16</v>
      </c>
      <c r="C646" s="9">
        <v>107</v>
      </c>
      <c r="D646" s="10" t="s">
        <v>40</v>
      </c>
      <c r="E646" s="11">
        <v>45136</v>
      </c>
      <c r="F646" s="9">
        <v>78</v>
      </c>
      <c r="G646" s="9">
        <v>3.4</v>
      </c>
      <c r="H646" s="9">
        <f>IF(MONTH(Call_Table_Data[[#This Row],[Date of Call]])&lt;=3,YEAR(Call_Table_Data[[#This Row],[Date of Call]]),YEAR(Call_Table_Data[[#This Row],[Date of Call]])+1)</f>
        <v>2024</v>
      </c>
      <c r="I646" s="9" t="str">
        <f>TEXT(Call_Table_Data[[#This Row],[Date of Call]],"DDDD")</f>
        <v>Saturday</v>
      </c>
      <c r="J646" s="9" t="str" cm="1">
        <f t="array" ref="J646">_xlfn.IFS(Call_Table_Data[[#This Row],[Duration]]&lt;=10,"Under 10 Mins",Call_Table_Data[[#This Row],[Duration]]&lt;=30,"10 to 30 Mins",Call_Table_Data[[#This Row],[Duration]]&lt;=60,"30 to 60 Mins",Call_Table_Data[[#This Row],[Duration]]&lt;=120,"1 to 2 Hours",TRUE,"More Than 2 Hours")</f>
        <v>1 to 2 Hours</v>
      </c>
      <c r="K646" s="9">
        <f>ROUND(Call_Table_Data[[#This Row],[Satisfaction Rating]],0)</f>
        <v>3</v>
      </c>
    </row>
    <row r="647" spans="1:11" x14ac:dyDescent="0.3">
      <c r="A647" s="9" t="s">
        <v>684</v>
      </c>
      <c r="B647" s="9" t="s">
        <v>18</v>
      </c>
      <c r="C647" s="9">
        <v>78</v>
      </c>
      <c r="D647" s="10" t="s">
        <v>40</v>
      </c>
      <c r="E647" s="11">
        <v>45138</v>
      </c>
      <c r="F647" s="9">
        <v>205</v>
      </c>
      <c r="G647" s="9">
        <v>4.4000000000000004</v>
      </c>
      <c r="H647" s="9">
        <f>IF(MONTH(Call_Table_Data[[#This Row],[Date of Call]])&lt;=3,YEAR(Call_Table_Data[[#This Row],[Date of Call]]),YEAR(Call_Table_Data[[#This Row],[Date of Call]])+1)</f>
        <v>2024</v>
      </c>
      <c r="I647" s="9" t="str">
        <f>TEXT(Call_Table_Data[[#This Row],[Date of Call]],"DDDD")</f>
        <v>Monday</v>
      </c>
      <c r="J647" s="9" t="str" cm="1">
        <f t="array" ref="J647">_xlfn.IFS(Call_Table_Data[[#This Row],[Duration]]&lt;=10,"Under 10 Mins",Call_Table_Data[[#This Row],[Duration]]&lt;=30,"10 to 30 Mins",Call_Table_Data[[#This Row],[Duration]]&lt;=60,"30 to 60 Mins",Call_Table_Data[[#This Row],[Duration]]&lt;=120,"1 to 2 Hours",TRUE,"More Than 2 Hours")</f>
        <v>1 to 2 Hours</v>
      </c>
      <c r="K647" s="9">
        <f>ROUND(Call_Table_Data[[#This Row],[Satisfaction Rating]],0)</f>
        <v>4</v>
      </c>
    </row>
    <row r="648" spans="1:11" x14ac:dyDescent="0.3">
      <c r="A648" s="9" t="s">
        <v>685</v>
      </c>
      <c r="B648" s="9" t="s">
        <v>23</v>
      </c>
      <c r="C648" s="9">
        <v>122</v>
      </c>
      <c r="D648" s="10" t="s">
        <v>40</v>
      </c>
      <c r="E648" s="11">
        <v>45138</v>
      </c>
      <c r="F648" s="9">
        <v>78</v>
      </c>
      <c r="G648" s="9">
        <v>2.7</v>
      </c>
      <c r="H648" s="9">
        <f>IF(MONTH(Call_Table_Data[[#This Row],[Date of Call]])&lt;=3,YEAR(Call_Table_Data[[#This Row],[Date of Call]]),YEAR(Call_Table_Data[[#This Row],[Date of Call]])+1)</f>
        <v>2024</v>
      </c>
      <c r="I648" s="9" t="str">
        <f>TEXT(Call_Table_Data[[#This Row],[Date of Call]],"DDDD")</f>
        <v>Monday</v>
      </c>
      <c r="J648" s="9" t="str" cm="1">
        <f t="array" ref="J648">_xlfn.IFS(Call_Table_Data[[#This Row],[Duration]]&lt;=10,"Under 10 Mins",Call_Table_Data[[#This Row],[Duration]]&lt;=30,"10 to 30 Mins",Call_Table_Data[[#This Row],[Duration]]&lt;=60,"30 to 60 Mins",Call_Table_Data[[#This Row],[Duration]]&lt;=120,"1 to 2 Hours",TRUE,"More Than 2 Hours")</f>
        <v>More Than 2 Hours</v>
      </c>
      <c r="K648" s="9">
        <f>ROUND(Call_Table_Data[[#This Row],[Satisfaction Rating]],0)</f>
        <v>3</v>
      </c>
    </row>
    <row r="649" spans="1:11" x14ac:dyDescent="0.3">
      <c r="A649" s="9" t="s">
        <v>686</v>
      </c>
      <c r="B649" s="9" t="s">
        <v>22</v>
      </c>
      <c r="C649" s="9">
        <v>58</v>
      </c>
      <c r="D649" s="10" t="s">
        <v>46</v>
      </c>
      <c r="E649" s="11">
        <v>45138</v>
      </c>
      <c r="F649" s="9">
        <v>38</v>
      </c>
      <c r="G649" s="9">
        <v>4.5</v>
      </c>
      <c r="H649" s="9">
        <f>IF(MONTH(Call_Table_Data[[#This Row],[Date of Call]])&lt;=3,YEAR(Call_Table_Data[[#This Row],[Date of Call]]),YEAR(Call_Table_Data[[#This Row],[Date of Call]])+1)</f>
        <v>2024</v>
      </c>
      <c r="I649" s="9" t="str">
        <f>TEXT(Call_Table_Data[[#This Row],[Date of Call]],"DDDD")</f>
        <v>Monday</v>
      </c>
      <c r="J649" s="9" t="str" cm="1">
        <f t="array" ref="J649">_xlfn.IFS(Call_Table_Data[[#This Row],[Duration]]&lt;=10,"Under 10 Mins",Call_Table_Data[[#This Row],[Duration]]&lt;=30,"10 to 30 Mins",Call_Table_Data[[#This Row],[Duration]]&lt;=60,"30 to 60 Mins",Call_Table_Data[[#This Row],[Duration]]&lt;=120,"1 to 2 Hours",TRUE,"More Than 2 Hours")</f>
        <v>30 to 60 Mins</v>
      </c>
      <c r="K649" s="9">
        <f>ROUND(Call_Table_Data[[#This Row],[Satisfaction Rating]],0)</f>
        <v>5</v>
      </c>
    </row>
    <row r="650" spans="1:11" x14ac:dyDescent="0.3">
      <c r="A650" s="9" t="s">
        <v>687</v>
      </c>
      <c r="B650" s="9" t="s">
        <v>18</v>
      </c>
      <c r="C650" s="9">
        <v>33</v>
      </c>
      <c r="D650" s="10" t="s">
        <v>33</v>
      </c>
      <c r="E650" s="11">
        <v>45138</v>
      </c>
      <c r="F650" s="9">
        <v>92</v>
      </c>
      <c r="G650" s="9">
        <v>1.7</v>
      </c>
      <c r="H650" s="9">
        <f>IF(MONTH(Call_Table_Data[[#This Row],[Date of Call]])&lt;=3,YEAR(Call_Table_Data[[#This Row],[Date of Call]]),YEAR(Call_Table_Data[[#This Row],[Date of Call]])+1)</f>
        <v>2024</v>
      </c>
      <c r="I650" s="9" t="str">
        <f>TEXT(Call_Table_Data[[#This Row],[Date of Call]],"DDDD")</f>
        <v>Monday</v>
      </c>
      <c r="J650" s="9" t="str" cm="1">
        <f t="array" ref="J650">_xlfn.IFS(Call_Table_Data[[#This Row],[Duration]]&lt;=10,"Under 10 Mins",Call_Table_Data[[#This Row],[Duration]]&lt;=30,"10 to 30 Mins",Call_Table_Data[[#This Row],[Duration]]&lt;=60,"30 to 60 Mins",Call_Table_Data[[#This Row],[Duration]]&lt;=120,"1 to 2 Hours",TRUE,"More Than 2 Hours")</f>
        <v>30 to 60 Mins</v>
      </c>
      <c r="K650" s="9">
        <f>ROUND(Call_Table_Data[[#This Row],[Satisfaction Rating]],0)</f>
        <v>2</v>
      </c>
    </row>
    <row r="651" spans="1:11" x14ac:dyDescent="0.3">
      <c r="A651" s="9" t="s">
        <v>688</v>
      </c>
      <c r="B651" s="9" t="s">
        <v>41</v>
      </c>
      <c r="C651" s="9">
        <v>164</v>
      </c>
      <c r="D651" s="10" t="s">
        <v>17</v>
      </c>
      <c r="E651" s="11">
        <v>45138</v>
      </c>
      <c r="F651" s="9">
        <v>36</v>
      </c>
      <c r="G651" s="9">
        <v>4.7</v>
      </c>
      <c r="H651" s="9">
        <f>IF(MONTH(Call_Table_Data[[#This Row],[Date of Call]])&lt;=3,YEAR(Call_Table_Data[[#This Row],[Date of Call]]),YEAR(Call_Table_Data[[#This Row],[Date of Call]])+1)</f>
        <v>2024</v>
      </c>
      <c r="I651" s="9" t="str">
        <f>TEXT(Call_Table_Data[[#This Row],[Date of Call]],"DDDD")</f>
        <v>Monday</v>
      </c>
      <c r="J651" s="9" t="str" cm="1">
        <f t="array" ref="J651">_xlfn.IFS(Call_Table_Data[[#This Row],[Duration]]&lt;=10,"Under 10 Mins",Call_Table_Data[[#This Row],[Duration]]&lt;=30,"10 to 30 Mins",Call_Table_Data[[#This Row],[Duration]]&lt;=60,"30 to 60 Mins",Call_Table_Data[[#This Row],[Duration]]&lt;=120,"1 to 2 Hours",TRUE,"More Than 2 Hours")</f>
        <v>More Than 2 Hours</v>
      </c>
      <c r="K651" s="9">
        <f>ROUND(Call_Table_Data[[#This Row],[Satisfaction Rating]],0)</f>
        <v>5</v>
      </c>
    </row>
    <row r="652" spans="1:11" x14ac:dyDescent="0.3">
      <c r="A652" s="9" t="s">
        <v>689</v>
      </c>
      <c r="B652" s="9" t="s">
        <v>50</v>
      </c>
      <c r="C652" s="9">
        <v>163</v>
      </c>
      <c r="D652" s="10" t="s">
        <v>27</v>
      </c>
      <c r="E652" s="11">
        <v>45138</v>
      </c>
      <c r="F652" s="9">
        <v>76</v>
      </c>
      <c r="G652" s="9">
        <v>4.4000000000000004</v>
      </c>
      <c r="H652" s="9">
        <f>IF(MONTH(Call_Table_Data[[#This Row],[Date of Call]])&lt;=3,YEAR(Call_Table_Data[[#This Row],[Date of Call]]),YEAR(Call_Table_Data[[#This Row],[Date of Call]])+1)</f>
        <v>2024</v>
      </c>
      <c r="I652" s="9" t="str">
        <f>TEXT(Call_Table_Data[[#This Row],[Date of Call]],"DDDD")</f>
        <v>Monday</v>
      </c>
      <c r="J652" s="9" t="str" cm="1">
        <f t="array" ref="J652">_xlfn.IFS(Call_Table_Data[[#This Row],[Duration]]&lt;=10,"Under 10 Mins",Call_Table_Data[[#This Row],[Duration]]&lt;=30,"10 to 30 Mins",Call_Table_Data[[#This Row],[Duration]]&lt;=60,"30 to 60 Mins",Call_Table_Data[[#This Row],[Duration]]&lt;=120,"1 to 2 Hours",TRUE,"More Than 2 Hours")</f>
        <v>More Than 2 Hours</v>
      </c>
      <c r="K652" s="9">
        <f>ROUND(Call_Table_Data[[#This Row],[Satisfaction Rating]],0)</f>
        <v>4</v>
      </c>
    </row>
    <row r="653" spans="1:11" x14ac:dyDescent="0.3">
      <c r="A653" s="9" t="s">
        <v>690</v>
      </c>
      <c r="B653" s="9" t="s">
        <v>37</v>
      </c>
      <c r="C653" s="9">
        <v>71</v>
      </c>
      <c r="D653" s="10" t="s">
        <v>17</v>
      </c>
      <c r="E653" s="11">
        <v>45140</v>
      </c>
      <c r="F653" s="9">
        <v>170</v>
      </c>
      <c r="G653" s="9">
        <v>3.5</v>
      </c>
      <c r="H653" s="9">
        <f>IF(MONTH(Call_Table_Data[[#This Row],[Date of Call]])&lt;=3,YEAR(Call_Table_Data[[#This Row],[Date of Call]]),YEAR(Call_Table_Data[[#This Row],[Date of Call]])+1)</f>
        <v>2024</v>
      </c>
      <c r="I653" s="9" t="str">
        <f>TEXT(Call_Table_Data[[#This Row],[Date of Call]],"DDDD")</f>
        <v>Wednesday</v>
      </c>
      <c r="J653" s="9" t="str" cm="1">
        <f t="array" ref="J653">_xlfn.IFS(Call_Table_Data[[#This Row],[Duration]]&lt;=10,"Under 10 Mins",Call_Table_Data[[#This Row],[Duration]]&lt;=30,"10 to 30 Mins",Call_Table_Data[[#This Row],[Duration]]&lt;=60,"30 to 60 Mins",Call_Table_Data[[#This Row],[Duration]]&lt;=120,"1 to 2 Hours",TRUE,"More Than 2 Hours")</f>
        <v>1 to 2 Hours</v>
      </c>
      <c r="K653" s="9">
        <f>ROUND(Call_Table_Data[[#This Row],[Satisfaction Rating]],0)</f>
        <v>4</v>
      </c>
    </row>
    <row r="654" spans="1:11" x14ac:dyDescent="0.3">
      <c r="A654" s="9" t="s">
        <v>691</v>
      </c>
      <c r="B654" s="9" t="s">
        <v>18</v>
      </c>
      <c r="C654" s="9">
        <v>103</v>
      </c>
      <c r="D654" s="10" t="s">
        <v>46</v>
      </c>
      <c r="E654" s="11">
        <v>45141</v>
      </c>
      <c r="F654" s="9">
        <v>117</v>
      </c>
      <c r="G654" s="9">
        <v>4.7</v>
      </c>
      <c r="H654" s="9">
        <f>IF(MONTH(Call_Table_Data[[#This Row],[Date of Call]])&lt;=3,YEAR(Call_Table_Data[[#This Row],[Date of Call]]),YEAR(Call_Table_Data[[#This Row],[Date of Call]])+1)</f>
        <v>2024</v>
      </c>
      <c r="I654" s="9" t="str">
        <f>TEXT(Call_Table_Data[[#This Row],[Date of Call]],"DDDD")</f>
        <v>Thursday</v>
      </c>
      <c r="J654" s="9" t="str" cm="1">
        <f t="array" ref="J654">_xlfn.IFS(Call_Table_Data[[#This Row],[Duration]]&lt;=10,"Under 10 Mins",Call_Table_Data[[#This Row],[Duration]]&lt;=30,"10 to 30 Mins",Call_Table_Data[[#This Row],[Duration]]&lt;=60,"30 to 60 Mins",Call_Table_Data[[#This Row],[Duration]]&lt;=120,"1 to 2 Hours",TRUE,"More Than 2 Hours")</f>
        <v>1 to 2 Hours</v>
      </c>
      <c r="K654" s="9">
        <f>ROUND(Call_Table_Data[[#This Row],[Satisfaction Rating]],0)</f>
        <v>5</v>
      </c>
    </row>
    <row r="655" spans="1:11" x14ac:dyDescent="0.3">
      <c r="A655" s="9" t="s">
        <v>692</v>
      </c>
      <c r="B655" s="9" t="s">
        <v>35</v>
      </c>
      <c r="C655" s="9">
        <v>69</v>
      </c>
      <c r="D655" s="10" t="s">
        <v>27</v>
      </c>
      <c r="E655" s="11">
        <v>45141</v>
      </c>
      <c r="F655" s="9">
        <v>20</v>
      </c>
      <c r="G655" s="9">
        <v>4.3</v>
      </c>
      <c r="H655" s="9">
        <f>IF(MONTH(Call_Table_Data[[#This Row],[Date of Call]])&lt;=3,YEAR(Call_Table_Data[[#This Row],[Date of Call]]),YEAR(Call_Table_Data[[#This Row],[Date of Call]])+1)</f>
        <v>2024</v>
      </c>
      <c r="I655" s="9" t="str">
        <f>TEXT(Call_Table_Data[[#This Row],[Date of Call]],"DDDD")</f>
        <v>Thursday</v>
      </c>
      <c r="J655" s="9" t="str" cm="1">
        <f t="array" ref="J655">_xlfn.IFS(Call_Table_Data[[#This Row],[Duration]]&lt;=10,"Under 10 Mins",Call_Table_Data[[#This Row],[Duration]]&lt;=30,"10 to 30 Mins",Call_Table_Data[[#This Row],[Duration]]&lt;=60,"30 to 60 Mins",Call_Table_Data[[#This Row],[Duration]]&lt;=120,"1 to 2 Hours",TRUE,"More Than 2 Hours")</f>
        <v>1 to 2 Hours</v>
      </c>
      <c r="K655" s="9">
        <f>ROUND(Call_Table_Data[[#This Row],[Satisfaction Rating]],0)</f>
        <v>4</v>
      </c>
    </row>
    <row r="656" spans="1:11" x14ac:dyDescent="0.3">
      <c r="A656" s="9" t="s">
        <v>693</v>
      </c>
      <c r="B656" s="9" t="s">
        <v>50</v>
      </c>
      <c r="C656" s="9">
        <v>111</v>
      </c>
      <c r="D656" s="10" t="s">
        <v>46</v>
      </c>
      <c r="E656" s="11">
        <v>45141</v>
      </c>
      <c r="F656" s="9">
        <v>99</v>
      </c>
      <c r="G656" s="9">
        <v>4.0999999999999996</v>
      </c>
      <c r="H656" s="9">
        <f>IF(MONTH(Call_Table_Data[[#This Row],[Date of Call]])&lt;=3,YEAR(Call_Table_Data[[#This Row],[Date of Call]]),YEAR(Call_Table_Data[[#This Row],[Date of Call]])+1)</f>
        <v>2024</v>
      </c>
      <c r="I656" s="9" t="str">
        <f>TEXT(Call_Table_Data[[#This Row],[Date of Call]],"DDDD")</f>
        <v>Thursday</v>
      </c>
      <c r="J656" s="9" t="str" cm="1">
        <f t="array" ref="J656">_xlfn.IFS(Call_Table_Data[[#This Row],[Duration]]&lt;=10,"Under 10 Mins",Call_Table_Data[[#This Row],[Duration]]&lt;=30,"10 to 30 Mins",Call_Table_Data[[#This Row],[Duration]]&lt;=60,"30 to 60 Mins",Call_Table_Data[[#This Row],[Duration]]&lt;=120,"1 to 2 Hours",TRUE,"More Than 2 Hours")</f>
        <v>1 to 2 Hours</v>
      </c>
      <c r="K656" s="9">
        <f>ROUND(Call_Table_Data[[#This Row],[Satisfaction Rating]],0)</f>
        <v>4</v>
      </c>
    </row>
    <row r="657" spans="1:11" x14ac:dyDescent="0.3">
      <c r="A657" s="9" t="s">
        <v>694</v>
      </c>
      <c r="B657" s="9" t="s">
        <v>45</v>
      </c>
      <c r="C657" s="9">
        <v>97</v>
      </c>
      <c r="D657" s="10" t="s">
        <v>27</v>
      </c>
      <c r="E657" s="11">
        <v>45142</v>
      </c>
      <c r="F657" s="9">
        <v>105</v>
      </c>
      <c r="G657" s="9">
        <v>2.9</v>
      </c>
      <c r="H657" s="9">
        <f>IF(MONTH(Call_Table_Data[[#This Row],[Date of Call]])&lt;=3,YEAR(Call_Table_Data[[#This Row],[Date of Call]]),YEAR(Call_Table_Data[[#This Row],[Date of Call]])+1)</f>
        <v>2024</v>
      </c>
      <c r="I657" s="9" t="str">
        <f>TEXT(Call_Table_Data[[#This Row],[Date of Call]],"DDDD")</f>
        <v>Friday</v>
      </c>
      <c r="J657" s="9" t="str" cm="1">
        <f t="array" ref="J657">_xlfn.IFS(Call_Table_Data[[#This Row],[Duration]]&lt;=10,"Under 10 Mins",Call_Table_Data[[#This Row],[Duration]]&lt;=30,"10 to 30 Mins",Call_Table_Data[[#This Row],[Duration]]&lt;=60,"30 to 60 Mins",Call_Table_Data[[#This Row],[Duration]]&lt;=120,"1 to 2 Hours",TRUE,"More Than 2 Hours")</f>
        <v>1 to 2 Hours</v>
      </c>
      <c r="K657" s="9">
        <f>ROUND(Call_Table_Data[[#This Row],[Satisfaction Rating]],0)</f>
        <v>3</v>
      </c>
    </row>
    <row r="658" spans="1:11" x14ac:dyDescent="0.3">
      <c r="A658" s="9" t="s">
        <v>695</v>
      </c>
      <c r="B658" s="9" t="s">
        <v>49</v>
      </c>
      <c r="C658" s="9">
        <v>144</v>
      </c>
      <c r="D658" s="10" t="s">
        <v>40</v>
      </c>
      <c r="E658" s="11">
        <v>45142</v>
      </c>
      <c r="F658" s="9">
        <v>195</v>
      </c>
      <c r="G658" s="9">
        <v>3.4</v>
      </c>
      <c r="H658" s="9">
        <f>IF(MONTH(Call_Table_Data[[#This Row],[Date of Call]])&lt;=3,YEAR(Call_Table_Data[[#This Row],[Date of Call]]),YEAR(Call_Table_Data[[#This Row],[Date of Call]])+1)</f>
        <v>2024</v>
      </c>
      <c r="I658" s="9" t="str">
        <f>TEXT(Call_Table_Data[[#This Row],[Date of Call]],"DDDD")</f>
        <v>Friday</v>
      </c>
      <c r="J658" s="9" t="str" cm="1">
        <f t="array" ref="J658">_xlfn.IFS(Call_Table_Data[[#This Row],[Duration]]&lt;=10,"Under 10 Mins",Call_Table_Data[[#This Row],[Duration]]&lt;=30,"10 to 30 Mins",Call_Table_Data[[#This Row],[Duration]]&lt;=60,"30 to 60 Mins",Call_Table_Data[[#This Row],[Duration]]&lt;=120,"1 to 2 Hours",TRUE,"More Than 2 Hours")</f>
        <v>More Than 2 Hours</v>
      </c>
      <c r="K658" s="9">
        <f>ROUND(Call_Table_Data[[#This Row],[Satisfaction Rating]],0)</f>
        <v>3</v>
      </c>
    </row>
    <row r="659" spans="1:11" x14ac:dyDescent="0.3">
      <c r="A659" s="9" t="s">
        <v>696</v>
      </c>
      <c r="B659" s="9" t="s">
        <v>26</v>
      </c>
      <c r="C659" s="9">
        <v>56</v>
      </c>
      <c r="D659" s="10" t="s">
        <v>27</v>
      </c>
      <c r="E659" s="11">
        <v>45143</v>
      </c>
      <c r="F659" s="9">
        <v>152</v>
      </c>
      <c r="G659" s="9">
        <v>4.5999999999999996</v>
      </c>
      <c r="H659" s="9">
        <f>IF(MONTH(Call_Table_Data[[#This Row],[Date of Call]])&lt;=3,YEAR(Call_Table_Data[[#This Row],[Date of Call]]),YEAR(Call_Table_Data[[#This Row],[Date of Call]])+1)</f>
        <v>2024</v>
      </c>
      <c r="I659" s="9" t="str">
        <f>TEXT(Call_Table_Data[[#This Row],[Date of Call]],"DDDD")</f>
        <v>Saturday</v>
      </c>
      <c r="J659" s="9" t="str" cm="1">
        <f t="array" ref="J659">_xlfn.IFS(Call_Table_Data[[#This Row],[Duration]]&lt;=10,"Under 10 Mins",Call_Table_Data[[#This Row],[Duration]]&lt;=30,"10 to 30 Mins",Call_Table_Data[[#This Row],[Duration]]&lt;=60,"30 to 60 Mins",Call_Table_Data[[#This Row],[Duration]]&lt;=120,"1 to 2 Hours",TRUE,"More Than 2 Hours")</f>
        <v>30 to 60 Mins</v>
      </c>
      <c r="K659" s="9">
        <f>ROUND(Call_Table_Data[[#This Row],[Satisfaction Rating]],0)</f>
        <v>5</v>
      </c>
    </row>
    <row r="660" spans="1:11" x14ac:dyDescent="0.3">
      <c r="A660" s="9" t="s">
        <v>697</v>
      </c>
      <c r="B660" s="9" t="s">
        <v>49</v>
      </c>
      <c r="C660" s="9">
        <v>132</v>
      </c>
      <c r="D660" s="10" t="s">
        <v>40</v>
      </c>
      <c r="E660" s="11">
        <v>45144</v>
      </c>
      <c r="F660" s="9">
        <v>195</v>
      </c>
      <c r="G660" s="9">
        <v>4.9000000000000004</v>
      </c>
      <c r="H660" s="9">
        <f>IF(MONTH(Call_Table_Data[[#This Row],[Date of Call]])&lt;=3,YEAR(Call_Table_Data[[#This Row],[Date of Call]]),YEAR(Call_Table_Data[[#This Row],[Date of Call]])+1)</f>
        <v>2024</v>
      </c>
      <c r="I660" s="9" t="str">
        <f>TEXT(Call_Table_Data[[#This Row],[Date of Call]],"DDDD")</f>
        <v>Sunday</v>
      </c>
      <c r="J660" s="9" t="str" cm="1">
        <f t="array" ref="J660">_xlfn.IFS(Call_Table_Data[[#This Row],[Duration]]&lt;=10,"Under 10 Mins",Call_Table_Data[[#This Row],[Duration]]&lt;=30,"10 to 30 Mins",Call_Table_Data[[#This Row],[Duration]]&lt;=60,"30 to 60 Mins",Call_Table_Data[[#This Row],[Duration]]&lt;=120,"1 to 2 Hours",TRUE,"More Than 2 Hours")</f>
        <v>More Than 2 Hours</v>
      </c>
      <c r="K660" s="9">
        <f>ROUND(Call_Table_Data[[#This Row],[Satisfaction Rating]],0)</f>
        <v>5</v>
      </c>
    </row>
    <row r="661" spans="1:11" x14ac:dyDescent="0.3">
      <c r="A661" s="9" t="s">
        <v>698</v>
      </c>
      <c r="B661" s="9" t="s">
        <v>37</v>
      </c>
      <c r="C661" s="9">
        <v>72</v>
      </c>
      <c r="D661" s="10" t="s">
        <v>33</v>
      </c>
      <c r="E661" s="11">
        <v>45144</v>
      </c>
      <c r="F661" s="9">
        <v>70</v>
      </c>
      <c r="G661" s="9">
        <v>3.6</v>
      </c>
      <c r="H661" s="9">
        <f>IF(MONTH(Call_Table_Data[[#This Row],[Date of Call]])&lt;=3,YEAR(Call_Table_Data[[#This Row],[Date of Call]]),YEAR(Call_Table_Data[[#This Row],[Date of Call]])+1)</f>
        <v>2024</v>
      </c>
      <c r="I661" s="9" t="str">
        <f>TEXT(Call_Table_Data[[#This Row],[Date of Call]],"DDDD")</f>
        <v>Sunday</v>
      </c>
      <c r="J661" s="9" t="str" cm="1">
        <f t="array" ref="J661">_xlfn.IFS(Call_Table_Data[[#This Row],[Duration]]&lt;=10,"Under 10 Mins",Call_Table_Data[[#This Row],[Duration]]&lt;=30,"10 to 30 Mins",Call_Table_Data[[#This Row],[Duration]]&lt;=60,"30 to 60 Mins",Call_Table_Data[[#This Row],[Duration]]&lt;=120,"1 to 2 Hours",TRUE,"More Than 2 Hours")</f>
        <v>1 to 2 Hours</v>
      </c>
      <c r="K661" s="9">
        <f>ROUND(Call_Table_Data[[#This Row],[Satisfaction Rating]],0)</f>
        <v>4</v>
      </c>
    </row>
    <row r="662" spans="1:11" x14ac:dyDescent="0.3">
      <c r="A662" s="9" t="s">
        <v>699</v>
      </c>
      <c r="B662" s="9" t="s">
        <v>50</v>
      </c>
      <c r="C662" s="9">
        <v>18</v>
      </c>
      <c r="D662" s="10" t="s">
        <v>33</v>
      </c>
      <c r="E662" s="11">
        <v>45144</v>
      </c>
      <c r="F662" s="9">
        <v>22</v>
      </c>
      <c r="G662" s="9">
        <v>3.5</v>
      </c>
      <c r="H662" s="9">
        <f>IF(MONTH(Call_Table_Data[[#This Row],[Date of Call]])&lt;=3,YEAR(Call_Table_Data[[#This Row],[Date of Call]]),YEAR(Call_Table_Data[[#This Row],[Date of Call]])+1)</f>
        <v>2024</v>
      </c>
      <c r="I662" s="9" t="str">
        <f>TEXT(Call_Table_Data[[#This Row],[Date of Call]],"DDDD")</f>
        <v>Sunday</v>
      </c>
      <c r="J662" s="9" t="str" cm="1">
        <f t="array" ref="J662">_xlfn.IFS(Call_Table_Data[[#This Row],[Duration]]&lt;=10,"Under 10 Mins",Call_Table_Data[[#This Row],[Duration]]&lt;=30,"10 to 30 Mins",Call_Table_Data[[#This Row],[Duration]]&lt;=60,"30 to 60 Mins",Call_Table_Data[[#This Row],[Duration]]&lt;=120,"1 to 2 Hours",TRUE,"More Than 2 Hours")</f>
        <v>10 to 30 Mins</v>
      </c>
      <c r="K662" s="9">
        <f>ROUND(Call_Table_Data[[#This Row],[Satisfaction Rating]],0)</f>
        <v>4</v>
      </c>
    </row>
    <row r="663" spans="1:11" x14ac:dyDescent="0.3">
      <c r="A663" s="9" t="s">
        <v>700</v>
      </c>
      <c r="B663" s="9" t="s">
        <v>32</v>
      </c>
      <c r="C663" s="9">
        <v>115</v>
      </c>
      <c r="D663" s="10" t="s">
        <v>46</v>
      </c>
      <c r="E663" s="11">
        <v>45145</v>
      </c>
      <c r="F663" s="9">
        <v>40</v>
      </c>
      <c r="G663" s="9">
        <v>3.3</v>
      </c>
      <c r="H663" s="9">
        <f>IF(MONTH(Call_Table_Data[[#This Row],[Date of Call]])&lt;=3,YEAR(Call_Table_Data[[#This Row],[Date of Call]]),YEAR(Call_Table_Data[[#This Row],[Date of Call]])+1)</f>
        <v>2024</v>
      </c>
      <c r="I663" s="9" t="str">
        <f>TEXT(Call_Table_Data[[#This Row],[Date of Call]],"DDDD")</f>
        <v>Monday</v>
      </c>
      <c r="J663" s="9" t="str" cm="1">
        <f t="array" ref="J663">_xlfn.IFS(Call_Table_Data[[#This Row],[Duration]]&lt;=10,"Under 10 Mins",Call_Table_Data[[#This Row],[Duration]]&lt;=30,"10 to 30 Mins",Call_Table_Data[[#This Row],[Duration]]&lt;=60,"30 to 60 Mins",Call_Table_Data[[#This Row],[Duration]]&lt;=120,"1 to 2 Hours",TRUE,"More Than 2 Hours")</f>
        <v>1 to 2 Hours</v>
      </c>
      <c r="K663" s="9">
        <f>ROUND(Call_Table_Data[[#This Row],[Satisfaction Rating]],0)</f>
        <v>3</v>
      </c>
    </row>
    <row r="664" spans="1:11" x14ac:dyDescent="0.3">
      <c r="A664" s="9" t="s">
        <v>701</v>
      </c>
      <c r="B664" s="9" t="s">
        <v>32</v>
      </c>
      <c r="C664" s="9">
        <v>124</v>
      </c>
      <c r="D664" s="10" t="s">
        <v>27</v>
      </c>
      <c r="E664" s="11">
        <v>45146</v>
      </c>
      <c r="F664" s="9">
        <v>54</v>
      </c>
      <c r="G664" s="9">
        <v>3.8</v>
      </c>
      <c r="H664" s="9">
        <f>IF(MONTH(Call_Table_Data[[#This Row],[Date of Call]])&lt;=3,YEAR(Call_Table_Data[[#This Row],[Date of Call]]),YEAR(Call_Table_Data[[#This Row],[Date of Call]])+1)</f>
        <v>2024</v>
      </c>
      <c r="I664" s="9" t="str">
        <f>TEXT(Call_Table_Data[[#This Row],[Date of Call]],"DDDD")</f>
        <v>Tuesday</v>
      </c>
      <c r="J664" s="9" t="str" cm="1">
        <f t="array" ref="J664">_xlfn.IFS(Call_Table_Data[[#This Row],[Duration]]&lt;=10,"Under 10 Mins",Call_Table_Data[[#This Row],[Duration]]&lt;=30,"10 to 30 Mins",Call_Table_Data[[#This Row],[Duration]]&lt;=60,"30 to 60 Mins",Call_Table_Data[[#This Row],[Duration]]&lt;=120,"1 to 2 Hours",TRUE,"More Than 2 Hours")</f>
        <v>More Than 2 Hours</v>
      </c>
      <c r="K664" s="9">
        <f>ROUND(Call_Table_Data[[#This Row],[Satisfaction Rating]],0)</f>
        <v>4</v>
      </c>
    </row>
    <row r="665" spans="1:11" x14ac:dyDescent="0.3">
      <c r="A665" s="9" t="s">
        <v>702</v>
      </c>
      <c r="B665" s="9" t="s">
        <v>22</v>
      </c>
      <c r="C665" s="9">
        <v>130</v>
      </c>
      <c r="D665" s="10" t="s">
        <v>27</v>
      </c>
      <c r="E665" s="11">
        <v>45146</v>
      </c>
      <c r="F665" s="9">
        <v>60</v>
      </c>
      <c r="G665" s="9">
        <v>2.5</v>
      </c>
      <c r="H665" s="9">
        <f>IF(MONTH(Call_Table_Data[[#This Row],[Date of Call]])&lt;=3,YEAR(Call_Table_Data[[#This Row],[Date of Call]]),YEAR(Call_Table_Data[[#This Row],[Date of Call]])+1)</f>
        <v>2024</v>
      </c>
      <c r="I665" s="9" t="str">
        <f>TEXT(Call_Table_Data[[#This Row],[Date of Call]],"DDDD")</f>
        <v>Tuesday</v>
      </c>
      <c r="J665" s="9" t="str" cm="1">
        <f t="array" ref="J665">_xlfn.IFS(Call_Table_Data[[#This Row],[Duration]]&lt;=10,"Under 10 Mins",Call_Table_Data[[#This Row],[Duration]]&lt;=30,"10 to 30 Mins",Call_Table_Data[[#This Row],[Duration]]&lt;=60,"30 to 60 Mins",Call_Table_Data[[#This Row],[Duration]]&lt;=120,"1 to 2 Hours",TRUE,"More Than 2 Hours")</f>
        <v>More Than 2 Hours</v>
      </c>
      <c r="K665" s="9">
        <f>ROUND(Call_Table_Data[[#This Row],[Satisfaction Rating]],0)</f>
        <v>3</v>
      </c>
    </row>
    <row r="666" spans="1:11" x14ac:dyDescent="0.3">
      <c r="A666" s="9" t="s">
        <v>703</v>
      </c>
      <c r="B666" s="9" t="s">
        <v>54</v>
      </c>
      <c r="C666" s="9">
        <v>120</v>
      </c>
      <c r="D666" s="10" t="s">
        <v>17</v>
      </c>
      <c r="E666" s="11">
        <v>45148</v>
      </c>
      <c r="F666" s="9">
        <v>58</v>
      </c>
      <c r="G666" s="9">
        <v>4.5999999999999996</v>
      </c>
      <c r="H666" s="9">
        <f>IF(MONTH(Call_Table_Data[[#This Row],[Date of Call]])&lt;=3,YEAR(Call_Table_Data[[#This Row],[Date of Call]]),YEAR(Call_Table_Data[[#This Row],[Date of Call]])+1)</f>
        <v>2024</v>
      </c>
      <c r="I666" s="9" t="str">
        <f>TEXT(Call_Table_Data[[#This Row],[Date of Call]],"DDDD")</f>
        <v>Thursday</v>
      </c>
      <c r="J666" s="9" t="str" cm="1">
        <f t="array" ref="J666">_xlfn.IFS(Call_Table_Data[[#This Row],[Duration]]&lt;=10,"Under 10 Mins",Call_Table_Data[[#This Row],[Duration]]&lt;=30,"10 to 30 Mins",Call_Table_Data[[#This Row],[Duration]]&lt;=60,"30 to 60 Mins",Call_Table_Data[[#This Row],[Duration]]&lt;=120,"1 to 2 Hours",TRUE,"More Than 2 Hours")</f>
        <v>1 to 2 Hours</v>
      </c>
      <c r="K666" s="9">
        <f>ROUND(Call_Table_Data[[#This Row],[Satisfaction Rating]],0)</f>
        <v>5</v>
      </c>
    </row>
    <row r="667" spans="1:11" x14ac:dyDescent="0.3">
      <c r="A667" s="9" t="s">
        <v>704</v>
      </c>
      <c r="B667" s="9" t="s">
        <v>45</v>
      </c>
      <c r="C667" s="9">
        <v>75</v>
      </c>
      <c r="D667" s="10" t="s">
        <v>46</v>
      </c>
      <c r="E667" s="11">
        <v>45148</v>
      </c>
      <c r="F667" s="9">
        <v>220</v>
      </c>
      <c r="G667" s="9">
        <v>4.7</v>
      </c>
      <c r="H667" s="9">
        <f>IF(MONTH(Call_Table_Data[[#This Row],[Date of Call]])&lt;=3,YEAR(Call_Table_Data[[#This Row],[Date of Call]]),YEAR(Call_Table_Data[[#This Row],[Date of Call]])+1)</f>
        <v>2024</v>
      </c>
      <c r="I667" s="9" t="str">
        <f>TEXT(Call_Table_Data[[#This Row],[Date of Call]],"DDDD")</f>
        <v>Thursday</v>
      </c>
      <c r="J667" s="9" t="str" cm="1">
        <f t="array" ref="J667">_xlfn.IFS(Call_Table_Data[[#This Row],[Duration]]&lt;=10,"Under 10 Mins",Call_Table_Data[[#This Row],[Duration]]&lt;=30,"10 to 30 Mins",Call_Table_Data[[#This Row],[Duration]]&lt;=60,"30 to 60 Mins",Call_Table_Data[[#This Row],[Duration]]&lt;=120,"1 to 2 Hours",TRUE,"More Than 2 Hours")</f>
        <v>1 to 2 Hours</v>
      </c>
      <c r="K667" s="9">
        <f>ROUND(Call_Table_Data[[#This Row],[Satisfaction Rating]],0)</f>
        <v>5</v>
      </c>
    </row>
    <row r="668" spans="1:11" x14ac:dyDescent="0.3">
      <c r="A668" s="9" t="s">
        <v>705</v>
      </c>
      <c r="B668" s="9" t="s">
        <v>16</v>
      </c>
      <c r="C668" s="9">
        <v>63</v>
      </c>
      <c r="D668" s="10" t="s">
        <v>46</v>
      </c>
      <c r="E668" s="11">
        <v>45148</v>
      </c>
      <c r="F668" s="9">
        <v>27</v>
      </c>
      <c r="G668" s="9">
        <v>3.6</v>
      </c>
      <c r="H668" s="9">
        <f>IF(MONTH(Call_Table_Data[[#This Row],[Date of Call]])&lt;=3,YEAR(Call_Table_Data[[#This Row],[Date of Call]]),YEAR(Call_Table_Data[[#This Row],[Date of Call]])+1)</f>
        <v>2024</v>
      </c>
      <c r="I668" s="9" t="str">
        <f>TEXT(Call_Table_Data[[#This Row],[Date of Call]],"DDDD")</f>
        <v>Thursday</v>
      </c>
      <c r="J668" s="9" t="str" cm="1">
        <f t="array" ref="J668">_xlfn.IFS(Call_Table_Data[[#This Row],[Duration]]&lt;=10,"Under 10 Mins",Call_Table_Data[[#This Row],[Duration]]&lt;=30,"10 to 30 Mins",Call_Table_Data[[#This Row],[Duration]]&lt;=60,"30 to 60 Mins",Call_Table_Data[[#This Row],[Duration]]&lt;=120,"1 to 2 Hours",TRUE,"More Than 2 Hours")</f>
        <v>1 to 2 Hours</v>
      </c>
      <c r="K668" s="9">
        <f>ROUND(Call_Table_Data[[#This Row],[Satisfaction Rating]],0)</f>
        <v>4</v>
      </c>
    </row>
    <row r="669" spans="1:11" x14ac:dyDescent="0.3">
      <c r="A669" s="9" t="s">
        <v>706</v>
      </c>
      <c r="B669" s="9" t="s">
        <v>49</v>
      </c>
      <c r="C669" s="9">
        <v>74</v>
      </c>
      <c r="D669" s="10" t="s">
        <v>46</v>
      </c>
      <c r="E669" s="11">
        <v>45150</v>
      </c>
      <c r="F669" s="9">
        <v>26</v>
      </c>
      <c r="G669" s="9">
        <v>4.3</v>
      </c>
      <c r="H669" s="9">
        <f>IF(MONTH(Call_Table_Data[[#This Row],[Date of Call]])&lt;=3,YEAR(Call_Table_Data[[#This Row],[Date of Call]]),YEAR(Call_Table_Data[[#This Row],[Date of Call]])+1)</f>
        <v>2024</v>
      </c>
      <c r="I669" s="9" t="str">
        <f>TEXT(Call_Table_Data[[#This Row],[Date of Call]],"DDDD")</f>
        <v>Saturday</v>
      </c>
      <c r="J669" s="9" t="str" cm="1">
        <f t="array" ref="J669">_xlfn.IFS(Call_Table_Data[[#This Row],[Duration]]&lt;=10,"Under 10 Mins",Call_Table_Data[[#This Row],[Duration]]&lt;=30,"10 to 30 Mins",Call_Table_Data[[#This Row],[Duration]]&lt;=60,"30 to 60 Mins",Call_Table_Data[[#This Row],[Duration]]&lt;=120,"1 to 2 Hours",TRUE,"More Than 2 Hours")</f>
        <v>1 to 2 Hours</v>
      </c>
      <c r="K669" s="9">
        <f>ROUND(Call_Table_Data[[#This Row],[Satisfaction Rating]],0)</f>
        <v>4</v>
      </c>
    </row>
    <row r="670" spans="1:11" x14ac:dyDescent="0.3">
      <c r="A670" s="9" t="s">
        <v>707</v>
      </c>
      <c r="B670" s="9" t="s">
        <v>35</v>
      </c>
      <c r="C670" s="9">
        <v>134</v>
      </c>
      <c r="D670" s="10" t="s">
        <v>40</v>
      </c>
      <c r="E670" s="11">
        <v>45151</v>
      </c>
      <c r="F670" s="9">
        <v>160</v>
      </c>
      <c r="G670" s="9">
        <v>4.7</v>
      </c>
      <c r="H670" s="9">
        <f>IF(MONTH(Call_Table_Data[[#This Row],[Date of Call]])&lt;=3,YEAR(Call_Table_Data[[#This Row],[Date of Call]]),YEAR(Call_Table_Data[[#This Row],[Date of Call]])+1)</f>
        <v>2024</v>
      </c>
      <c r="I670" s="9" t="str">
        <f>TEXT(Call_Table_Data[[#This Row],[Date of Call]],"DDDD")</f>
        <v>Sunday</v>
      </c>
      <c r="J670" s="9" t="str" cm="1">
        <f t="array" ref="J670">_xlfn.IFS(Call_Table_Data[[#This Row],[Duration]]&lt;=10,"Under 10 Mins",Call_Table_Data[[#This Row],[Duration]]&lt;=30,"10 to 30 Mins",Call_Table_Data[[#This Row],[Duration]]&lt;=60,"30 to 60 Mins",Call_Table_Data[[#This Row],[Duration]]&lt;=120,"1 to 2 Hours",TRUE,"More Than 2 Hours")</f>
        <v>More Than 2 Hours</v>
      </c>
      <c r="K670" s="9">
        <f>ROUND(Call_Table_Data[[#This Row],[Satisfaction Rating]],0)</f>
        <v>5</v>
      </c>
    </row>
    <row r="671" spans="1:11" x14ac:dyDescent="0.3">
      <c r="A671" s="9" t="s">
        <v>708</v>
      </c>
      <c r="B671" s="9" t="s">
        <v>50</v>
      </c>
      <c r="C671" s="9">
        <v>103</v>
      </c>
      <c r="D671" s="10" t="s">
        <v>27</v>
      </c>
      <c r="E671" s="11">
        <v>45151</v>
      </c>
      <c r="F671" s="9">
        <v>200</v>
      </c>
      <c r="G671" s="9">
        <v>4.9000000000000004</v>
      </c>
      <c r="H671" s="9">
        <f>IF(MONTH(Call_Table_Data[[#This Row],[Date of Call]])&lt;=3,YEAR(Call_Table_Data[[#This Row],[Date of Call]]),YEAR(Call_Table_Data[[#This Row],[Date of Call]])+1)</f>
        <v>2024</v>
      </c>
      <c r="I671" s="9" t="str">
        <f>TEXT(Call_Table_Data[[#This Row],[Date of Call]],"DDDD")</f>
        <v>Sunday</v>
      </c>
      <c r="J671" s="9" t="str" cm="1">
        <f t="array" ref="J671">_xlfn.IFS(Call_Table_Data[[#This Row],[Duration]]&lt;=10,"Under 10 Mins",Call_Table_Data[[#This Row],[Duration]]&lt;=30,"10 to 30 Mins",Call_Table_Data[[#This Row],[Duration]]&lt;=60,"30 to 60 Mins",Call_Table_Data[[#This Row],[Duration]]&lt;=120,"1 to 2 Hours",TRUE,"More Than 2 Hours")</f>
        <v>1 to 2 Hours</v>
      </c>
      <c r="K671" s="9">
        <f>ROUND(Call_Table_Data[[#This Row],[Satisfaction Rating]],0)</f>
        <v>5</v>
      </c>
    </row>
    <row r="672" spans="1:11" x14ac:dyDescent="0.3">
      <c r="A672" s="9" t="s">
        <v>709</v>
      </c>
      <c r="B672" s="9" t="s">
        <v>50</v>
      </c>
      <c r="C672" s="9">
        <v>155</v>
      </c>
      <c r="D672" s="10" t="s">
        <v>17</v>
      </c>
      <c r="E672" s="11">
        <v>45154</v>
      </c>
      <c r="F672" s="9">
        <v>135</v>
      </c>
      <c r="G672" s="9">
        <v>4.9000000000000004</v>
      </c>
      <c r="H672" s="9">
        <f>IF(MONTH(Call_Table_Data[[#This Row],[Date of Call]])&lt;=3,YEAR(Call_Table_Data[[#This Row],[Date of Call]]),YEAR(Call_Table_Data[[#This Row],[Date of Call]])+1)</f>
        <v>2024</v>
      </c>
      <c r="I672" s="9" t="str">
        <f>TEXT(Call_Table_Data[[#This Row],[Date of Call]],"DDDD")</f>
        <v>Wednesday</v>
      </c>
      <c r="J672" s="9" t="str" cm="1">
        <f t="array" ref="J672">_xlfn.IFS(Call_Table_Data[[#This Row],[Duration]]&lt;=10,"Under 10 Mins",Call_Table_Data[[#This Row],[Duration]]&lt;=30,"10 to 30 Mins",Call_Table_Data[[#This Row],[Duration]]&lt;=60,"30 to 60 Mins",Call_Table_Data[[#This Row],[Duration]]&lt;=120,"1 to 2 Hours",TRUE,"More Than 2 Hours")</f>
        <v>More Than 2 Hours</v>
      </c>
      <c r="K672" s="9">
        <f>ROUND(Call_Table_Data[[#This Row],[Satisfaction Rating]],0)</f>
        <v>5</v>
      </c>
    </row>
    <row r="673" spans="1:11" x14ac:dyDescent="0.3">
      <c r="A673" s="9" t="s">
        <v>710</v>
      </c>
      <c r="B673" s="9" t="s">
        <v>16</v>
      </c>
      <c r="C673" s="9">
        <v>128</v>
      </c>
      <c r="D673" s="10" t="s">
        <v>27</v>
      </c>
      <c r="E673" s="11">
        <v>45155</v>
      </c>
      <c r="F673" s="9">
        <v>22</v>
      </c>
      <c r="G673" s="9">
        <v>1.9</v>
      </c>
      <c r="H673" s="9">
        <f>IF(MONTH(Call_Table_Data[[#This Row],[Date of Call]])&lt;=3,YEAR(Call_Table_Data[[#This Row],[Date of Call]]),YEAR(Call_Table_Data[[#This Row],[Date of Call]])+1)</f>
        <v>2024</v>
      </c>
      <c r="I673" s="9" t="str">
        <f>TEXT(Call_Table_Data[[#This Row],[Date of Call]],"DDDD")</f>
        <v>Thursday</v>
      </c>
      <c r="J673" s="9" t="str" cm="1">
        <f t="array" ref="J673">_xlfn.IFS(Call_Table_Data[[#This Row],[Duration]]&lt;=10,"Under 10 Mins",Call_Table_Data[[#This Row],[Duration]]&lt;=30,"10 to 30 Mins",Call_Table_Data[[#This Row],[Duration]]&lt;=60,"30 to 60 Mins",Call_Table_Data[[#This Row],[Duration]]&lt;=120,"1 to 2 Hours",TRUE,"More Than 2 Hours")</f>
        <v>More Than 2 Hours</v>
      </c>
      <c r="K673" s="9">
        <f>ROUND(Call_Table_Data[[#This Row],[Satisfaction Rating]],0)</f>
        <v>2</v>
      </c>
    </row>
    <row r="674" spans="1:11" x14ac:dyDescent="0.3">
      <c r="A674" s="9" t="s">
        <v>711</v>
      </c>
      <c r="B674" s="9" t="s">
        <v>45</v>
      </c>
      <c r="C674" s="9">
        <v>89</v>
      </c>
      <c r="D674" s="10" t="s">
        <v>40</v>
      </c>
      <c r="E674" s="11">
        <v>45156</v>
      </c>
      <c r="F674" s="9">
        <v>164</v>
      </c>
      <c r="G674" s="9">
        <v>4.5</v>
      </c>
      <c r="H674" s="9">
        <f>IF(MONTH(Call_Table_Data[[#This Row],[Date of Call]])&lt;=3,YEAR(Call_Table_Data[[#This Row],[Date of Call]]),YEAR(Call_Table_Data[[#This Row],[Date of Call]])+1)</f>
        <v>2024</v>
      </c>
      <c r="I674" s="9" t="str">
        <f>TEXT(Call_Table_Data[[#This Row],[Date of Call]],"DDDD")</f>
        <v>Friday</v>
      </c>
      <c r="J674" s="9" t="str" cm="1">
        <f t="array" ref="J674">_xlfn.IFS(Call_Table_Data[[#This Row],[Duration]]&lt;=10,"Under 10 Mins",Call_Table_Data[[#This Row],[Duration]]&lt;=30,"10 to 30 Mins",Call_Table_Data[[#This Row],[Duration]]&lt;=60,"30 to 60 Mins",Call_Table_Data[[#This Row],[Duration]]&lt;=120,"1 to 2 Hours",TRUE,"More Than 2 Hours")</f>
        <v>1 to 2 Hours</v>
      </c>
      <c r="K674" s="9">
        <f>ROUND(Call_Table_Data[[#This Row],[Satisfaction Rating]],0)</f>
        <v>5</v>
      </c>
    </row>
    <row r="675" spans="1:11" x14ac:dyDescent="0.3">
      <c r="A675" s="9" t="s">
        <v>712</v>
      </c>
      <c r="B675" s="9" t="s">
        <v>32</v>
      </c>
      <c r="C675" s="9">
        <v>81</v>
      </c>
      <c r="D675" s="10" t="s">
        <v>17</v>
      </c>
      <c r="E675" s="11">
        <v>45156</v>
      </c>
      <c r="F675" s="9">
        <v>21</v>
      </c>
      <c r="G675" s="9">
        <v>4.9000000000000004</v>
      </c>
      <c r="H675" s="9">
        <f>IF(MONTH(Call_Table_Data[[#This Row],[Date of Call]])&lt;=3,YEAR(Call_Table_Data[[#This Row],[Date of Call]]),YEAR(Call_Table_Data[[#This Row],[Date of Call]])+1)</f>
        <v>2024</v>
      </c>
      <c r="I675" s="9" t="str">
        <f>TEXT(Call_Table_Data[[#This Row],[Date of Call]],"DDDD")</f>
        <v>Friday</v>
      </c>
      <c r="J675" s="9" t="str" cm="1">
        <f t="array" ref="J675">_xlfn.IFS(Call_Table_Data[[#This Row],[Duration]]&lt;=10,"Under 10 Mins",Call_Table_Data[[#This Row],[Duration]]&lt;=30,"10 to 30 Mins",Call_Table_Data[[#This Row],[Duration]]&lt;=60,"30 to 60 Mins",Call_Table_Data[[#This Row],[Duration]]&lt;=120,"1 to 2 Hours",TRUE,"More Than 2 Hours")</f>
        <v>1 to 2 Hours</v>
      </c>
      <c r="K675" s="9">
        <f>ROUND(Call_Table_Data[[#This Row],[Satisfaction Rating]],0)</f>
        <v>5</v>
      </c>
    </row>
    <row r="676" spans="1:11" x14ac:dyDescent="0.3">
      <c r="A676" s="9" t="s">
        <v>713</v>
      </c>
      <c r="B676" s="9" t="s">
        <v>45</v>
      </c>
      <c r="C676" s="9">
        <v>66</v>
      </c>
      <c r="D676" s="10" t="s">
        <v>40</v>
      </c>
      <c r="E676" s="11">
        <v>45157</v>
      </c>
      <c r="F676" s="9">
        <v>120</v>
      </c>
      <c r="G676" s="9">
        <v>4.5</v>
      </c>
      <c r="H676" s="9">
        <f>IF(MONTH(Call_Table_Data[[#This Row],[Date of Call]])&lt;=3,YEAR(Call_Table_Data[[#This Row],[Date of Call]]),YEAR(Call_Table_Data[[#This Row],[Date of Call]])+1)</f>
        <v>2024</v>
      </c>
      <c r="I676" s="9" t="str">
        <f>TEXT(Call_Table_Data[[#This Row],[Date of Call]],"DDDD")</f>
        <v>Saturday</v>
      </c>
      <c r="J676" s="9" t="str" cm="1">
        <f t="array" ref="J676">_xlfn.IFS(Call_Table_Data[[#This Row],[Duration]]&lt;=10,"Under 10 Mins",Call_Table_Data[[#This Row],[Duration]]&lt;=30,"10 to 30 Mins",Call_Table_Data[[#This Row],[Duration]]&lt;=60,"30 to 60 Mins",Call_Table_Data[[#This Row],[Duration]]&lt;=120,"1 to 2 Hours",TRUE,"More Than 2 Hours")</f>
        <v>1 to 2 Hours</v>
      </c>
      <c r="K676" s="9">
        <f>ROUND(Call_Table_Data[[#This Row],[Satisfaction Rating]],0)</f>
        <v>5</v>
      </c>
    </row>
    <row r="677" spans="1:11" x14ac:dyDescent="0.3">
      <c r="A677" s="9" t="s">
        <v>714</v>
      </c>
      <c r="B677" s="9" t="s">
        <v>37</v>
      </c>
      <c r="C677" s="9">
        <v>61</v>
      </c>
      <c r="D677" s="10" t="s">
        <v>33</v>
      </c>
      <c r="E677" s="11">
        <v>45157</v>
      </c>
      <c r="F677" s="9">
        <v>93</v>
      </c>
      <c r="G677" s="9">
        <v>2.7</v>
      </c>
      <c r="H677" s="9">
        <f>IF(MONTH(Call_Table_Data[[#This Row],[Date of Call]])&lt;=3,YEAR(Call_Table_Data[[#This Row],[Date of Call]]),YEAR(Call_Table_Data[[#This Row],[Date of Call]])+1)</f>
        <v>2024</v>
      </c>
      <c r="I677" s="9" t="str">
        <f>TEXT(Call_Table_Data[[#This Row],[Date of Call]],"DDDD")</f>
        <v>Saturday</v>
      </c>
      <c r="J677" s="9" t="str" cm="1">
        <f t="array" ref="J677">_xlfn.IFS(Call_Table_Data[[#This Row],[Duration]]&lt;=10,"Under 10 Mins",Call_Table_Data[[#This Row],[Duration]]&lt;=30,"10 to 30 Mins",Call_Table_Data[[#This Row],[Duration]]&lt;=60,"30 to 60 Mins",Call_Table_Data[[#This Row],[Duration]]&lt;=120,"1 to 2 Hours",TRUE,"More Than 2 Hours")</f>
        <v>1 to 2 Hours</v>
      </c>
      <c r="K677" s="9">
        <f>ROUND(Call_Table_Data[[#This Row],[Satisfaction Rating]],0)</f>
        <v>3</v>
      </c>
    </row>
    <row r="678" spans="1:11" x14ac:dyDescent="0.3">
      <c r="A678" s="9" t="s">
        <v>715</v>
      </c>
      <c r="B678" s="9" t="s">
        <v>32</v>
      </c>
      <c r="C678" s="9">
        <v>128</v>
      </c>
      <c r="D678" s="10" t="s">
        <v>33</v>
      </c>
      <c r="E678" s="11">
        <v>45157</v>
      </c>
      <c r="F678" s="9">
        <v>135</v>
      </c>
      <c r="G678" s="9">
        <v>2.1</v>
      </c>
      <c r="H678" s="9">
        <f>IF(MONTH(Call_Table_Data[[#This Row],[Date of Call]])&lt;=3,YEAR(Call_Table_Data[[#This Row],[Date of Call]]),YEAR(Call_Table_Data[[#This Row],[Date of Call]])+1)</f>
        <v>2024</v>
      </c>
      <c r="I678" s="9" t="str">
        <f>TEXT(Call_Table_Data[[#This Row],[Date of Call]],"DDDD")</f>
        <v>Saturday</v>
      </c>
      <c r="J678" s="9" t="str" cm="1">
        <f t="array" ref="J678">_xlfn.IFS(Call_Table_Data[[#This Row],[Duration]]&lt;=10,"Under 10 Mins",Call_Table_Data[[#This Row],[Duration]]&lt;=30,"10 to 30 Mins",Call_Table_Data[[#This Row],[Duration]]&lt;=60,"30 to 60 Mins",Call_Table_Data[[#This Row],[Duration]]&lt;=120,"1 to 2 Hours",TRUE,"More Than 2 Hours")</f>
        <v>More Than 2 Hours</v>
      </c>
      <c r="K678" s="9">
        <f>ROUND(Call_Table_Data[[#This Row],[Satisfaction Rating]],0)</f>
        <v>2</v>
      </c>
    </row>
    <row r="679" spans="1:11" x14ac:dyDescent="0.3">
      <c r="A679" s="9" t="s">
        <v>716</v>
      </c>
      <c r="B679" s="9" t="s">
        <v>50</v>
      </c>
      <c r="C679" s="9">
        <v>30</v>
      </c>
      <c r="D679" s="10" t="s">
        <v>17</v>
      </c>
      <c r="E679" s="11">
        <v>45157</v>
      </c>
      <c r="F679" s="9">
        <v>210</v>
      </c>
      <c r="G679" s="9">
        <v>4.2</v>
      </c>
      <c r="H679" s="9">
        <f>IF(MONTH(Call_Table_Data[[#This Row],[Date of Call]])&lt;=3,YEAR(Call_Table_Data[[#This Row],[Date of Call]]),YEAR(Call_Table_Data[[#This Row],[Date of Call]])+1)</f>
        <v>2024</v>
      </c>
      <c r="I679" s="9" t="str">
        <f>TEXT(Call_Table_Data[[#This Row],[Date of Call]],"DDDD")</f>
        <v>Saturday</v>
      </c>
      <c r="J679" s="9" t="str" cm="1">
        <f t="array" ref="J679">_xlfn.IFS(Call_Table_Data[[#This Row],[Duration]]&lt;=10,"Under 10 Mins",Call_Table_Data[[#This Row],[Duration]]&lt;=30,"10 to 30 Mins",Call_Table_Data[[#This Row],[Duration]]&lt;=60,"30 to 60 Mins",Call_Table_Data[[#This Row],[Duration]]&lt;=120,"1 to 2 Hours",TRUE,"More Than 2 Hours")</f>
        <v>10 to 30 Mins</v>
      </c>
      <c r="K679" s="9">
        <f>ROUND(Call_Table_Data[[#This Row],[Satisfaction Rating]],0)</f>
        <v>4</v>
      </c>
    </row>
    <row r="680" spans="1:11" x14ac:dyDescent="0.3">
      <c r="A680" s="9" t="s">
        <v>717</v>
      </c>
      <c r="B680" s="9" t="s">
        <v>41</v>
      </c>
      <c r="C680" s="9">
        <v>63</v>
      </c>
      <c r="D680" s="10" t="s">
        <v>33</v>
      </c>
      <c r="E680" s="11">
        <v>45158</v>
      </c>
      <c r="F680" s="9">
        <v>29</v>
      </c>
      <c r="G680" s="9">
        <v>4.7</v>
      </c>
      <c r="H680" s="9">
        <f>IF(MONTH(Call_Table_Data[[#This Row],[Date of Call]])&lt;=3,YEAR(Call_Table_Data[[#This Row],[Date of Call]]),YEAR(Call_Table_Data[[#This Row],[Date of Call]])+1)</f>
        <v>2024</v>
      </c>
      <c r="I680" s="9" t="str">
        <f>TEXT(Call_Table_Data[[#This Row],[Date of Call]],"DDDD")</f>
        <v>Sunday</v>
      </c>
      <c r="J680" s="9" t="str" cm="1">
        <f t="array" ref="J680">_xlfn.IFS(Call_Table_Data[[#This Row],[Duration]]&lt;=10,"Under 10 Mins",Call_Table_Data[[#This Row],[Duration]]&lt;=30,"10 to 30 Mins",Call_Table_Data[[#This Row],[Duration]]&lt;=60,"30 to 60 Mins",Call_Table_Data[[#This Row],[Duration]]&lt;=120,"1 to 2 Hours",TRUE,"More Than 2 Hours")</f>
        <v>1 to 2 Hours</v>
      </c>
      <c r="K680" s="9">
        <f>ROUND(Call_Table_Data[[#This Row],[Satisfaction Rating]],0)</f>
        <v>5</v>
      </c>
    </row>
    <row r="681" spans="1:11" x14ac:dyDescent="0.3">
      <c r="A681" s="9" t="s">
        <v>718</v>
      </c>
      <c r="B681" s="9" t="s">
        <v>23</v>
      </c>
      <c r="C681" s="9">
        <v>64</v>
      </c>
      <c r="D681" s="10" t="s">
        <v>46</v>
      </c>
      <c r="E681" s="11">
        <v>45158</v>
      </c>
      <c r="F681" s="9">
        <v>111</v>
      </c>
      <c r="G681" s="9">
        <v>3.9</v>
      </c>
      <c r="H681" s="9">
        <f>IF(MONTH(Call_Table_Data[[#This Row],[Date of Call]])&lt;=3,YEAR(Call_Table_Data[[#This Row],[Date of Call]]),YEAR(Call_Table_Data[[#This Row],[Date of Call]])+1)</f>
        <v>2024</v>
      </c>
      <c r="I681" s="9" t="str">
        <f>TEXT(Call_Table_Data[[#This Row],[Date of Call]],"DDDD")</f>
        <v>Sunday</v>
      </c>
      <c r="J681" s="9" t="str" cm="1">
        <f t="array" ref="J681">_xlfn.IFS(Call_Table_Data[[#This Row],[Duration]]&lt;=10,"Under 10 Mins",Call_Table_Data[[#This Row],[Duration]]&lt;=30,"10 to 30 Mins",Call_Table_Data[[#This Row],[Duration]]&lt;=60,"30 to 60 Mins",Call_Table_Data[[#This Row],[Duration]]&lt;=120,"1 to 2 Hours",TRUE,"More Than 2 Hours")</f>
        <v>1 to 2 Hours</v>
      </c>
      <c r="K681" s="9">
        <f>ROUND(Call_Table_Data[[#This Row],[Satisfaction Rating]],0)</f>
        <v>4</v>
      </c>
    </row>
    <row r="682" spans="1:11" x14ac:dyDescent="0.3">
      <c r="A682" s="9" t="s">
        <v>719</v>
      </c>
      <c r="B682" s="9" t="s">
        <v>30</v>
      </c>
      <c r="C682" s="9">
        <v>151</v>
      </c>
      <c r="D682" s="10" t="s">
        <v>27</v>
      </c>
      <c r="E682" s="11">
        <v>45159</v>
      </c>
      <c r="F682" s="9">
        <v>63</v>
      </c>
      <c r="G682" s="9">
        <v>4.0999999999999996</v>
      </c>
      <c r="H682" s="9">
        <f>IF(MONTH(Call_Table_Data[[#This Row],[Date of Call]])&lt;=3,YEAR(Call_Table_Data[[#This Row],[Date of Call]]),YEAR(Call_Table_Data[[#This Row],[Date of Call]])+1)</f>
        <v>2024</v>
      </c>
      <c r="I682" s="9" t="str">
        <f>TEXT(Call_Table_Data[[#This Row],[Date of Call]],"DDDD")</f>
        <v>Monday</v>
      </c>
      <c r="J682" s="9" t="str" cm="1">
        <f t="array" ref="J682">_xlfn.IFS(Call_Table_Data[[#This Row],[Duration]]&lt;=10,"Under 10 Mins",Call_Table_Data[[#This Row],[Duration]]&lt;=30,"10 to 30 Mins",Call_Table_Data[[#This Row],[Duration]]&lt;=60,"30 to 60 Mins",Call_Table_Data[[#This Row],[Duration]]&lt;=120,"1 to 2 Hours",TRUE,"More Than 2 Hours")</f>
        <v>More Than 2 Hours</v>
      </c>
      <c r="K682" s="9">
        <f>ROUND(Call_Table_Data[[#This Row],[Satisfaction Rating]],0)</f>
        <v>4</v>
      </c>
    </row>
    <row r="683" spans="1:11" x14ac:dyDescent="0.3">
      <c r="A683" s="9" t="s">
        <v>720</v>
      </c>
      <c r="B683" s="9" t="s">
        <v>18</v>
      </c>
      <c r="C683" s="9">
        <v>116</v>
      </c>
      <c r="D683" s="10" t="s">
        <v>40</v>
      </c>
      <c r="E683" s="11">
        <v>45159</v>
      </c>
      <c r="F683" s="9">
        <v>44</v>
      </c>
      <c r="G683" s="9">
        <v>3.8</v>
      </c>
      <c r="H683" s="9">
        <f>IF(MONTH(Call_Table_Data[[#This Row],[Date of Call]])&lt;=3,YEAR(Call_Table_Data[[#This Row],[Date of Call]]),YEAR(Call_Table_Data[[#This Row],[Date of Call]])+1)</f>
        <v>2024</v>
      </c>
      <c r="I683" s="9" t="str">
        <f>TEXT(Call_Table_Data[[#This Row],[Date of Call]],"DDDD")</f>
        <v>Monday</v>
      </c>
      <c r="J683" s="9" t="str" cm="1">
        <f t="array" ref="J683">_xlfn.IFS(Call_Table_Data[[#This Row],[Duration]]&lt;=10,"Under 10 Mins",Call_Table_Data[[#This Row],[Duration]]&lt;=30,"10 to 30 Mins",Call_Table_Data[[#This Row],[Duration]]&lt;=60,"30 to 60 Mins",Call_Table_Data[[#This Row],[Duration]]&lt;=120,"1 to 2 Hours",TRUE,"More Than 2 Hours")</f>
        <v>1 to 2 Hours</v>
      </c>
      <c r="K683" s="9">
        <f>ROUND(Call_Table_Data[[#This Row],[Satisfaction Rating]],0)</f>
        <v>4</v>
      </c>
    </row>
    <row r="684" spans="1:11" x14ac:dyDescent="0.3">
      <c r="A684" s="9" t="s">
        <v>721</v>
      </c>
      <c r="B684" s="9" t="s">
        <v>30</v>
      </c>
      <c r="C684" s="9">
        <v>111</v>
      </c>
      <c r="D684" s="10" t="s">
        <v>40</v>
      </c>
      <c r="E684" s="11">
        <v>45161</v>
      </c>
      <c r="F684" s="9">
        <v>120</v>
      </c>
      <c r="G684" s="9">
        <v>1.8</v>
      </c>
      <c r="H684" s="9">
        <f>IF(MONTH(Call_Table_Data[[#This Row],[Date of Call]])&lt;=3,YEAR(Call_Table_Data[[#This Row],[Date of Call]]),YEAR(Call_Table_Data[[#This Row],[Date of Call]])+1)</f>
        <v>2024</v>
      </c>
      <c r="I684" s="9" t="str">
        <f>TEXT(Call_Table_Data[[#This Row],[Date of Call]],"DDDD")</f>
        <v>Wednesday</v>
      </c>
      <c r="J684" s="9" t="str" cm="1">
        <f t="array" ref="J684">_xlfn.IFS(Call_Table_Data[[#This Row],[Duration]]&lt;=10,"Under 10 Mins",Call_Table_Data[[#This Row],[Duration]]&lt;=30,"10 to 30 Mins",Call_Table_Data[[#This Row],[Duration]]&lt;=60,"30 to 60 Mins",Call_Table_Data[[#This Row],[Duration]]&lt;=120,"1 to 2 Hours",TRUE,"More Than 2 Hours")</f>
        <v>1 to 2 Hours</v>
      </c>
      <c r="K684" s="9">
        <f>ROUND(Call_Table_Data[[#This Row],[Satisfaction Rating]],0)</f>
        <v>2</v>
      </c>
    </row>
    <row r="685" spans="1:11" x14ac:dyDescent="0.3">
      <c r="A685" s="9" t="s">
        <v>722</v>
      </c>
      <c r="B685" s="9" t="s">
        <v>32</v>
      </c>
      <c r="C685" s="9">
        <v>15</v>
      </c>
      <c r="D685" s="10" t="s">
        <v>40</v>
      </c>
      <c r="E685" s="11">
        <v>45161</v>
      </c>
      <c r="F685" s="9">
        <v>120</v>
      </c>
      <c r="G685" s="9">
        <v>4.0999999999999996</v>
      </c>
      <c r="H685" s="9">
        <f>IF(MONTH(Call_Table_Data[[#This Row],[Date of Call]])&lt;=3,YEAR(Call_Table_Data[[#This Row],[Date of Call]]),YEAR(Call_Table_Data[[#This Row],[Date of Call]])+1)</f>
        <v>2024</v>
      </c>
      <c r="I685" s="9" t="str">
        <f>TEXT(Call_Table_Data[[#This Row],[Date of Call]],"DDDD")</f>
        <v>Wednesday</v>
      </c>
      <c r="J685" s="9" t="str" cm="1">
        <f t="array" ref="J685">_xlfn.IFS(Call_Table_Data[[#This Row],[Duration]]&lt;=10,"Under 10 Mins",Call_Table_Data[[#This Row],[Duration]]&lt;=30,"10 to 30 Mins",Call_Table_Data[[#This Row],[Duration]]&lt;=60,"30 to 60 Mins",Call_Table_Data[[#This Row],[Duration]]&lt;=120,"1 to 2 Hours",TRUE,"More Than 2 Hours")</f>
        <v>10 to 30 Mins</v>
      </c>
      <c r="K685" s="9">
        <f>ROUND(Call_Table_Data[[#This Row],[Satisfaction Rating]],0)</f>
        <v>4</v>
      </c>
    </row>
    <row r="686" spans="1:11" x14ac:dyDescent="0.3">
      <c r="A686" s="9" t="s">
        <v>723</v>
      </c>
      <c r="B686" s="9" t="s">
        <v>23</v>
      </c>
      <c r="C686" s="9">
        <v>18</v>
      </c>
      <c r="D686" s="10" t="s">
        <v>27</v>
      </c>
      <c r="E686" s="11">
        <v>45162</v>
      </c>
      <c r="F686" s="9">
        <v>40</v>
      </c>
      <c r="G686" s="9">
        <v>4.4000000000000004</v>
      </c>
      <c r="H686" s="9">
        <f>IF(MONTH(Call_Table_Data[[#This Row],[Date of Call]])&lt;=3,YEAR(Call_Table_Data[[#This Row],[Date of Call]]),YEAR(Call_Table_Data[[#This Row],[Date of Call]])+1)</f>
        <v>2024</v>
      </c>
      <c r="I686" s="9" t="str">
        <f>TEXT(Call_Table_Data[[#This Row],[Date of Call]],"DDDD")</f>
        <v>Thursday</v>
      </c>
      <c r="J686" s="9" t="str" cm="1">
        <f t="array" ref="J686">_xlfn.IFS(Call_Table_Data[[#This Row],[Duration]]&lt;=10,"Under 10 Mins",Call_Table_Data[[#This Row],[Duration]]&lt;=30,"10 to 30 Mins",Call_Table_Data[[#This Row],[Duration]]&lt;=60,"30 to 60 Mins",Call_Table_Data[[#This Row],[Duration]]&lt;=120,"1 to 2 Hours",TRUE,"More Than 2 Hours")</f>
        <v>10 to 30 Mins</v>
      </c>
      <c r="K686" s="9">
        <f>ROUND(Call_Table_Data[[#This Row],[Satisfaction Rating]],0)</f>
        <v>4</v>
      </c>
    </row>
    <row r="687" spans="1:11" x14ac:dyDescent="0.3">
      <c r="A687" s="9" t="s">
        <v>724</v>
      </c>
      <c r="B687" s="9" t="s">
        <v>37</v>
      </c>
      <c r="C687" s="9">
        <v>146</v>
      </c>
      <c r="D687" s="10" t="s">
        <v>33</v>
      </c>
      <c r="E687" s="11">
        <v>45162</v>
      </c>
      <c r="F687" s="9">
        <v>160</v>
      </c>
      <c r="G687" s="9">
        <v>4.0999999999999996</v>
      </c>
      <c r="H687" s="9">
        <f>IF(MONTH(Call_Table_Data[[#This Row],[Date of Call]])&lt;=3,YEAR(Call_Table_Data[[#This Row],[Date of Call]]),YEAR(Call_Table_Data[[#This Row],[Date of Call]])+1)</f>
        <v>2024</v>
      </c>
      <c r="I687" s="9" t="str">
        <f>TEXT(Call_Table_Data[[#This Row],[Date of Call]],"DDDD")</f>
        <v>Thursday</v>
      </c>
      <c r="J687" s="9" t="str" cm="1">
        <f t="array" ref="J687">_xlfn.IFS(Call_Table_Data[[#This Row],[Duration]]&lt;=10,"Under 10 Mins",Call_Table_Data[[#This Row],[Duration]]&lt;=30,"10 to 30 Mins",Call_Table_Data[[#This Row],[Duration]]&lt;=60,"30 to 60 Mins",Call_Table_Data[[#This Row],[Duration]]&lt;=120,"1 to 2 Hours",TRUE,"More Than 2 Hours")</f>
        <v>More Than 2 Hours</v>
      </c>
      <c r="K687" s="9">
        <f>ROUND(Call_Table_Data[[#This Row],[Satisfaction Rating]],0)</f>
        <v>4</v>
      </c>
    </row>
    <row r="688" spans="1:11" x14ac:dyDescent="0.3">
      <c r="A688" s="9" t="s">
        <v>725</v>
      </c>
      <c r="B688" s="9" t="s">
        <v>50</v>
      </c>
      <c r="C688" s="9">
        <v>73</v>
      </c>
      <c r="D688" s="10" t="s">
        <v>40</v>
      </c>
      <c r="E688" s="11">
        <v>45163</v>
      </c>
      <c r="F688" s="9">
        <v>44</v>
      </c>
      <c r="G688" s="9">
        <v>3.8</v>
      </c>
      <c r="H688" s="9">
        <f>IF(MONTH(Call_Table_Data[[#This Row],[Date of Call]])&lt;=3,YEAR(Call_Table_Data[[#This Row],[Date of Call]]),YEAR(Call_Table_Data[[#This Row],[Date of Call]])+1)</f>
        <v>2024</v>
      </c>
      <c r="I688" s="9" t="str">
        <f>TEXT(Call_Table_Data[[#This Row],[Date of Call]],"DDDD")</f>
        <v>Friday</v>
      </c>
      <c r="J688" s="9" t="str" cm="1">
        <f t="array" ref="J688">_xlfn.IFS(Call_Table_Data[[#This Row],[Duration]]&lt;=10,"Under 10 Mins",Call_Table_Data[[#This Row],[Duration]]&lt;=30,"10 to 30 Mins",Call_Table_Data[[#This Row],[Duration]]&lt;=60,"30 to 60 Mins",Call_Table_Data[[#This Row],[Duration]]&lt;=120,"1 to 2 Hours",TRUE,"More Than 2 Hours")</f>
        <v>1 to 2 Hours</v>
      </c>
      <c r="K688" s="9">
        <f>ROUND(Call_Table_Data[[#This Row],[Satisfaction Rating]],0)</f>
        <v>4</v>
      </c>
    </row>
    <row r="689" spans="1:11" x14ac:dyDescent="0.3">
      <c r="A689" s="9" t="s">
        <v>726</v>
      </c>
      <c r="B689" s="9" t="s">
        <v>30</v>
      </c>
      <c r="C689" s="9">
        <v>108</v>
      </c>
      <c r="D689" s="10" t="s">
        <v>27</v>
      </c>
      <c r="E689" s="11">
        <v>45163</v>
      </c>
      <c r="F689" s="9">
        <v>80</v>
      </c>
      <c r="G689" s="9">
        <v>4.3</v>
      </c>
      <c r="H689" s="9">
        <f>IF(MONTH(Call_Table_Data[[#This Row],[Date of Call]])&lt;=3,YEAR(Call_Table_Data[[#This Row],[Date of Call]]),YEAR(Call_Table_Data[[#This Row],[Date of Call]])+1)</f>
        <v>2024</v>
      </c>
      <c r="I689" s="9" t="str">
        <f>TEXT(Call_Table_Data[[#This Row],[Date of Call]],"DDDD")</f>
        <v>Friday</v>
      </c>
      <c r="J689" s="9" t="str" cm="1">
        <f t="array" ref="J689">_xlfn.IFS(Call_Table_Data[[#This Row],[Duration]]&lt;=10,"Under 10 Mins",Call_Table_Data[[#This Row],[Duration]]&lt;=30,"10 to 30 Mins",Call_Table_Data[[#This Row],[Duration]]&lt;=60,"30 to 60 Mins",Call_Table_Data[[#This Row],[Duration]]&lt;=120,"1 to 2 Hours",TRUE,"More Than 2 Hours")</f>
        <v>1 to 2 Hours</v>
      </c>
      <c r="K689" s="9">
        <f>ROUND(Call_Table_Data[[#This Row],[Satisfaction Rating]],0)</f>
        <v>4</v>
      </c>
    </row>
    <row r="690" spans="1:11" x14ac:dyDescent="0.3">
      <c r="A690" s="9" t="s">
        <v>727</v>
      </c>
      <c r="B690" s="9" t="s">
        <v>35</v>
      </c>
      <c r="C690" s="9">
        <v>52</v>
      </c>
      <c r="D690" s="10" t="s">
        <v>27</v>
      </c>
      <c r="E690" s="11">
        <v>45164</v>
      </c>
      <c r="F690" s="9">
        <v>66</v>
      </c>
      <c r="G690" s="9">
        <v>4.5</v>
      </c>
      <c r="H690" s="9">
        <f>IF(MONTH(Call_Table_Data[[#This Row],[Date of Call]])&lt;=3,YEAR(Call_Table_Data[[#This Row],[Date of Call]]),YEAR(Call_Table_Data[[#This Row],[Date of Call]])+1)</f>
        <v>2024</v>
      </c>
      <c r="I690" s="9" t="str">
        <f>TEXT(Call_Table_Data[[#This Row],[Date of Call]],"DDDD")</f>
        <v>Saturday</v>
      </c>
      <c r="J690" s="9" t="str" cm="1">
        <f t="array" ref="J690">_xlfn.IFS(Call_Table_Data[[#This Row],[Duration]]&lt;=10,"Under 10 Mins",Call_Table_Data[[#This Row],[Duration]]&lt;=30,"10 to 30 Mins",Call_Table_Data[[#This Row],[Duration]]&lt;=60,"30 to 60 Mins",Call_Table_Data[[#This Row],[Duration]]&lt;=120,"1 to 2 Hours",TRUE,"More Than 2 Hours")</f>
        <v>30 to 60 Mins</v>
      </c>
      <c r="K690" s="9">
        <f>ROUND(Call_Table_Data[[#This Row],[Satisfaction Rating]],0)</f>
        <v>5</v>
      </c>
    </row>
    <row r="691" spans="1:11" x14ac:dyDescent="0.3">
      <c r="A691" s="9" t="s">
        <v>728</v>
      </c>
      <c r="B691" s="9" t="s">
        <v>18</v>
      </c>
      <c r="C691" s="9">
        <v>165</v>
      </c>
      <c r="D691" s="10" t="s">
        <v>46</v>
      </c>
      <c r="E691" s="11">
        <v>45164</v>
      </c>
      <c r="F691" s="9">
        <v>82</v>
      </c>
      <c r="G691" s="9">
        <v>3.4</v>
      </c>
      <c r="H691" s="9">
        <f>IF(MONTH(Call_Table_Data[[#This Row],[Date of Call]])&lt;=3,YEAR(Call_Table_Data[[#This Row],[Date of Call]]),YEAR(Call_Table_Data[[#This Row],[Date of Call]])+1)</f>
        <v>2024</v>
      </c>
      <c r="I691" s="9" t="str">
        <f>TEXT(Call_Table_Data[[#This Row],[Date of Call]],"DDDD")</f>
        <v>Saturday</v>
      </c>
      <c r="J691" s="9" t="str" cm="1">
        <f t="array" ref="J691">_xlfn.IFS(Call_Table_Data[[#This Row],[Duration]]&lt;=10,"Under 10 Mins",Call_Table_Data[[#This Row],[Duration]]&lt;=30,"10 to 30 Mins",Call_Table_Data[[#This Row],[Duration]]&lt;=60,"30 to 60 Mins",Call_Table_Data[[#This Row],[Duration]]&lt;=120,"1 to 2 Hours",TRUE,"More Than 2 Hours")</f>
        <v>More Than 2 Hours</v>
      </c>
      <c r="K691" s="9">
        <f>ROUND(Call_Table_Data[[#This Row],[Satisfaction Rating]],0)</f>
        <v>3</v>
      </c>
    </row>
    <row r="692" spans="1:11" x14ac:dyDescent="0.3">
      <c r="A692" s="9" t="s">
        <v>729</v>
      </c>
      <c r="B692" s="9" t="s">
        <v>37</v>
      </c>
      <c r="C692" s="9">
        <v>104</v>
      </c>
      <c r="D692" s="10" t="s">
        <v>40</v>
      </c>
      <c r="E692" s="11">
        <v>45164</v>
      </c>
      <c r="F692" s="9">
        <v>66</v>
      </c>
      <c r="G692" s="9">
        <v>4.8</v>
      </c>
      <c r="H692" s="9">
        <f>IF(MONTH(Call_Table_Data[[#This Row],[Date of Call]])&lt;=3,YEAR(Call_Table_Data[[#This Row],[Date of Call]]),YEAR(Call_Table_Data[[#This Row],[Date of Call]])+1)</f>
        <v>2024</v>
      </c>
      <c r="I692" s="9" t="str">
        <f>TEXT(Call_Table_Data[[#This Row],[Date of Call]],"DDDD")</f>
        <v>Saturday</v>
      </c>
      <c r="J692" s="9" t="str" cm="1">
        <f t="array" ref="J692">_xlfn.IFS(Call_Table_Data[[#This Row],[Duration]]&lt;=10,"Under 10 Mins",Call_Table_Data[[#This Row],[Duration]]&lt;=30,"10 to 30 Mins",Call_Table_Data[[#This Row],[Duration]]&lt;=60,"30 to 60 Mins",Call_Table_Data[[#This Row],[Duration]]&lt;=120,"1 to 2 Hours",TRUE,"More Than 2 Hours")</f>
        <v>1 to 2 Hours</v>
      </c>
      <c r="K692" s="9">
        <f>ROUND(Call_Table_Data[[#This Row],[Satisfaction Rating]],0)</f>
        <v>5</v>
      </c>
    </row>
    <row r="693" spans="1:11" x14ac:dyDescent="0.3">
      <c r="A693" s="9" t="s">
        <v>730</v>
      </c>
      <c r="B693" s="9" t="s">
        <v>50</v>
      </c>
      <c r="C693" s="9">
        <v>131</v>
      </c>
      <c r="D693" s="10" t="s">
        <v>33</v>
      </c>
      <c r="E693" s="11">
        <v>45164</v>
      </c>
      <c r="F693" s="9">
        <v>92</v>
      </c>
      <c r="G693" s="9">
        <v>4.9000000000000004</v>
      </c>
      <c r="H693" s="9">
        <f>IF(MONTH(Call_Table_Data[[#This Row],[Date of Call]])&lt;=3,YEAR(Call_Table_Data[[#This Row],[Date of Call]]),YEAR(Call_Table_Data[[#This Row],[Date of Call]])+1)</f>
        <v>2024</v>
      </c>
      <c r="I693" s="9" t="str">
        <f>TEXT(Call_Table_Data[[#This Row],[Date of Call]],"DDDD")</f>
        <v>Saturday</v>
      </c>
      <c r="J693" s="9" t="str" cm="1">
        <f t="array" ref="J693">_xlfn.IFS(Call_Table_Data[[#This Row],[Duration]]&lt;=10,"Under 10 Mins",Call_Table_Data[[#This Row],[Duration]]&lt;=30,"10 to 30 Mins",Call_Table_Data[[#This Row],[Duration]]&lt;=60,"30 to 60 Mins",Call_Table_Data[[#This Row],[Duration]]&lt;=120,"1 to 2 Hours",TRUE,"More Than 2 Hours")</f>
        <v>More Than 2 Hours</v>
      </c>
      <c r="K693" s="9">
        <f>ROUND(Call_Table_Data[[#This Row],[Satisfaction Rating]],0)</f>
        <v>5</v>
      </c>
    </row>
    <row r="694" spans="1:11" x14ac:dyDescent="0.3">
      <c r="A694" s="9" t="s">
        <v>731</v>
      </c>
      <c r="B694" s="9" t="s">
        <v>54</v>
      </c>
      <c r="C694" s="9">
        <v>80</v>
      </c>
      <c r="D694" s="10" t="s">
        <v>46</v>
      </c>
      <c r="E694" s="11">
        <v>45165</v>
      </c>
      <c r="F694" s="9">
        <v>104</v>
      </c>
      <c r="G694" s="9">
        <v>4.7</v>
      </c>
      <c r="H694" s="9">
        <f>IF(MONTH(Call_Table_Data[[#This Row],[Date of Call]])&lt;=3,YEAR(Call_Table_Data[[#This Row],[Date of Call]]),YEAR(Call_Table_Data[[#This Row],[Date of Call]])+1)</f>
        <v>2024</v>
      </c>
      <c r="I694" s="9" t="str">
        <f>TEXT(Call_Table_Data[[#This Row],[Date of Call]],"DDDD")</f>
        <v>Sunday</v>
      </c>
      <c r="J694" s="9" t="str" cm="1">
        <f t="array" ref="J694">_xlfn.IFS(Call_Table_Data[[#This Row],[Duration]]&lt;=10,"Under 10 Mins",Call_Table_Data[[#This Row],[Duration]]&lt;=30,"10 to 30 Mins",Call_Table_Data[[#This Row],[Duration]]&lt;=60,"30 to 60 Mins",Call_Table_Data[[#This Row],[Duration]]&lt;=120,"1 to 2 Hours",TRUE,"More Than 2 Hours")</f>
        <v>1 to 2 Hours</v>
      </c>
      <c r="K694" s="9">
        <f>ROUND(Call_Table_Data[[#This Row],[Satisfaction Rating]],0)</f>
        <v>5</v>
      </c>
    </row>
    <row r="695" spans="1:11" x14ac:dyDescent="0.3">
      <c r="A695" s="9" t="s">
        <v>732</v>
      </c>
      <c r="B695" s="9" t="s">
        <v>32</v>
      </c>
      <c r="C695" s="9">
        <v>49</v>
      </c>
      <c r="D695" s="10" t="s">
        <v>40</v>
      </c>
      <c r="E695" s="11">
        <v>45165</v>
      </c>
      <c r="F695" s="9">
        <v>105</v>
      </c>
      <c r="G695" s="9">
        <v>3.3</v>
      </c>
      <c r="H695" s="9">
        <f>IF(MONTH(Call_Table_Data[[#This Row],[Date of Call]])&lt;=3,YEAR(Call_Table_Data[[#This Row],[Date of Call]]),YEAR(Call_Table_Data[[#This Row],[Date of Call]])+1)</f>
        <v>2024</v>
      </c>
      <c r="I695" s="9" t="str">
        <f>TEXT(Call_Table_Data[[#This Row],[Date of Call]],"DDDD")</f>
        <v>Sunday</v>
      </c>
      <c r="J695" s="9" t="str" cm="1">
        <f t="array" ref="J695">_xlfn.IFS(Call_Table_Data[[#This Row],[Duration]]&lt;=10,"Under 10 Mins",Call_Table_Data[[#This Row],[Duration]]&lt;=30,"10 to 30 Mins",Call_Table_Data[[#This Row],[Duration]]&lt;=60,"30 to 60 Mins",Call_Table_Data[[#This Row],[Duration]]&lt;=120,"1 to 2 Hours",TRUE,"More Than 2 Hours")</f>
        <v>30 to 60 Mins</v>
      </c>
      <c r="K695" s="9">
        <f>ROUND(Call_Table_Data[[#This Row],[Satisfaction Rating]],0)</f>
        <v>3</v>
      </c>
    </row>
    <row r="696" spans="1:11" x14ac:dyDescent="0.3">
      <c r="A696" s="9" t="s">
        <v>733</v>
      </c>
      <c r="B696" s="9" t="s">
        <v>18</v>
      </c>
      <c r="C696" s="9">
        <v>73</v>
      </c>
      <c r="D696" s="10" t="s">
        <v>40</v>
      </c>
      <c r="E696" s="11">
        <v>45165</v>
      </c>
      <c r="F696" s="9">
        <v>100</v>
      </c>
      <c r="G696" s="9">
        <v>2.8</v>
      </c>
      <c r="H696" s="9">
        <f>IF(MONTH(Call_Table_Data[[#This Row],[Date of Call]])&lt;=3,YEAR(Call_Table_Data[[#This Row],[Date of Call]]),YEAR(Call_Table_Data[[#This Row],[Date of Call]])+1)</f>
        <v>2024</v>
      </c>
      <c r="I696" s="9" t="str">
        <f>TEXT(Call_Table_Data[[#This Row],[Date of Call]],"DDDD")</f>
        <v>Sunday</v>
      </c>
      <c r="J696" s="9" t="str" cm="1">
        <f t="array" ref="J696">_xlfn.IFS(Call_Table_Data[[#This Row],[Duration]]&lt;=10,"Under 10 Mins",Call_Table_Data[[#This Row],[Duration]]&lt;=30,"10 to 30 Mins",Call_Table_Data[[#This Row],[Duration]]&lt;=60,"30 to 60 Mins",Call_Table_Data[[#This Row],[Duration]]&lt;=120,"1 to 2 Hours",TRUE,"More Than 2 Hours")</f>
        <v>1 to 2 Hours</v>
      </c>
      <c r="K696" s="9">
        <f>ROUND(Call_Table_Data[[#This Row],[Satisfaction Rating]],0)</f>
        <v>3</v>
      </c>
    </row>
    <row r="697" spans="1:11" x14ac:dyDescent="0.3">
      <c r="A697" s="9" t="s">
        <v>734</v>
      </c>
      <c r="B697" s="9" t="s">
        <v>37</v>
      </c>
      <c r="C697" s="9">
        <v>117</v>
      </c>
      <c r="D697" s="10" t="s">
        <v>46</v>
      </c>
      <c r="E697" s="11">
        <v>45165</v>
      </c>
      <c r="F697" s="9">
        <v>90</v>
      </c>
      <c r="G697" s="9">
        <v>4.0999999999999996</v>
      </c>
      <c r="H697" s="9">
        <f>IF(MONTH(Call_Table_Data[[#This Row],[Date of Call]])&lt;=3,YEAR(Call_Table_Data[[#This Row],[Date of Call]]),YEAR(Call_Table_Data[[#This Row],[Date of Call]])+1)</f>
        <v>2024</v>
      </c>
      <c r="I697" s="9" t="str">
        <f>TEXT(Call_Table_Data[[#This Row],[Date of Call]],"DDDD")</f>
        <v>Sunday</v>
      </c>
      <c r="J697" s="9" t="str" cm="1">
        <f t="array" ref="J697">_xlfn.IFS(Call_Table_Data[[#This Row],[Duration]]&lt;=10,"Under 10 Mins",Call_Table_Data[[#This Row],[Duration]]&lt;=30,"10 to 30 Mins",Call_Table_Data[[#This Row],[Duration]]&lt;=60,"30 to 60 Mins",Call_Table_Data[[#This Row],[Duration]]&lt;=120,"1 to 2 Hours",TRUE,"More Than 2 Hours")</f>
        <v>1 to 2 Hours</v>
      </c>
      <c r="K697" s="9">
        <f>ROUND(Call_Table_Data[[#This Row],[Satisfaction Rating]],0)</f>
        <v>4</v>
      </c>
    </row>
    <row r="698" spans="1:11" x14ac:dyDescent="0.3">
      <c r="A698" s="9" t="s">
        <v>735</v>
      </c>
      <c r="B698" s="9" t="s">
        <v>26</v>
      </c>
      <c r="C698" s="9">
        <v>38</v>
      </c>
      <c r="D698" s="10" t="s">
        <v>17</v>
      </c>
      <c r="E698" s="11">
        <v>45165</v>
      </c>
      <c r="F698" s="9">
        <v>110</v>
      </c>
      <c r="G698" s="9">
        <v>3.5</v>
      </c>
      <c r="H698" s="9">
        <f>IF(MONTH(Call_Table_Data[[#This Row],[Date of Call]])&lt;=3,YEAR(Call_Table_Data[[#This Row],[Date of Call]]),YEAR(Call_Table_Data[[#This Row],[Date of Call]])+1)</f>
        <v>2024</v>
      </c>
      <c r="I698" s="9" t="str">
        <f>TEXT(Call_Table_Data[[#This Row],[Date of Call]],"DDDD")</f>
        <v>Sunday</v>
      </c>
      <c r="J698" s="9" t="str" cm="1">
        <f t="array" ref="J698">_xlfn.IFS(Call_Table_Data[[#This Row],[Duration]]&lt;=10,"Under 10 Mins",Call_Table_Data[[#This Row],[Duration]]&lt;=30,"10 to 30 Mins",Call_Table_Data[[#This Row],[Duration]]&lt;=60,"30 to 60 Mins",Call_Table_Data[[#This Row],[Duration]]&lt;=120,"1 to 2 Hours",TRUE,"More Than 2 Hours")</f>
        <v>30 to 60 Mins</v>
      </c>
      <c r="K698" s="9">
        <f>ROUND(Call_Table_Data[[#This Row],[Satisfaction Rating]],0)</f>
        <v>4</v>
      </c>
    </row>
    <row r="699" spans="1:11" x14ac:dyDescent="0.3">
      <c r="A699" s="9" t="s">
        <v>736</v>
      </c>
      <c r="B699" s="9" t="s">
        <v>35</v>
      </c>
      <c r="C699" s="9">
        <v>109</v>
      </c>
      <c r="D699" s="10" t="s">
        <v>46</v>
      </c>
      <c r="E699" s="11">
        <v>45167</v>
      </c>
      <c r="F699" s="9">
        <v>68</v>
      </c>
      <c r="G699" s="9">
        <v>2.2999999999999998</v>
      </c>
      <c r="H699" s="9">
        <f>IF(MONTH(Call_Table_Data[[#This Row],[Date of Call]])&lt;=3,YEAR(Call_Table_Data[[#This Row],[Date of Call]]),YEAR(Call_Table_Data[[#This Row],[Date of Call]])+1)</f>
        <v>2024</v>
      </c>
      <c r="I699" s="9" t="str">
        <f>TEXT(Call_Table_Data[[#This Row],[Date of Call]],"DDDD")</f>
        <v>Tuesday</v>
      </c>
      <c r="J699" s="9" t="str" cm="1">
        <f t="array" ref="J699">_xlfn.IFS(Call_Table_Data[[#This Row],[Duration]]&lt;=10,"Under 10 Mins",Call_Table_Data[[#This Row],[Duration]]&lt;=30,"10 to 30 Mins",Call_Table_Data[[#This Row],[Duration]]&lt;=60,"30 to 60 Mins",Call_Table_Data[[#This Row],[Duration]]&lt;=120,"1 to 2 Hours",TRUE,"More Than 2 Hours")</f>
        <v>1 to 2 Hours</v>
      </c>
      <c r="K699" s="9">
        <f>ROUND(Call_Table_Data[[#This Row],[Satisfaction Rating]],0)</f>
        <v>2</v>
      </c>
    </row>
    <row r="700" spans="1:11" x14ac:dyDescent="0.3">
      <c r="A700" s="9" t="s">
        <v>737</v>
      </c>
      <c r="B700" s="9" t="s">
        <v>32</v>
      </c>
      <c r="C700" s="9">
        <v>70</v>
      </c>
      <c r="D700" s="10" t="s">
        <v>27</v>
      </c>
      <c r="E700" s="11">
        <v>45168</v>
      </c>
      <c r="F700" s="9">
        <v>210</v>
      </c>
      <c r="G700" s="9">
        <v>4.0999999999999996</v>
      </c>
      <c r="H700" s="9">
        <f>IF(MONTH(Call_Table_Data[[#This Row],[Date of Call]])&lt;=3,YEAR(Call_Table_Data[[#This Row],[Date of Call]]),YEAR(Call_Table_Data[[#This Row],[Date of Call]])+1)</f>
        <v>2024</v>
      </c>
      <c r="I700" s="9" t="str">
        <f>TEXT(Call_Table_Data[[#This Row],[Date of Call]],"DDDD")</f>
        <v>Wednesday</v>
      </c>
      <c r="J700" s="9" t="str" cm="1">
        <f t="array" ref="J700">_xlfn.IFS(Call_Table_Data[[#This Row],[Duration]]&lt;=10,"Under 10 Mins",Call_Table_Data[[#This Row],[Duration]]&lt;=30,"10 to 30 Mins",Call_Table_Data[[#This Row],[Duration]]&lt;=60,"30 to 60 Mins",Call_Table_Data[[#This Row],[Duration]]&lt;=120,"1 to 2 Hours",TRUE,"More Than 2 Hours")</f>
        <v>1 to 2 Hours</v>
      </c>
      <c r="K700" s="9">
        <f>ROUND(Call_Table_Data[[#This Row],[Satisfaction Rating]],0)</f>
        <v>4</v>
      </c>
    </row>
    <row r="701" spans="1:11" x14ac:dyDescent="0.3">
      <c r="A701" s="9" t="s">
        <v>738</v>
      </c>
      <c r="B701" s="9" t="s">
        <v>22</v>
      </c>
      <c r="C701" s="9">
        <v>51</v>
      </c>
      <c r="D701" s="10" t="s">
        <v>17</v>
      </c>
      <c r="E701" s="11">
        <v>45168</v>
      </c>
      <c r="F701" s="9">
        <v>111</v>
      </c>
      <c r="G701" s="9">
        <v>4.3</v>
      </c>
      <c r="H701" s="9">
        <f>IF(MONTH(Call_Table_Data[[#This Row],[Date of Call]])&lt;=3,YEAR(Call_Table_Data[[#This Row],[Date of Call]]),YEAR(Call_Table_Data[[#This Row],[Date of Call]])+1)</f>
        <v>2024</v>
      </c>
      <c r="I701" s="9" t="str">
        <f>TEXT(Call_Table_Data[[#This Row],[Date of Call]],"DDDD")</f>
        <v>Wednesday</v>
      </c>
      <c r="J701" s="9" t="str" cm="1">
        <f t="array" ref="J701">_xlfn.IFS(Call_Table_Data[[#This Row],[Duration]]&lt;=10,"Under 10 Mins",Call_Table_Data[[#This Row],[Duration]]&lt;=30,"10 to 30 Mins",Call_Table_Data[[#This Row],[Duration]]&lt;=60,"30 to 60 Mins",Call_Table_Data[[#This Row],[Duration]]&lt;=120,"1 to 2 Hours",TRUE,"More Than 2 Hours")</f>
        <v>30 to 60 Mins</v>
      </c>
      <c r="K701" s="9">
        <f>ROUND(Call_Table_Data[[#This Row],[Satisfaction Rating]],0)</f>
        <v>4</v>
      </c>
    </row>
    <row r="702" spans="1:11" x14ac:dyDescent="0.3">
      <c r="A702" s="9" t="s">
        <v>739</v>
      </c>
      <c r="B702" s="9" t="s">
        <v>22</v>
      </c>
      <c r="C702" s="9">
        <v>100</v>
      </c>
      <c r="D702" s="10" t="s">
        <v>27</v>
      </c>
      <c r="E702" s="11">
        <v>45169</v>
      </c>
      <c r="F702" s="9">
        <v>45</v>
      </c>
      <c r="G702" s="9">
        <v>4.9000000000000004</v>
      </c>
      <c r="H702" s="9">
        <f>IF(MONTH(Call_Table_Data[[#This Row],[Date of Call]])&lt;=3,YEAR(Call_Table_Data[[#This Row],[Date of Call]]),YEAR(Call_Table_Data[[#This Row],[Date of Call]])+1)</f>
        <v>2024</v>
      </c>
      <c r="I702" s="9" t="str">
        <f>TEXT(Call_Table_Data[[#This Row],[Date of Call]],"DDDD")</f>
        <v>Thursday</v>
      </c>
      <c r="J702" s="9" t="str" cm="1">
        <f t="array" ref="J702">_xlfn.IFS(Call_Table_Data[[#This Row],[Duration]]&lt;=10,"Under 10 Mins",Call_Table_Data[[#This Row],[Duration]]&lt;=30,"10 to 30 Mins",Call_Table_Data[[#This Row],[Duration]]&lt;=60,"30 to 60 Mins",Call_Table_Data[[#This Row],[Duration]]&lt;=120,"1 to 2 Hours",TRUE,"More Than 2 Hours")</f>
        <v>1 to 2 Hours</v>
      </c>
      <c r="K702" s="9">
        <f>ROUND(Call_Table_Data[[#This Row],[Satisfaction Rating]],0)</f>
        <v>5</v>
      </c>
    </row>
    <row r="703" spans="1:11" x14ac:dyDescent="0.3">
      <c r="A703" s="9" t="s">
        <v>740</v>
      </c>
      <c r="B703" s="9" t="s">
        <v>49</v>
      </c>
      <c r="C703" s="9">
        <v>124</v>
      </c>
      <c r="D703" s="10" t="s">
        <v>17</v>
      </c>
      <c r="E703" s="11">
        <v>45170</v>
      </c>
      <c r="F703" s="9">
        <v>132</v>
      </c>
      <c r="G703" s="9">
        <v>4</v>
      </c>
      <c r="H703" s="9">
        <f>IF(MONTH(Call_Table_Data[[#This Row],[Date of Call]])&lt;=3,YEAR(Call_Table_Data[[#This Row],[Date of Call]]),YEAR(Call_Table_Data[[#This Row],[Date of Call]])+1)</f>
        <v>2024</v>
      </c>
      <c r="I703" s="9" t="str">
        <f>TEXT(Call_Table_Data[[#This Row],[Date of Call]],"DDDD")</f>
        <v>Friday</v>
      </c>
      <c r="J703" s="9" t="str" cm="1">
        <f t="array" ref="J703">_xlfn.IFS(Call_Table_Data[[#This Row],[Duration]]&lt;=10,"Under 10 Mins",Call_Table_Data[[#This Row],[Duration]]&lt;=30,"10 to 30 Mins",Call_Table_Data[[#This Row],[Duration]]&lt;=60,"30 to 60 Mins",Call_Table_Data[[#This Row],[Duration]]&lt;=120,"1 to 2 Hours",TRUE,"More Than 2 Hours")</f>
        <v>More Than 2 Hours</v>
      </c>
      <c r="K703" s="9">
        <f>ROUND(Call_Table_Data[[#This Row],[Satisfaction Rating]],0)</f>
        <v>4</v>
      </c>
    </row>
    <row r="704" spans="1:11" x14ac:dyDescent="0.3">
      <c r="A704" s="9" t="s">
        <v>741</v>
      </c>
      <c r="B704" s="9" t="s">
        <v>16</v>
      </c>
      <c r="C704" s="9">
        <v>143</v>
      </c>
      <c r="D704" s="10" t="s">
        <v>46</v>
      </c>
      <c r="E704" s="11">
        <v>45170</v>
      </c>
      <c r="F704" s="9">
        <v>20</v>
      </c>
      <c r="G704" s="9">
        <v>4.7</v>
      </c>
      <c r="H704" s="9">
        <f>IF(MONTH(Call_Table_Data[[#This Row],[Date of Call]])&lt;=3,YEAR(Call_Table_Data[[#This Row],[Date of Call]]),YEAR(Call_Table_Data[[#This Row],[Date of Call]])+1)</f>
        <v>2024</v>
      </c>
      <c r="I704" s="9" t="str">
        <f>TEXT(Call_Table_Data[[#This Row],[Date of Call]],"DDDD")</f>
        <v>Friday</v>
      </c>
      <c r="J704" s="9" t="str" cm="1">
        <f t="array" ref="J704">_xlfn.IFS(Call_Table_Data[[#This Row],[Duration]]&lt;=10,"Under 10 Mins",Call_Table_Data[[#This Row],[Duration]]&lt;=30,"10 to 30 Mins",Call_Table_Data[[#This Row],[Duration]]&lt;=60,"30 to 60 Mins",Call_Table_Data[[#This Row],[Duration]]&lt;=120,"1 to 2 Hours",TRUE,"More Than 2 Hours")</f>
        <v>More Than 2 Hours</v>
      </c>
      <c r="K704" s="9">
        <f>ROUND(Call_Table_Data[[#This Row],[Satisfaction Rating]],0)</f>
        <v>5</v>
      </c>
    </row>
    <row r="705" spans="1:11" x14ac:dyDescent="0.3">
      <c r="A705" s="9" t="s">
        <v>742</v>
      </c>
      <c r="B705" s="9" t="s">
        <v>45</v>
      </c>
      <c r="C705" s="9">
        <v>96</v>
      </c>
      <c r="D705" s="10" t="s">
        <v>40</v>
      </c>
      <c r="E705" s="11">
        <v>45170</v>
      </c>
      <c r="F705" s="9">
        <v>36</v>
      </c>
      <c r="G705" s="9">
        <v>3.4</v>
      </c>
      <c r="H705" s="9">
        <f>IF(MONTH(Call_Table_Data[[#This Row],[Date of Call]])&lt;=3,YEAR(Call_Table_Data[[#This Row],[Date of Call]]),YEAR(Call_Table_Data[[#This Row],[Date of Call]])+1)</f>
        <v>2024</v>
      </c>
      <c r="I705" s="9" t="str">
        <f>TEXT(Call_Table_Data[[#This Row],[Date of Call]],"DDDD")</f>
        <v>Friday</v>
      </c>
      <c r="J705" s="9" t="str" cm="1">
        <f t="array" ref="J705">_xlfn.IFS(Call_Table_Data[[#This Row],[Duration]]&lt;=10,"Under 10 Mins",Call_Table_Data[[#This Row],[Duration]]&lt;=30,"10 to 30 Mins",Call_Table_Data[[#This Row],[Duration]]&lt;=60,"30 to 60 Mins",Call_Table_Data[[#This Row],[Duration]]&lt;=120,"1 to 2 Hours",TRUE,"More Than 2 Hours")</f>
        <v>1 to 2 Hours</v>
      </c>
      <c r="K705" s="9">
        <f>ROUND(Call_Table_Data[[#This Row],[Satisfaction Rating]],0)</f>
        <v>3</v>
      </c>
    </row>
    <row r="706" spans="1:11" x14ac:dyDescent="0.3">
      <c r="A706" s="9" t="s">
        <v>743</v>
      </c>
      <c r="B706" s="9" t="s">
        <v>18</v>
      </c>
      <c r="C706" s="9">
        <v>84</v>
      </c>
      <c r="D706" s="10" t="s">
        <v>27</v>
      </c>
      <c r="E706" s="11">
        <v>45172</v>
      </c>
      <c r="F706" s="9">
        <v>72</v>
      </c>
      <c r="G706" s="9">
        <v>4</v>
      </c>
      <c r="H706" s="9">
        <f>IF(MONTH(Call_Table_Data[[#This Row],[Date of Call]])&lt;=3,YEAR(Call_Table_Data[[#This Row],[Date of Call]]),YEAR(Call_Table_Data[[#This Row],[Date of Call]])+1)</f>
        <v>2024</v>
      </c>
      <c r="I706" s="9" t="str">
        <f>TEXT(Call_Table_Data[[#This Row],[Date of Call]],"DDDD")</f>
        <v>Sunday</v>
      </c>
      <c r="J706" s="9" t="str" cm="1">
        <f t="array" ref="J706">_xlfn.IFS(Call_Table_Data[[#This Row],[Duration]]&lt;=10,"Under 10 Mins",Call_Table_Data[[#This Row],[Duration]]&lt;=30,"10 to 30 Mins",Call_Table_Data[[#This Row],[Duration]]&lt;=60,"30 to 60 Mins",Call_Table_Data[[#This Row],[Duration]]&lt;=120,"1 to 2 Hours",TRUE,"More Than 2 Hours")</f>
        <v>1 to 2 Hours</v>
      </c>
      <c r="K706" s="9">
        <f>ROUND(Call_Table_Data[[#This Row],[Satisfaction Rating]],0)</f>
        <v>4</v>
      </c>
    </row>
    <row r="707" spans="1:11" x14ac:dyDescent="0.3">
      <c r="A707" s="9" t="s">
        <v>744</v>
      </c>
      <c r="B707" s="9" t="s">
        <v>43</v>
      </c>
      <c r="C707" s="9">
        <v>111</v>
      </c>
      <c r="D707" s="10" t="s">
        <v>27</v>
      </c>
      <c r="E707" s="11">
        <v>45172</v>
      </c>
      <c r="F707" s="9">
        <v>63</v>
      </c>
      <c r="G707" s="9">
        <v>4.5</v>
      </c>
      <c r="H707" s="9">
        <f>IF(MONTH(Call_Table_Data[[#This Row],[Date of Call]])&lt;=3,YEAR(Call_Table_Data[[#This Row],[Date of Call]]),YEAR(Call_Table_Data[[#This Row],[Date of Call]])+1)</f>
        <v>2024</v>
      </c>
      <c r="I707" s="9" t="str">
        <f>TEXT(Call_Table_Data[[#This Row],[Date of Call]],"DDDD")</f>
        <v>Sunday</v>
      </c>
      <c r="J707" s="9" t="str" cm="1">
        <f t="array" ref="J707">_xlfn.IFS(Call_Table_Data[[#This Row],[Duration]]&lt;=10,"Under 10 Mins",Call_Table_Data[[#This Row],[Duration]]&lt;=30,"10 to 30 Mins",Call_Table_Data[[#This Row],[Duration]]&lt;=60,"30 to 60 Mins",Call_Table_Data[[#This Row],[Duration]]&lt;=120,"1 to 2 Hours",TRUE,"More Than 2 Hours")</f>
        <v>1 to 2 Hours</v>
      </c>
      <c r="K707" s="9">
        <f>ROUND(Call_Table_Data[[#This Row],[Satisfaction Rating]],0)</f>
        <v>5</v>
      </c>
    </row>
    <row r="708" spans="1:11" x14ac:dyDescent="0.3">
      <c r="A708" s="9" t="s">
        <v>745</v>
      </c>
      <c r="B708" s="9" t="s">
        <v>43</v>
      </c>
      <c r="C708" s="9">
        <v>103</v>
      </c>
      <c r="D708" s="10" t="s">
        <v>17</v>
      </c>
      <c r="E708" s="11">
        <v>45173</v>
      </c>
      <c r="F708" s="9">
        <v>44</v>
      </c>
      <c r="G708" s="9">
        <v>4.5</v>
      </c>
      <c r="H708" s="9">
        <f>IF(MONTH(Call_Table_Data[[#This Row],[Date of Call]])&lt;=3,YEAR(Call_Table_Data[[#This Row],[Date of Call]]),YEAR(Call_Table_Data[[#This Row],[Date of Call]])+1)</f>
        <v>2024</v>
      </c>
      <c r="I708" s="9" t="str">
        <f>TEXT(Call_Table_Data[[#This Row],[Date of Call]],"DDDD")</f>
        <v>Monday</v>
      </c>
      <c r="J708" s="9" t="str" cm="1">
        <f t="array" ref="J708">_xlfn.IFS(Call_Table_Data[[#This Row],[Duration]]&lt;=10,"Under 10 Mins",Call_Table_Data[[#This Row],[Duration]]&lt;=30,"10 to 30 Mins",Call_Table_Data[[#This Row],[Duration]]&lt;=60,"30 to 60 Mins",Call_Table_Data[[#This Row],[Duration]]&lt;=120,"1 to 2 Hours",TRUE,"More Than 2 Hours")</f>
        <v>1 to 2 Hours</v>
      </c>
      <c r="K708" s="9">
        <f>ROUND(Call_Table_Data[[#This Row],[Satisfaction Rating]],0)</f>
        <v>5</v>
      </c>
    </row>
    <row r="709" spans="1:11" x14ac:dyDescent="0.3">
      <c r="A709" s="9" t="s">
        <v>746</v>
      </c>
      <c r="B709" s="9" t="s">
        <v>16</v>
      </c>
      <c r="C709" s="9">
        <v>61</v>
      </c>
      <c r="D709" s="10" t="s">
        <v>33</v>
      </c>
      <c r="E709" s="11">
        <v>45173</v>
      </c>
      <c r="F709" s="9">
        <v>132</v>
      </c>
      <c r="G709" s="9">
        <v>4.9000000000000004</v>
      </c>
      <c r="H709" s="9">
        <f>IF(MONTH(Call_Table_Data[[#This Row],[Date of Call]])&lt;=3,YEAR(Call_Table_Data[[#This Row],[Date of Call]]),YEAR(Call_Table_Data[[#This Row],[Date of Call]])+1)</f>
        <v>2024</v>
      </c>
      <c r="I709" s="9" t="str">
        <f>TEXT(Call_Table_Data[[#This Row],[Date of Call]],"DDDD")</f>
        <v>Monday</v>
      </c>
      <c r="J709" s="9" t="str" cm="1">
        <f t="array" ref="J709">_xlfn.IFS(Call_Table_Data[[#This Row],[Duration]]&lt;=10,"Under 10 Mins",Call_Table_Data[[#This Row],[Duration]]&lt;=30,"10 to 30 Mins",Call_Table_Data[[#This Row],[Duration]]&lt;=60,"30 to 60 Mins",Call_Table_Data[[#This Row],[Duration]]&lt;=120,"1 to 2 Hours",TRUE,"More Than 2 Hours")</f>
        <v>1 to 2 Hours</v>
      </c>
      <c r="K709" s="9">
        <f>ROUND(Call_Table_Data[[#This Row],[Satisfaction Rating]],0)</f>
        <v>5</v>
      </c>
    </row>
    <row r="710" spans="1:11" x14ac:dyDescent="0.3">
      <c r="A710" s="9" t="s">
        <v>747</v>
      </c>
      <c r="B710" s="9" t="s">
        <v>50</v>
      </c>
      <c r="C710" s="9">
        <v>113</v>
      </c>
      <c r="D710" s="10" t="s">
        <v>40</v>
      </c>
      <c r="E710" s="11">
        <v>45173</v>
      </c>
      <c r="F710" s="9">
        <v>46</v>
      </c>
      <c r="G710" s="9">
        <v>4.4000000000000004</v>
      </c>
      <c r="H710" s="9">
        <f>IF(MONTH(Call_Table_Data[[#This Row],[Date of Call]])&lt;=3,YEAR(Call_Table_Data[[#This Row],[Date of Call]]),YEAR(Call_Table_Data[[#This Row],[Date of Call]])+1)</f>
        <v>2024</v>
      </c>
      <c r="I710" s="9" t="str">
        <f>TEXT(Call_Table_Data[[#This Row],[Date of Call]],"DDDD")</f>
        <v>Monday</v>
      </c>
      <c r="J710" s="9" t="str" cm="1">
        <f t="array" ref="J710">_xlfn.IFS(Call_Table_Data[[#This Row],[Duration]]&lt;=10,"Under 10 Mins",Call_Table_Data[[#This Row],[Duration]]&lt;=30,"10 to 30 Mins",Call_Table_Data[[#This Row],[Duration]]&lt;=60,"30 to 60 Mins",Call_Table_Data[[#This Row],[Duration]]&lt;=120,"1 to 2 Hours",TRUE,"More Than 2 Hours")</f>
        <v>1 to 2 Hours</v>
      </c>
      <c r="K710" s="9">
        <f>ROUND(Call_Table_Data[[#This Row],[Satisfaction Rating]],0)</f>
        <v>4</v>
      </c>
    </row>
    <row r="711" spans="1:11" x14ac:dyDescent="0.3">
      <c r="A711" s="9" t="s">
        <v>748</v>
      </c>
      <c r="B711" s="9" t="s">
        <v>50</v>
      </c>
      <c r="C711" s="9">
        <v>96</v>
      </c>
      <c r="D711" s="10" t="s">
        <v>40</v>
      </c>
      <c r="E711" s="11">
        <v>45173</v>
      </c>
      <c r="F711" s="9">
        <v>96</v>
      </c>
      <c r="G711" s="9">
        <v>2.9</v>
      </c>
      <c r="H711" s="9">
        <f>IF(MONTH(Call_Table_Data[[#This Row],[Date of Call]])&lt;=3,YEAR(Call_Table_Data[[#This Row],[Date of Call]]),YEAR(Call_Table_Data[[#This Row],[Date of Call]])+1)</f>
        <v>2024</v>
      </c>
      <c r="I711" s="9" t="str">
        <f>TEXT(Call_Table_Data[[#This Row],[Date of Call]],"DDDD")</f>
        <v>Monday</v>
      </c>
      <c r="J711" s="9" t="str" cm="1">
        <f t="array" ref="J711">_xlfn.IFS(Call_Table_Data[[#This Row],[Duration]]&lt;=10,"Under 10 Mins",Call_Table_Data[[#This Row],[Duration]]&lt;=30,"10 to 30 Mins",Call_Table_Data[[#This Row],[Duration]]&lt;=60,"30 to 60 Mins",Call_Table_Data[[#This Row],[Duration]]&lt;=120,"1 to 2 Hours",TRUE,"More Than 2 Hours")</f>
        <v>1 to 2 Hours</v>
      </c>
      <c r="K711" s="9">
        <f>ROUND(Call_Table_Data[[#This Row],[Satisfaction Rating]],0)</f>
        <v>3</v>
      </c>
    </row>
    <row r="712" spans="1:11" x14ac:dyDescent="0.3">
      <c r="A712" s="9" t="s">
        <v>749</v>
      </c>
      <c r="B712" s="9" t="s">
        <v>23</v>
      </c>
      <c r="C712" s="9">
        <v>131</v>
      </c>
      <c r="D712" s="10" t="s">
        <v>17</v>
      </c>
      <c r="E712" s="11">
        <v>45174</v>
      </c>
      <c r="F712" s="9">
        <v>75</v>
      </c>
      <c r="G712" s="9">
        <v>4.4000000000000004</v>
      </c>
      <c r="H712" s="9">
        <f>IF(MONTH(Call_Table_Data[[#This Row],[Date of Call]])&lt;=3,YEAR(Call_Table_Data[[#This Row],[Date of Call]]),YEAR(Call_Table_Data[[#This Row],[Date of Call]])+1)</f>
        <v>2024</v>
      </c>
      <c r="I712" s="9" t="str">
        <f>TEXT(Call_Table_Data[[#This Row],[Date of Call]],"DDDD")</f>
        <v>Tuesday</v>
      </c>
      <c r="J712" s="9" t="str" cm="1">
        <f t="array" ref="J712">_xlfn.IFS(Call_Table_Data[[#This Row],[Duration]]&lt;=10,"Under 10 Mins",Call_Table_Data[[#This Row],[Duration]]&lt;=30,"10 to 30 Mins",Call_Table_Data[[#This Row],[Duration]]&lt;=60,"30 to 60 Mins",Call_Table_Data[[#This Row],[Duration]]&lt;=120,"1 to 2 Hours",TRUE,"More Than 2 Hours")</f>
        <v>More Than 2 Hours</v>
      </c>
      <c r="K712" s="9">
        <f>ROUND(Call_Table_Data[[#This Row],[Satisfaction Rating]],0)</f>
        <v>4</v>
      </c>
    </row>
    <row r="713" spans="1:11" x14ac:dyDescent="0.3">
      <c r="A713" s="9" t="s">
        <v>750</v>
      </c>
      <c r="B713" s="9" t="s">
        <v>37</v>
      </c>
      <c r="C713" s="9">
        <v>52</v>
      </c>
      <c r="D713" s="10" t="s">
        <v>40</v>
      </c>
      <c r="E713" s="11">
        <v>45175</v>
      </c>
      <c r="F713" s="9">
        <v>88</v>
      </c>
      <c r="G713" s="9">
        <v>4.3</v>
      </c>
      <c r="H713" s="9">
        <f>IF(MONTH(Call_Table_Data[[#This Row],[Date of Call]])&lt;=3,YEAR(Call_Table_Data[[#This Row],[Date of Call]]),YEAR(Call_Table_Data[[#This Row],[Date of Call]])+1)</f>
        <v>2024</v>
      </c>
      <c r="I713" s="9" t="str">
        <f>TEXT(Call_Table_Data[[#This Row],[Date of Call]],"DDDD")</f>
        <v>Wednesday</v>
      </c>
      <c r="J713" s="9" t="str" cm="1">
        <f t="array" ref="J713">_xlfn.IFS(Call_Table_Data[[#This Row],[Duration]]&lt;=10,"Under 10 Mins",Call_Table_Data[[#This Row],[Duration]]&lt;=30,"10 to 30 Mins",Call_Table_Data[[#This Row],[Duration]]&lt;=60,"30 to 60 Mins",Call_Table_Data[[#This Row],[Duration]]&lt;=120,"1 to 2 Hours",TRUE,"More Than 2 Hours")</f>
        <v>30 to 60 Mins</v>
      </c>
      <c r="K713" s="9">
        <f>ROUND(Call_Table_Data[[#This Row],[Satisfaction Rating]],0)</f>
        <v>4</v>
      </c>
    </row>
    <row r="714" spans="1:11" x14ac:dyDescent="0.3">
      <c r="A714" s="9" t="s">
        <v>751</v>
      </c>
      <c r="B714" s="9" t="s">
        <v>22</v>
      </c>
      <c r="C714" s="9">
        <v>100</v>
      </c>
      <c r="D714" s="10" t="s">
        <v>17</v>
      </c>
      <c r="E714" s="11">
        <v>45175</v>
      </c>
      <c r="F714" s="9">
        <v>24</v>
      </c>
      <c r="G714" s="9">
        <v>4.7</v>
      </c>
      <c r="H714" s="9">
        <f>IF(MONTH(Call_Table_Data[[#This Row],[Date of Call]])&lt;=3,YEAR(Call_Table_Data[[#This Row],[Date of Call]]),YEAR(Call_Table_Data[[#This Row],[Date of Call]])+1)</f>
        <v>2024</v>
      </c>
      <c r="I714" s="9" t="str">
        <f>TEXT(Call_Table_Data[[#This Row],[Date of Call]],"DDDD")</f>
        <v>Wednesday</v>
      </c>
      <c r="J714" s="9" t="str" cm="1">
        <f t="array" ref="J714">_xlfn.IFS(Call_Table_Data[[#This Row],[Duration]]&lt;=10,"Under 10 Mins",Call_Table_Data[[#This Row],[Duration]]&lt;=30,"10 to 30 Mins",Call_Table_Data[[#This Row],[Duration]]&lt;=60,"30 to 60 Mins",Call_Table_Data[[#This Row],[Duration]]&lt;=120,"1 to 2 Hours",TRUE,"More Than 2 Hours")</f>
        <v>1 to 2 Hours</v>
      </c>
      <c r="K714" s="9">
        <f>ROUND(Call_Table_Data[[#This Row],[Satisfaction Rating]],0)</f>
        <v>5</v>
      </c>
    </row>
    <row r="715" spans="1:11" x14ac:dyDescent="0.3">
      <c r="A715" s="9" t="s">
        <v>752</v>
      </c>
      <c r="B715" s="9" t="s">
        <v>30</v>
      </c>
      <c r="C715" s="9">
        <v>58</v>
      </c>
      <c r="D715" s="10" t="s">
        <v>46</v>
      </c>
      <c r="E715" s="11">
        <v>45175</v>
      </c>
      <c r="F715" s="9">
        <v>96</v>
      </c>
      <c r="G715" s="9">
        <v>3.2</v>
      </c>
      <c r="H715" s="9">
        <f>IF(MONTH(Call_Table_Data[[#This Row],[Date of Call]])&lt;=3,YEAR(Call_Table_Data[[#This Row],[Date of Call]]),YEAR(Call_Table_Data[[#This Row],[Date of Call]])+1)</f>
        <v>2024</v>
      </c>
      <c r="I715" s="9" t="str">
        <f>TEXT(Call_Table_Data[[#This Row],[Date of Call]],"DDDD")</f>
        <v>Wednesday</v>
      </c>
      <c r="J715" s="9" t="str" cm="1">
        <f t="array" ref="J715">_xlfn.IFS(Call_Table_Data[[#This Row],[Duration]]&lt;=10,"Under 10 Mins",Call_Table_Data[[#This Row],[Duration]]&lt;=30,"10 to 30 Mins",Call_Table_Data[[#This Row],[Duration]]&lt;=60,"30 to 60 Mins",Call_Table_Data[[#This Row],[Duration]]&lt;=120,"1 to 2 Hours",TRUE,"More Than 2 Hours")</f>
        <v>30 to 60 Mins</v>
      </c>
      <c r="K715" s="9">
        <f>ROUND(Call_Table_Data[[#This Row],[Satisfaction Rating]],0)</f>
        <v>3</v>
      </c>
    </row>
    <row r="716" spans="1:11" x14ac:dyDescent="0.3">
      <c r="A716" s="9" t="s">
        <v>753</v>
      </c>
      <c r="B716" s="9" t="s">
        <v>32</v>
      </c>
      <c r="C716" s="9">
        <v>144</v>
      </c>
      <c r="D716" s="10" t="s">
        <v>46</v>
      </c>
      <c r="E716" s="11">
        <v>45176</v>
      </c>
      <c r="F716" s="9">
        <v>124</v>
      </c>
      <c r="G716" s="9">
        <v>2.2999999999999998</v>
      </c>
      <c r="H716" s="9">
        <f>IF(MONTH(Call_Table_Data[[#This Row],[Date of Call]])&lt;=3,YEAR(Call_Table_Data[[#This Row],[Date of Call]]),YEAR(Call_Table_Data[[#This Row],[Date of Call]])+1)</f>
        <v>2024</v>
      </c>
      <c r="I716" s="9" t="str">
        <f>TEXT(Call_Table_Data[[#This Row],[Date of Call]],"DDDD")</f>
        <v>Thursday</v>
      </c>
      <c r="J716" s="9" t="str" cm="1">
        <f t="array" ref="J716">_xlfn.IFS(Call_Table_Data[[#This Row],[Duration]]&lt;=10,"Under 10 Mins",Call_Table_Data[[#This Row],[Duration]]&lt;=30,"10 to 30 Mins",Call_Table_Data[[#This Row],[Duration]]&lt;=60,"30 to 60 Mins",Call_Table_Data[[#This Row],[Duration]]&lt;=120,"1 to 2 Hours",TRUE,"More Than 2 Hours")</f>
        <v>More Than 2 Hours</v>
      </c>
      <c r="K716" s="9">
        <f>ROUND(Call_Table_Data[[#This Row],[Satisfaction Rating]],0)</f>
        <v>2</v>
      </c>
    </row>
    <row r="717" spans="1:11" x14ac:dyDescent="0.3">
      <c r="A717" s="9" t="s">
        <v>754</v>
      </c>
      <c r="B717" s="9" t="s">
        <v>30</v>
      </c>
      <c r="C717" s="9">
        <v>53</v>
      </c>
      <c r="D717" s="10" t="s">
        <v>33</v>
      </c>
      <c r="E717" s="11">
        <v>45177</v>
      </c>
      <c r="F717" s="9">
        <v>130</v>
      </c>
      <c r="G717" s="9">
        <v>3.6</v>
      </c>
      <c r="H717" s="9">
        <f>IF(MONTH(Call_Table_Data[[#This Row],[Date of Call]])&lt;=3,YEAR(Call_Table_Data[[#This Row],[Date of Call]]),YEAR(Call_Table_Data[[#This Row],[Date of Call]])+1)</f>
        <v>2024</v>
      </c>
      <c r="I717" s="9" t="str">
        <f>TEXT(Call_Table_Data[[#This Row],[Date of Call]],"DDDD")</f>
        <v>Friday</v>
      </c>
      <c r="J717" s="9" t="str" cm="1">
        <f t="array" ref="J717">_xlfn.IFS(Call_Table_Data[[#This Row],[Duration]]&lt;=10,"Under 10 Mins",Call_Table_Data[[#This Row],[Duration]]&lt;=30,"10 to 30 Mins",Call_Table_Data[[#This Row],[Duration]]&lt;=60,"30 to 60 Mins",Call_Table_Data[[#This Row],[Duration]]&lt;=120,"1 to 2 Hours",TRUE,"More Than 2 Hours")</f>
        <v>30 to 60 Mins</v>
      </c>
      <c r="K717" s="9">
        <f>ROUND(Call_Table_Data[[#This Row],[Satisfaction Rating]],0)</f>
        <v>4</v>
      </c>
    </row>
    <row r="718" spans="1:11" x14ac:dyDescent="0.3">
      <c r="A718" s="9" t="s">
        <v>755</v>
      </c>
      <c r="B718" s="9" t="s">
        <v>50</v>
      </c>
      <c r="C718" s="9">
        <v>97</v>
      </c>
      <c r="D718" s="10" t="s">
        <v>27</v>
      </c>
      <c r="E718" s="11">
        <v>45177</v>
      </c>
      <c r="F718" s="9">
        <v>45</v>
      </c>
      <c r="G718" s="9">
        <v>4.5999999999999996</v>
      </c>
      <c r="H718" s="9">
        <f>IF(MONTH(Call_Table_Data[[#This Row],[Date of Call]])&lt;=3,YEAR(Call_Table_Data[[#This Row],[Date of Call]]),YEAR(Call_Table_Data[[#This Row],[Date of Call]])+1)</f>
        <v>2024</v>
      </c>
      <c r="I718" s="9" t="str">
        <f>TEXT(Call_Table_Data[[#This Row],[Date of Call]],"DDDD")</f>
        <v>Friday</v>
      </c>
      <c r="J718" s="9" t="str" cm="1">
        <f t="array" ref="J718">_xlfn.IFS(Call_Table_Data[[#This Row],[Duration]]&lt;=10,"Under 10 Mins",Call_Table_Data[[#This Row],[Duration]]&lt;=30,"10 to 30 Mins",Call_Table_Data[[#This Row],[Duration]]&lt;=60,"30 to 60 Mins",Call_Table_Data[[#This Row],[Duration]]&lt;=120,"1 to 2 Hours",TRUE,"More Than 2 Hours")</f>
        <v>1 to 2 Hours</v>
      </c>
      <c r="K718" s="9">
        <f>ROUND(Call_Table_Data[[#This Row],[Satisfaction Rating]],0)</f>
        <v>5</v>
      </c>
    </row>
    <row r="719" spans="1:11" x14ac:dyDescent="0.3">
      <c r="A719" s="9" t="s">
        <v>756</v>
      </c>
      <c r="B719" s="9" t="s">
        <v>26</v>
      </c>
      <c r="C719" s="9">
        <v>64</v>
      </c>
      <c r="D719" s="10" t="s">
        <v>46</v>
      </c>
      <c r="E719" s="11">
        <v>45177</v>
      </c>
      <c r="F719" s="9">
        <v>66</v>
      </c>
      <c r="G719" s="9">
        <v>4</v>
      </c>
      <c r="H719" s="9">
        <f>IF(MONTH(Call_Table_Data[[#This Row],[Date of Call]])&lt;=3,YEAR(Call_Table_Data[[#This Row],[Date of Call]]),YEAR(Call_Table_Data[[#This Row],[Date of Call]])+1)</f>
        <v>2024</v>
      </c>
      <c r="I719" s="9" t="str">
        <f>TEXT(Call_Table_Data[[#This Row],[Date of Call]],"DDDD")</f>
        <v>Friday</v>
      </c>
      <c r="J719" s="9" t="str" cm="1">
        <f t="array" ref="J719">_xlfn.IFS(Call_Table_Data[[#This Row],[Duration]]&lt;=10,"Under 10 Mins",Call_Table_Data[[#This Row],[Duration]]&lt;=30,"10 to 30 Mins",Call_Table_Data[[#This Row],[Duration]]&lt;=60,"30 to 60 Mins",Call_Table_Data[[#This Row],[Duration]]&lt;=120,"1 to 2 Hours",TRUE,"More Than 2 Hours")</f>
        <v>1 to 2 Hours</v>
      </c>
      <c r="K719" s="9">
        <f>ROUND(Call_Table_Data[[#This Row],[Satisfaction Rating]],0)</f>
        <v>4</v>
      </c>
    </row>
    <row r="720" spans="1:11" x14ac:dyDescent="0.3">
      <c r="A720" s="9" t="s">
        <v>757</v>
      </c>
      <c r="B720" s="9" t="s">
        <v>16</v>
      </c>
      <c r="C720" s="9">
        <v>106</v>
      </c>
      <c r="D720" s="10" t="s">
        <v>17</v>
      </c>
      <c r="E720" s="11">
        <v>45177</v>
      </c>
      <c r="F720" s="9">
        <v>58</v>
      </c>
      <c r="G720" s="9">
        <v>4.7</v>
      </c>
      <c r="H720" s="9">
        <f>IF(MONTH(Call_Table_Data[[#This Row],[Date of Call]])&lt;=3,YEAR(Call_Table_Data[[#This Row],[Date of Call]]),YEAR(Call_Table_Data[[#This Row],[Date of Call]])+1)</f>
        <v>2024</v>
      </c>
      <c r="I720" s="9" t="str">
        <f>TEXT(Call_Table_Data[[#This Row],[Date of Call]],"DDDD")</f>
        <v>Friday</v>
      </c>
      <c r="J720" s="9" t="str" cm="1">
        <f t="array" ref="J720">_xlfn.IFS(Call_Table_Data[[#This Row],[Duration]]&lt;=10,"Under 10 Mins",Call_Table_Data[[#This Row],[Duration]]&lt;=30,"10 to 30 Mins",Call_Table_Data[[#This Row],[Duration]]&lt;=60,"30 to 60 Mins",Call_Table_Data[[#This Row],[Duration]]&lt;=120,"1 to 2 Hours",TRUE,"More Than 2 Hours")</f>
        <v>1 to 2 Hours</v>
      </c>
      <c r="K720" s="9">
        <f>ROUND(Call_Table_Data[[#This Row],[Satisfaction Rating]],0)</f>
        <v>5</v>
      </c>
    </row>
    <row r="721" spans="1:11" x14ac:dyDescent="0.3">
      <c r="A721" s="9" t="s">
        <v>758</v>
      </c>
      <c r="B721" s="9" t="s">
        <v>18</v>
      </c>
      <c r="C721" s="9">
        <v>36</v>
      </c>
      <c r="D721" s="10" t="s">
        <v>46</v>
      </c>
      <c r="E721" s="11">
        <v>45178</v>
      </c>
      <c r="F721" s="9">
        <v>152</v>
      </c>
      <c r="G721" s="9">
        <v>4.3</v>
      </c>
      <c r="H721" s="9">
        <f>IF(MONTH(Call_Table_Data[[#This Row],[Date of Call]])&lt;=3,YEAR(Call_Table_Data[[#This Row],[Date of Call]]),YEAR(Call_Table_Data[[#This Row],[Date of Call]])+1)</f>
        <v>2024</v>
      </c>
      <c r="I721" s="9" t="str">
        <f>TEXT(Call_Table_Data[[#This Row],[Date of Call]],"DDDD")</f>
        <v>Saturday</v>
      </c>
      <c r="J721" s="9" t="str" cm="1">
        <f t="array" ref="J721">_xlfn.IFS(Call_Table_Data[[#This Row],[Duration]]&lt;=10,"Under 10 Mins",Call_Table_Data[[#This Row],[Duration]]&lt;=30,"10 to 30 Mins",Call_Table_Data[[#This Row],[Duration]]&lt;=60,"30 to 60 Mins",Call_Table_Data[[#This Row],[Duration]]&lt;=120,"1 to 2 Hours",TRUE,"More Than 2 Hours")</f>
        <v>30 to 60 Mins</v>
      </c>
      <c r="K721" s="9">
        <f>ROUND(Call_Table_Data[[#This Row],[Satisfaction Rating]],0)</f>
        <v>4</v>
      </c>
    </row>
    <row r="722" spans="1:11" x14ac:dyDescent="0.3">
      <c r="A722" s="9" t="s">
        <v>759</v>
      </c>
      <c r="B722" s="9" t="s">
        <v>32</v>
      </c>
      <c r="C722" s="9">
        <v>74</v>
      </c>
      <c r="D722" s="10" t="s">
        <v>40</v>
      </c>
      <c r="E722" s="11">
        <v>45178</v>
      </c>
      <c r="F722" s="9">
        <v>75</v>
      </c>
      <c r="G722" s="9">
        <v>2.8</v>
      </c>
      <c r="H722" s="9">
        <f>IF(MONTH(Call_Table_Data[[#This Row],[Date of Call]])&lt;=3,YEAR(Call_Table_Data[[#This Row],[Date of Call]]),YEAR(Call_Table_Data[[#This Row],[Date of Call]])+1)</f>
        <v>2024</v>
      </c>
      <c r="I722" s="9" t="str">
        <f>TEXT(Call_Table_Data[[#This Row],[Date of Call]],"DDDD")</f>
        <v>Saturday</v>
      </c>
      <c r="J722" s="9" t="str" cm="1">
        <f t="array" ref="J722">_xlfn.IFS(Call_Table_Data[[#This Row],[Duration]]&lt;=10,"Under 10 Mins",Call_Table_Data[[#This Row],[Duration]]&lt;=30,"10 to 30 Mins",Call_Table_Data[[#This Row],[Duration]]&lt;=60,"30 to 60 Mins",Call_Table_Data[[#This Row],[Duration]]&lt;=120,"1 to 2 Hours",TRUE,"More Than 2 Hours")</f>
        <v>1 to 2 Hours</v>
      </c>
      <c r="K722" s="9">
        <f>ROUND(Call_Table_Data[[#This Row],[Satisfaction Rating]],0)</f>
        <v>3</v>
      </c>
    </row>
    <row r="723" spans="1:11" x14ac:dyDescent="0.3">
      <c r="A723" s="9" t="s">
        <v>760</v>
      </c>
      <c r="B723" s="9" t="s">
        <v>35</v>
      </c>
      <c r="C723" s="9">
        <v>143</v>
      </c>
      <c r="D723" s="10" t="s">
        <v>27</v>
      </c>
      <c r="E723" s="11">
        <v>45178</v>
      </c>
      <c r="F723" s="9">
        <v>78</v>
      </c>
      <c r="G723" s="9">
        <v>4</v>
      </c>
      <c r="H723" s="9">
        <f>IF(MONTH(Call_Table_Data[[#This Row],[Date of Call]])&lt;=3,YEAR(Call_Table_Data[[#This Row],[Date of Call]]),YEAR(Call_Table_Data[[#This Row],[Date of Call]])+1)</f>
        <v>2024</v>
      </c>
      <c r="I723" s="9" t="str">
        <f>TEXT(Call_Table_Data[[#This Row],[Date of Call]],"DDDD")</f>
        <v>Saturday</v>
      </c>
      <c r="J723" s="9" t="str" cm="1">
        <f t="array" ref="J723">_xlfn.IFS(Call_Table_Data[[#This Row],[Duration]]&lt;=10,"Under 10 Mins",Call_Table_Data[[#This Row],[Duration]]&lt;=30,"10 to 30 Mins",Call_Table_Data[[#This Row],[Duration]]&lt;=60,"30 to 60 Mins",Call_Table_Data[[#This Row],[Duration]]&lt;=120,"1 to 2 Hours",TRUE,"More Than 2 Hours")</f>
        <v>More Than 2 Hours</v>
      </c>
      <c r="K723" s="9">
        <f>ROUND(Call_Table_Data[[#This Row],[Satisfaction Rating]],0)</f>
        <v>4</v>
      </c>
    </row>
    <row r="724" spans="1:11" x14ac:dyDescent="0.3">
      <c r="A724" s="9" t="s">
        <v>761</v>
      </c>
      <c r="B724" s="9" t="s">
        <v>16</v>
      </c>
      <c r="C724" s="9">
        <v>94</v>
      </c>
      <c r="D724" s="10" t="s">
        <v>33</v>
      </c>
      <c r="E724" s="11">
        <v>45178</v>
      </c>
      <c r="F724" s="9">
        <v>69</v>
      </c>
      <c r="G724" s="9">
        <v>3.9</v>
      </c>
      <c r="H724" s="9">
        <f>IF(MONTH(Call_Table_Data[[#This Row],[Date of Call]])&lt;=3,YEAR(Call_Table_Data[[#This Row],[Date of Call]]),YEAR(Call_Table_Data[[#This Row],[Date of Call]])+1)</f>
        <v>2024</v>
      </c>
      <c r="I724" s="9" t="str">
        <f>TEXT(Call_Table_Data[[#This Row],[Date of Call]],"DDDD")</f>
        <v>Saturday</v>
      </c>
      <c r="J724" s="9" t="str" cm="1">
        <f t="array" ref="J724">_xlfn.IFS(Call_Table_Data[[#This Row],[Duration]]&lt;=10,"Under 10 Mins",Call_Table_Data[[#This Row],[Duration]]&lt;=30,"10 to 30 Mins",Call_Table_Data[[#This Row],[Duration]]&lt;=60,"30 to 60 Mins",Call_Table_Data[[#This Row],[Duration]]&lt;=120,"1 to 2 Hours",TRUE,"More Than 2 Hours")</f>
        <v>1 to 2 Hours</v>
      </c>
      <c r="K724" s="9">
        <f>ROUND(Call_Table_Data[[#This Row],[Satisfaction Rating]],0)</f>
        <v>4</v>
      </c>
    </row>
    <row r="725" spans="1:11" x14ac:dyDescent="0.3">
      <c r="A725" s="9" t="s">
        <v>762</v>
      </c>
      <c r="B725" s="9" t="s">
        <v>54</v>
      </c>
      <c r="C725" s="9">
        <v>124</v>
      </c>
      <c r="D725" s="10" t="s">
        <v>17</v>
      </c>
      <c r="E725" s="11">
        <v>45179</v>
      </c>
      <c r="F725" s="9">
        <v>46</v>
      </c>
      <c r="G725" s="9">
        <v>3.1</v>
      </c>
      <c r="H725" s="9">
        <f>IF(MONTH(Call_Table_Data[[#This Row],[Date of Call]])&lt;=3,YEAR(Call_Table_Data[[#This Row],[Date of Call]]),YEAR(Call_Table_Data[[#This Row],[Date of Call]])+1)</f>
        <v>2024</v>
      </c>
      <c r="I725" s="9" t="str">
        <f>TEXT(Call_Table_Data[[#This Row],[Date of Call]],"DDDD")</f>
        <v>Sunday</v>
      </c>
      <c r="J725" s="9" t="str" cm="1">
        <f t="array" ref="J725">_xlfn.IFS(Call_Table_Data[[#This Row],[Duration]]&lt;=10,"Under 10 Mins",Call_Table_Data[[#This Row],[Duration]]&lt;=30,"10 to 30 Mins",Call_Table_Data[[#This Row],[Duration]]&lt;=60,"30 to 60 Mins",Call_Table_Data[[#This Row],[Duration]]&lt;=120,"1 to 2 Hours",TRUE,"More Than 2 Hours")</f>
        <v>More Than 2 Hours</v>
      </c>
      <c r="K725" s="9">
        <f>ROUND(Call_Table_Data[[#This Row],[Satisfaction Rating]],0)</f>
        <v>3</v>
      </c>
    </row>
    <row r="726" spans="1:11" x14ac:dyDescent="0.3">
      <c r="A726" s="9" t="s">
        <v>763</v>
      </c>
      <c r="B726" s="9" t="s">
        <v>18</v>
      </c>
      <c r="C726" s="9">
        <v>156</v>
      </c>
      <c r="D726" s="10" t="s">
        <v>46</v>
      </c>
      <c r="E726" s="11">
        <v>45179</v>
      </c>
      <c r="F726" s="9">
        <v>64</v>
      </c>
      <c r="G726" s="9">
        <v>2.7</v>
      </c>
      <c r="H726" s="9">
        <f>IF(MONTH(Call_Table_Data[[#This Row],[Date of Call]])&lt;=3,YEAR(Call_Table_Data[[#This Row],[Date of Call]]),YEAR(Call_Table_Data[[#This Row],[Date of Call]])+1)</f>
        <v>2024</v>
      </c>
      <c r="I726" s="9" t="str">
        <f>TEXT(Call_Table_Data[[#This Row],[Date of Call]],"DDDD")</f>
        <v>Sunday</v>
      </c>
      <c r="J726" s="9" t="str" cm="1">
        <f t="array" ref="J726">_xlfn.IFS(Call_Table_Data[[#This Row],[Duration]]&lt;=10,"Under 10 Mins",Call_Table_Data[[#This Row],[Duration]]&lt;=30,"10 to 30 Mins",Call_Table_Data[[#This Row],[Duration]]&lt;=60,"30 to 60 Mins",Call_Table_Data[[#This Row],[Duration]]&lt;=120,"1 to 2 Hours",TRUE,"More Than 2 Hours")</f>
        <v>More Than 2 Hours</v>
      </c>
      <c r="K726" s="9">
        <f>ROUND(Call_Table_Data[[#This Row],[Satisfaction Rating]],0)</f>
        <v>3</v>
      </c>
    </row>
    <row r="727" spans="1:11" x14ac:dyDescent="0.3">
      <c r="A727" s="9" t="s">
        <v>764</v>
      </c>
      <c r="B727" s="9" t="s">
        <v>45</v>
      </c>
      <c r="C727" s="9">
        <v>107</v>
      </c>
      <c r="D727" s="10" t="s">
        <v>27</v>
      </c>
      <c r="E727" s="11">
        <v>45179</v>
      </c>
      <c r="F727" s="9">
        <v>38</v>
      </c>
      <c r="G727" s="9">
        <v>4.7</v>
      </c>
      <c r="H727" s="9">
        <f>IF(MONTH(Call_Table_Data[[#This Row],[Date of Call]])&lt;=3,YEAR(Call_Table_Data[[#This Row],[Date of Call]]),YEAR(Call_Table_Data[[#This Row],[Date of Call]])+1)</f>
        <v>2024</v>
      </c>
      <c r="I727" s="9" t="str">
        <f>TEXT(Call_Table_Data[[#This Row],[Date of Call]],"DDDD")</f>
        <v>Sunday</v>
      </c>
      <c r="J727" s="9" t="str" cm="1">
        <f t="array" ref="J727">_xlfn.IFS(Call_Table_Data[[#This Row],[Duration]]&lt;=10,"Under 10 Mins",Call_Table_Data[[#This Row],[Duration]]&lt;=30,"10 to 30 Mins",Call_Table_Data[[#This Row],[Duration]]&lt;=60,"30 to 60 Mins",Call_Table_Data[[#This Row],[Duration]]&lt;=120,"1 to 2 Hours",TRUE,"More Than 2 Hours")</f>
        <v>1 to 2 Hours</v>
      </c>
      <c r="K727" s="9">
        <f>ROUND(Call_Table_Data[[#This Row],[Satisfaction Rating]],0)</f>
        <v>5</v>
      </c>
    </row>
    <row r="728" spans="1:11" x14ac:dyDescent="0.3">
      <c r="A728" s="9" t="s">
        <v>765</v>
      </c>
      <c r="B728" s="9" t="s">
        <v>16</v>
      </c>
      <c r="C728" s="9">
        <v>58</v>
      </c>
      <c r="D728" s="10" t="s">
        <v>27</v>
      </c>
      <c r="E728" s="11">
        <v>45181</v>
      </c>
      <c r="F728" s="9">
        <v>90</v>
      </c>
      <c r="G728" s="9">
        <v>4.3</v>
      </c>
      <c r="H728" s="9">
        <f>IF(MONTH(Call_Table_Data[[#This Row],[Date of Call]])&lt;=3,YEAR(Call_Table_Data[[#This Row],[Date of Call]]),YEAR(Call_Table_Data[[#This Row],[Date of Call]])+1)</f>
        <v>2024</v>
      </c>
      <c r="I728" s="9" t="str">
        <f>TEXT(Call_Table_Data[[#This Row],[Date of Call]],"DDDD")</f>
        <v>Tuesday</v>
      </c>
      <c r="J728" s="9" t="str" cm="1">
        <f t="array" ref="J728">_xlfn.IFS(Call_Table_Data[[#This Row],[Duration]]&lt;=10,"Under 10 Mins",Call_Table_Data[[#This Row],[Duration]]&lt;=30,"10 to 30 Mins",Call_Table_Data[[#This Row],[Duration]]&lt;=60,"30 to 60 Mins",Call_Table_Data[[#This Row],[Duration]]&lt;=120,"1 to 2 Hours",TRUE,"More Than 2 Hours")</f>
        <v>30 to 60 Mins</v>
      </c>
      <c r="K728" s="9">
        <f>ROUND(Call_Table_Data[[#This Row],[Satisfaction Rating]],0)</f>
        <v>4</v>
      </c>
    </row>
    <row r="729" spans="1:11" x14ac:dyDescent="0.3">
      <c r="A729" s="9" t="s">
        <v>766</v>
      </c>
      <c r="B729" s="9" t="s">
        <v>49</v>
      </c>
      <c r="C729" s="9">
        <v>66</v>
      </c>
      <c r="D729" s="10" t="s">
        <v>27</v>
      </c>
      <c r="E729" s="11">
        <v>45181</v>
      </c>
      <c r="F729" s="9">
        <v>32</v>
      </c>
      <c r="G729" s="9">
        <v>3.8</v>
      </c>
      <c r="H729" s="9">
        <f>IF(MONTH(Call_Table_Data[[#This Row],[Date of Call]])&lt;=3,YEAR(Call_Table_Data[[#This Row],[Date of Call]]),YEAR(Call_Table_Data[[#This Row],[Date of Call]])+1)</f>
        <v>2024</v>
      </c>
      <c r="I729" s="9" t="str">
        <f>TEXT(Call_Table_Data[[#This Row],[Date of Call]],"DDDD")</f>
        <v>Tuesday</v>
      </c>
      <c r="J729" s="9" t="str" cm="1">
        <f t="array" ref="J729">_xlfn.IFS(Call_Table_Data[[#This Row],[Duration]]&lt;=10,"Under 10 Mins",Call_Table_Data[[#This Row],[Duration]]&lt;=30,"10 to 30 Mins",Call_Table_Data[[#This Row],[Duration]]&lt;=60,"30 to 60 Mins",Call_Table_Data[[#This Row],[Duration]]&lt;=120,"1 to 2 Hours",TRUE,"More Than 2 Hours")</f>
        <v>1 to 2 Hours</v>
      </c>
      <c r="K729" s="9">
        <f>ROUND(Call_Table_Data[[#This Row],[Satisfaction Rating]],0)</f>
        <v>4</v>
      </c>
    </row>
    <row r="730" spans="1:11" x14ac:dyDescent="0.3">
      <c r="A730" s="9" t="s">
        <v>767</v>
      </c>
      <c r="B730" s="9" t="s">
        <v>23</v>
      </c>
      <c r="C730" s="9">
        <v>75</v>
      </c>
      <c r="D730" s="10" t="s">
        <v>46</v>
      </c>
      <c r="E730" s="11">
        <v>45181</v>
      </c>
      <c r="F730" s="9">
        <v>120</v>
      </c>
      <c r="G730" s="9">
        <v>4.4000000000000004</v>
      </c>
      <c r="H730" s="9">
        <f>IF(MONTH(Call_Table_Data[[#This Row],[Date of Call]])&lt;=3,YEAR(Call_Table_Data[[#This Row],[Date of Call]]),YEAR(Call_Table_Data[[#This Row],[Date of Call]])+1)</f>
        <v>2024</v>
      </c>
      <c r="I730" s="9" t="str">
        <f>TEXT(Call_Table_Data[[#This Row],[Date of Call]],"DDDD")</f>
        <v>Tuesday</v>
      </c>
      <c r="J730" s="9" t="str" cm="1">
        <f t="array" ref="J730">_xlfn.IFS(Call_Table_Data[[#This Row],[Duration]]&lt;=10,"Under 10 Mins",Call_Table_Data[[#This Row],[Duration]]&lt;=30,"10 to 30 Mins",Call_Table_Data[[#This Row],[Duration]]&lt;=60,"30 to 60 Mins",Call_Table_Data[[#This Row],[Duration]]&lt;=120,"1 to 2 Hours",TRUE,"More Than 2 Hours")</f>
        <v>1 to 2 Hours</v>
      </c>
      <c r="K730" s="9">
        <f>ROUND(Call_Table_Data[[#This Row],[Satisfaction Rating]],0)</f>
        <v>4</v>
      </c>
    </row>
    <row r="731" spans="1:11" x14ac:dyDescent="0.3">
      <c r="A731" s="9" t="s">
        <v>768</v>
      </c>
      <c r="B731" s="9" t="s">
        <v>45</v>
      </c>
      <c r="C731" s="9">
        <v>8</v>
      </c>
      <c r="D731" s="10" t="s">
        <v>27</v>
      </c>
      <c r="E731" s="11">
        <v>45181</v>
      </c>
      <c r="F731" s="9">
        <v>31</v>
      </c>
      <c r="G731" s="9">
        <v>3.9</v>
      </c>
      <c r="H731" s="9">
        <f>IF(MONTH(Call_Table_Data[[#This Row],[Date of Call]])&lt;=3,YEAR(Call_Table_Data[[#This Row],[Date of Call]]),YEAR(Call_Table_Data[[#This Row],[Date of Call]])+1)</f>
        <v>2024</v>
      </c>
      <c r="I731" s="9" t="str">
        <f>TEXT(Call_Table_Data[[#This Row],[Date of Call]],"DDDD")</f>
        <v>Tuesday</v>
      </c>
      <c r="J731" s="9" t="str" cm="1">
        <f t="array" ref="J731">_xlfn.IFS(Call_Table_Data[[#This Row],[Duration]]&lt;=10,"Under 10 Mins",Call_Table_Data[[#This Row],[Duration]]&lt;=30,"10 to 30 Mins",Call_Table_Data[[#This Row],[Duration]]&lt;=60,"30 to 60 Mins",Call_Table_Data[[#This Row],[Duration]]&lt;=120,"1 to 2 Hours",TRUE,"More Than 2 Hours")</f>
        <v>Under 10 Mins</v>
      </c>
      <c r="K731" s="9">
        <f>ROUND(Call_Table_Data[[#This Row],[Satisfaction Rating]],0)</f>
        <v>4</v>
      </c>
    </row>
    <row r="732" spans="1:11" x14ac:dyDescent="0.3">
      <c r="A732" s="9" t="s">
        <v>769</v>
      </c>
      <c r="B732" s="9" t="s">
        <v>26</v>
      </c>
      <c r="C732" s="9">
        <v>76</v>
      </c>
      <c r="D732" s="10" t="s">
        <v>46</v>
      </c>
      <c r="E732" s="11">
        <v>45182</v>
      </c>
      <c r="F732" s="9">
        <v>108</v>
      </c>
      <c r="G732" s="9">
        <v>4.9000000000000004</v>
      </c>
      <c r="H732" s="9">
        <f>IF(MONTH(Call_Table_Data[[#This Row],[Date of Call]])&lt;=3,YEAR(Call_Table_Data[[#This Row],[Date of Call]]),YEAR(Call_Table_Data[[#This Row],[Date of Call]])+1)</f>
        <v>2024</v>
      </c>
      <c r="I732" s="9" t="str">
        <f>TEXT(Call_Table_Data[[#This Row],[Date of Call]],"DDDD")</f>
        <v>Wednesday</v>
      </c>
      <c r="J732" s="9" t="str" cm="1">
        <f t="array" ref="J732">_xlfn.IFS(Call_Table_Data[[#This Row],[Duration]]&lt;=10,"Under 10 Mins",Call_Table_Data[[#This Row],[Duration]]&lt;=30,"10 to 30 Mins",Call_Table_Data[[#This Row],[Duration]]&lt;=60,"30 to 60 Mins",Call_Table_Data[[#This Row],[Duration]]&lt;=120,"1 to 2 Hours",TRUE,"More Than 2 Hours")</f>
        <v>1 to 2 Hours</v>
      </c>
      <c r="K732" s="9">
        <f>ROUND(Call_Table_Data[[#This Row],[Satisfaction Rating]],0)</f>
        <v>5</v>
      </c>
    </row>
    <row r="733" spans="1:11" x14ac:dyDescent="0.3">
      <c r="A733" s="9" t="s">
        <v>770</v>
      </c>
      <c r="B733" s="9" t="s">
        <v>16</v>
      </c>
      <c r="C733" s="9">
        <v>110</v>
      </c>
      <c r="D733" s="10" t="s">
        <v>46</v>
      </c>
      <c r="E733" s="11">
        <v>45182</v>
      </c>
      <c r="F733" s="9">
        <v>180</v>
      </c>
      <c r="G733" s="9">
        <v>4.2</v>
      </c>
      <c r="H733" s="9">
        <f>IF(MONTH(Call_Table_Data[[#This Row],[Date of Call]])&lt;=3,YEAR(Call_Table_Data[[#This Row],[Date of Call]]),YEAR(Call_Table_Data[[#This Row],[Date of Call]])+1)</f>
        <v>2024</v>
      </c>
      <c r="I733" s="9" t="str">
        <f>TEXT(Call_Table_Data[[#This Row],[Date of Call]],"DDDD")</f>
        <v>Wednesday</v>
      </c>
      <c r="J733" s="9" t="str" cm="1">
        <f t="array" ref="J733">_xlfn.IFS(Call_Table_Data[[#This Row],[Duration]]&lt;=10,"Under 10 Mins",Call_Table_Data[[#This Row],[Duration]]&lt;=30,"10 to 30 Mins",Call_Table_Data[[#This Row],[Duration]]&lt;=60,"30 to 60 Mins",Call_Table_Data[[#This Row],[Duration]]&lt;=120,"1 to 2 Hours",TRUE,"More Than 2 Hours")</f>
        <v>1 to 2 Hours</v>
      </c>
      <c r="K733" s="9">
        <f>ROUND(Call_Table_Data[[#This Row],[Satisfaction Rating]],0)</f>
        <v>4</v>
      </c>
    </row>
    <row r="734" spans="1:11" x14ac:dyDescent="0.3">
      <c r="A734" s="9" t="s">
        <v>771</v>
      </c>
      <c r="B734" s="9" t="s">
        <v>49</v>
      </c>
      <c r="C734" s="9">
        <v>50</v>
      </c>
      <c r="D734" s="10" t="s">
        <v>33</v>
      </c>
      <c r="E734" s="11">
        <v>45183</v>
      </c>
      <c r="F734" s="9">
        <v>124</v>
      </c>
      <c r="G734" s="9">
        <v>4</v>
      </c>
      <c r="H734" s="9">
        <f>IF(MONTH(Call_Table_Data[[#This Row],[Date of Call]])&lt;=3,YEAR(Call_Table_Data[[#This Row],[Date of Call]]),YEAR(Call_Table_Data[[#This Row],[Date of Call]])+1)</f>
        <v>2024</v>
      </c>
      <c r="I734" s="9" t="str">
        <f>TEXT(Call_Table_Data[[#This Row],[Date of Call]],"DDDD")</f>
        <v>Thursday</v>
      </c>
      <c r="J734" s="9" t="str" cm="1">
        <f t="array" ref="J734">_xlfn.IFS(Call_Table_Data[[#This Row],[Duration]]&lt;=10,"Under 10 Mins",Call_Table_Data[[#This Row],[Duration]]&lt;=30,"10 to 30 Mins",Call_Table_Data[[#This Row],[Duration]]&lt;=60,"30 to 60 Mins",Call_Table_Data[[#This Row],[Duration]]&lt;=120,"1 to 2 Hours",TRUE,"More Than 2 Hours")</f>
        <v>30 to 60 Mins</v>
      </c>
      <c r="K734" s="9">
        <f>ROUND(Call_Table_Data[[#This Row],[Satisfaction Rating]],0)</f>
        <v>4</v>
      </c>
    </row>
    <row r="735" spans="1:11" x14ac:dyDescent="0.3">
      <c r="A735" s="9" t="s">
        <v>772</v>
      </c>
      <c r="B735" s="9" t="s">
        <v>37</v>
      </c>
      <c r="C735" s="9">
        <v>78</v>
      </c>
      <c r="D735" s="10" t="s">
        <v>33</v>
      </c>
      <c r="E735" s="11">
        <v>45183</v>
      </c>
      <c r="F735" s="9">
        <v>23</v>
      </c>
      <c r="G735" s="9">
        <v>4.2</v>
      </c>
      <c r="H735" s="9">
        <f>IF(MONTH(Call_Table_Data[[#This Row],[Date of Call]])&lt;=3,YEAR(Call_Table_Data[[#This Row],[Date of Call]]),YEAR(Call_Table_Data[[#This Row],[Date of Call]])+1)</f>
        <v>2024</v>
      </c>
      <c r="I735" s="9" t="str">
        <f>TEXT(Call_Table_Data[[#This Row],[Date of Call]],"DDDD")</f>
        <v>Thursday</v>
      </c>
      <c r="J735" s="9" t="str" cm="1">
        <f t="array" ref="J735">_xlfn.IFS(Call_Table_Data[[#This Row],[Duration]]&lt;=10,"Under 10 Mins",Call_Table_Data[[#This Row],[Duration]]&lt;=30,"10 to 30 Mins",Call_Table_Data[[#This Row],[Duration]]&lt;=60,"30 to 60 Mins",Call_Table_Data[[#This Row],[Duration]]&lt;=120,"1 to 2 Hours",TRUE,"More Than 2 Hours")</f>
        <v>1 to 2 Hours</v>
      </c>
      <c r="K735" s="9">
        <f>ROUND(Call_Table_Data[[#This Row],[Satisfaction Rating]],0)</f>
        <v>4</v>
      </c>
    </row>
    <row r="736" spans="1:11" x14ac:dyDescent="0.3">
      <c r="A736" s="9" t="s">
        <v>773</v>
      </c>
      <c r="B736" s="9" t="s">
        <v>50</v>
      </c>
      <c r="C736" s="9">
        <v>59</v>
      </c>
      <c r="D736" s="10" t="s">
        <v>17</v>
      </c>
      <c r="E736" s="11">
        <v>45184</v>
      </c>
      <c r="F736" s="9">
        <v>24</v>
      </c>
      <c r="G736" s="9">
        <v>4.8</v>
      </c>
      <c r="H736" s="9">
        <f>IF(MONTH(Call_Table_Data[[#This Row],[Date of Call]])&lt;=3,YEAR(Call_Table_Data[[#This Row],[Date of Call]]),YEAR(Call_Table_Data[[#This Row],[Date of Call]])+1)</f>
        <v>2024</v>
      </c>
      <c r="I736" s="9" t="str">
        <f>TEXT(Call_Table_Data[[#This Row],[Date of Call]],"DDDD")</f>
        <v>Friday</v>
      </c>
      <c r="J736" s="9" t="str" cm="1">
        <f t="array" ref="J736">_xlfn.IFS(Call_Table_Data[[#This Row],[Duration]]&lt;=10,"Under 10 Mins",Call_Table_Data[[#This Row],[Duration]]&lt;=30,"10 to 30 Mins",Call_Table_Data[[#This Row],[Duration]]&lt;=60,"30 to 60 Mins",Call_Table_Data[[#This Row],[Duration]]&lt;=120,"1 to 2 Hours",TRUE,"More Than 2 Hours")</f>
        <v>30 to 60 Mins</v>
      </c>
      <c r="K736" s="9">
        <f>ROUND(Call_Table_Data[[#This Row],[Satisfaction Rating]],0)</f>
        <v>5</v>
      </c>
    </row>
    <row r="737" spans="1:11" x14ac:dyDescent="0.3">
      <c r="A737" s="9" t="s">
        <v>774</v>
      </c>
      <c r="B737" s="9" t="s">
        <v>37</v>
      </c>
      <c r="C737" s="9">
        <v>126</v>
      </c>
      <c r="D737" s="10" t="s">
        <v>27</v>
      </c>
      <c r="E737" s="11">
        <v>45185</v>
      </c>
      <c r="F737" s="9">
        <v>52</v>
      </c>
      <c r="G737" s="9">
        <v>1.1000000000000001</v>
      </c>
      <c r="H737" s="9">
        <f>IF(MONTH(Call_Table_Data[[#This Row],[Date of Call]])&lt;=3,YEAR(Call_Table_Data[[#This Row],[Date of Call]]),YEAR(Call_Table_Data[[#This Row],[Date of Call]])+1)</f>
        <v>2024</v>
      </c>
      <c r="I737" s="9" t="str">
        <f>TEXT(Call_Table_Data[[#This Row],[Date of Call]],"DDDD")</f>
        <v>Saturday</v>
      </c>
      <c r="J737" s="9" t="str" cm="1">
        <f t="array" ref="J737">_xlfn.IFS(Call_Table_Data[[#This Row],[Duration]]&lt;=10,"Under 10 Mins",Call_Table_Data[[#This Row],[Duration]]&lt;=30,"10 to 30 Mins",Call_Table_Data[[#This Row],[Duration]]&lt;=60,"30 to 60 Mins",Call_Table_Data[[#This Row],[Duration]]&lt;=120,"1 to 2 Hours",TRUE,"More Than 2 Hours")</f>
        <v>More Than 2 Hours</v>
      </c>
      <c r="K737" s="9">
        <f>ROUND(Call_Table_Data[[#This Row],[Satisfaction Rating]],0)</f>
        <v>1</v>
      </c>
    </row>
    <row r="738" spans="1:11" x14ac:dyDescent="0.3">
      <c r="A738" s="9" t="s">
        <v>775</v>
      </c>
      <c r="B738" s="9" t="s">
        <v>26</v>
      </c>
      <c r="C738" s="9">
        <v>43</v>
      </c>
      <c r="D738" s="10" t="s">
        <v>17</v>
      </c>
      <c r="E738" s="11">
        <v>45186</v>
      </c>
      <c r="F738" s="9">
        <v>168</v>
      </c>
      <c r="G738" s="9">
        <v>4</v>
      </c>
      <c r="H738" s="9">
        <f>IF(MONTH(Call_Table_Data[[#This Row],[Date of Call]])&lt;=3,YEAR(Call_Table_Data[[#This Row],[Date of Call]]),YEAR(Call_Table_Data[[#This Row],[Date of Call]])+1)</f>
        <v>2024</v>
      </c>
      <c r="I738" s="9" t="str">
        <f>TEXT(Call_Table_Data[[#This Row],[Date of Call]],"DDDD")</f>
        <v>Sunday</v>
      </c>
      <c r="J738" s="9" t="str" cm="1">
        <f t="array" ref="J738">_xlfn.IFS(Call_Table_Data[[#This Row],[Duration]]&lt;=10,"Under 10 Mins",Call_Table_Data[[#This Row],[Duration]]&lt;=30,"10 to 30 Mins",Call_Table_Data[[#This Row],[Duration]]&lt;=60,"30 to 60 Mins",Call_Table_Data[[#This Row],[Duration]]&lt;=120,"1 to 2 Hours",TRUE,"More Than 2 Hours")</f>
        <v>30 to 60 Mins</v>
      </c>
      <c r="K738" s="9">
        <f>ROUND(Call_Table_Data[[#This Row],[Satisfaction Rating]],0)</f>
        <v>4</v>
      </c>
    </row>
    <row r="739" spans="1:11" x14ac:dyDescent="0.3">
      <c r="A739" s="9" t="s">
        <v>776</v>
      </c>
      <c r="B739" s="9" t="s">
        <v>18</v>
      </c>
      <c r="C739" s="9">
        <v>79</v>
      </c>
      <c r="D739" s="10" t="s">
        <v>46</v>
      </c>
      <c r="E739" s="11">
        <v>45188</v>
      </c>
      <c r="F739" s="9">
        <v>125</v>
      </c>
      <c r="G739" s="9">
        <v>4.8</v>
      </c>
      <c r="H739" s="9">
        <f>IF(MONTH(Call_Table_Data[[#This Row],[Date of Call]])&lt;=3,YEAR(Call_Table_Data[[#This Row],[Date of Call]]),YEAR(Call_Table_Data[[#This Row],[Date of Call]])+1)</f>
        <v>2024</v>
      </c>
      <c r="I739" s="9" t="str">
        <f>TEXT(Call_Table_Data[[#This Row],[Date of Call]],"DDDD")</f>
        <v>Tuesday</v>
      </c>
      <c r="J739" s="9" t="str" cm="1">
        <f t="array" ref="J739">_xlfn.IFS(Call_Table_Data[[#This Row],[Duration]]&lt;=10,"Under 10 Mins",Call_Table_Data[[#This Row],[Duration]]&lt;=30,"10 to 30 Mins",Call_Table_Data[[#This Row],[Duration]]&lt;=60,"30 to 60 Mins",Call_Table_Data[[#This Row],[Duration]]&lt;=120,"1 to 2 Hours",TRUE,"More Than 2 Hours")</f>
        <v>1 to 2 Hours</v>
      </c>
      <c r="K739" s="9">
        <f>ROUND(Call_Table_Data[[#This Row],[Satisfaction Rating]],0)</f>
        <v>5</v>
      </c>
    </row>
    <row r="740" spans="1:11" x14ac:dyDescent="0.3">
      <c r="A740" s="9" t="s">
        <v>777</v>
      </c>
      <c r="B740" s="9" t="s">
        <v>16</v>
      </c>
      <c r="C740" s="9">
        <v>71</v>
      </c>
      <c r="D740" s="10" t="s">
        <v>17</v>
      </c>
      <c r="E740" s="11">
        <v>45189</v>
      </c>
      <c r="F740" s="9">
        <v>50</v>
      </c>
      <c r="G740" s="9">
        <v>4.2</v>
      </c>
      <c r="H740" s="9">
        <f>IF(MONTH(Call_Table_Data[[#This Row],[Date of Call]])&lt;=3,YEAR(Call_Table_Data[[#This Row],[Date of Call]]),YEAR(Call_Table_Data[[#This Row],[Date of Call]])+1)</f>
        <v>2024</v>
      </c>
      <c r="I740" s="9" t="str">
        <f>TEXT(Call_Table_Data[[#This Row],[Date of Call]],"DDDD")</f>
        <v>Wednesday</v>
      </c>
      <c r="J740" s="9" t="str" cm="1">
        <f t="array" ref="J740">_xlfn.IFS(Call_Table_Data[[#This Row],[Duration]]&lt;=10,"Under 10 Mins",Call_Table_Data[[#This Row],[Duration]]&lt;=30,"10 to 30 Mins",Call_Table_Data[[#This Row],[Duration]]&lt;=60,"30 to 60 Mins",Call_Table_Data[[#This Row],[Duration]]&lt;=120,"1 to 2 Hours",TRUE,"More Than 2 Hours")</f>
        <v>1 to 2 Hours</v>
      </c>
      <c r="K740" s="9">
        <f>ROUND(Call_Table_Data[[#This Row],[Satisfaction Rating]],0)</f>
        <v>4</v>
      </c>
    </row>
    <row r="741" spans="1:11" x14ac:dyDescent="0.3">
      <c r="A741" s="9" t="s">
        <v>778</v>
      </c>
      <c r="B741" s="9" t="s">
        <v>43</v>
      </c>
      <c r="C741" s="9">
        <v>94</v>
      </c>
      <c r="D741" s="10" t="s">
        <v>27</v>
      </c>
      <c r="E741" s="11">
        <v>45190</v>
      </c>
      <c r="F741" s="9">
        <v>220</v>
      </c>
      <c r="G741" s="9">
        <v>4.5999999999999996</v>
      </c>
      <c r="H741" s="9">
        <f>IF(MONTH(Call_Table_Data[[#This Row],[Date of Call]])&lt;=3,YEAR(Call_Table_Data[[#This Row],[Date of Call]]),YEAR(Call_Table_Data[[#This Row],[Date of Call]])+1)</f>
        <v>2024</v>
      </c>
      <c r="I741" s="9" t="str">
        <f>TEXT(Call_Table_Data[[#This Row],[Date of Call]],"DDDD")</f>
        <v>Thursday</v>
      </c>
      <c r="J741" s="9" t="str" cm="1">
        <f t="array" ref="J741">_xlfn.IFS(Call_Table_Data[[#This Row],[Duration]]&lt;=10,"Under 10 Mins",Call_Table_Data[[#This Row],[Duration]]&lt;=30,"10 to 30 Mins",Call_Table_Data[[#This Row],[Duration]]&lt;=60,"30 to 60 Mins",Call_Table_Data[[#This Row],[Duration]]&lt;=120,"1 to 2 Hours",TRUE,"More Than 2 Hours")</f>
        <v>1 to 2 Hours</v>
      </c>
      <c r="K741" s="9">
        <f>ROUND(Call_Table_Data[[#This Row],[Satisfaction Rating]],0)</f>
        <v>5</v>
      </c>
    </row>
    <row r="742" spans="1:11" x14ac:dyDescent="0.3">
      <c r="A742" s="9" t="s">
        <v>779</v>
      </c>
      <c r="B742" s="9" t="s">
        <v>45</v>
      </c>
      <c r="C742" s="9">
        <v>108</v>
      </c>
      <c r="D742" s="10" t="s">
        <v>17</v>
      </c>
      <c r="E742" s="11">
        <v>45190</v>
      </c>
      <c r="F742" s="9">
        <v>180</v>
      </c>
      <c r="G742" s="9">
        <v>4</v>
      </c>
      <c r="H742" s="9">
        <f>IF(MONTH(Call_Table_Data[[#This Row],[Date of Call]])&lt;=3,YEAR(Call_Table_Data[[#This Row],[Date of Call]]),YEAR(Call_Table_Data[[#This Row],[Date of Call]])+1)</f>
        <v>2024</v>
      </c>
      <c r="I742" s="9" t="str">
        <f>TEXT(Call_Table_Data[[#This Row],[Date of Call]],"DDDD")</f>
        <v>Thursday</v>
      </c>
      <c r="J742" s="9" t="str" cm="1">
        <f t="array" ref="J742">_xlfn.IFS(Call_Table_Data[[#This Row],[Duration]]&lt;=10,"Under 10 Mins",Call_Table_Data[[#This Row],[Duration]]&lt;=30,"10 to 30 Mins",Call_Table_Data[[#This Row],[Duration]]&lt;=60,"30 to 60 Mins",Call_Table_Data[[#This Row],[Duration]]&lt;=120,"1 to 2 Hours",TRUE,"More Than 2 Hours")</f>
        <v>1 to 2 Hours</v>
      </c>
      <c r="K742" s="9">
        <f>ROUND(Call_Table_Data[[#This Row],[Satisfaction Rating]],0)</f>
        <v>4</v>
      </c>
    </row>
    <row r="743" spans="1:11" x14ac:dyDescent="0.3">
      <c r="A743" s="9" t="s">
        <v>780</v>
      </c>
      <c r="B743" s="9" t="s">
        <v>26</v>
      </c>
      <c r="C743" s="9">
        <v>76</v>
      </c>
      <c r="D743" s="10" t="s">
        <v>27</v>
      </c>
      <c r="E743" s="11">
        <v>45190</v>
      </c>
      <c r="F743" s="9">
        <v>110</v>
      </c>
      <c r="G743" s="9">
        <v>3.9</v>
      </c>
      <c r="H743" s="9">
        <f>IF(MONTH(Call_Table_Data[[#This Row],[Date of Call]])&lt;=3,YEAR(Call_Table_Data[[#This Row],[Date of Call]]),YEAR(Call_Table_Data[[#This Row],[Date of Call]])+1)</f>
        <v>2024</v>
      </c>
      <c r="I743" s="9" t="str">
        <f>TEXT(Call_Table_Data[[#This Row],[Date of Call]],"DDDD")</f>
        <v>Thursday</v>
      </c>
      <c r="J743" s="9" t="str" cm="1">
        <f t="array" ref="J743">_xlfn.IFS(Call_Table_Data[[#This Row],[Duration]]&lt;=10,"Under 10 Mins",Call_Table_Data[[#This Row],[Duration]]&lt;=30,"10 to 30 Mins",Call_Table_Data[[#This Row],[Duration]]&lt;=60,"30 to 60 Mins",Call_Table_Data[[#This Row],[Duration]]&lt;=120,"1 to 2 Hours",TRUE,"More Than 2 Hours")</f>
        <v>1 to 2 Hours</v>
      </c>
      <c r="K743" s="9">
        <f>ROUND(Call_Table_Data[[#This Row],[Satisfaction Rating]],0)</f>
        <v>4</v>
      </c>
    </row>
    <row r="744" spans="1:11" x14ac:dyDescent="0.3">
      <c r="A744" s="9" t="s">
        <v>781</v>
      </c>
      <c r="B744" s="9" t="s">
        <v>50</v>
      </c>
      <c r="C744" s="9">
        <v>136</v>
      </c>
      <c r="D744" s="10" t="s">
        <v>17</v>
      </c>
      <c r="E744" s="11">
        <v>45190</v>
      </c>
      <c r="F744" s="9">
        <v>36</v>
      </c>
      <c r="G744" s="9">
        <v>2.8</v>
      </c>
      <c r="H744" s="9">
        <f>IF(MONTH(Call_Table_Data[[#This Row],[Date of Call]])&lt;=3,YEAR(Call_Table_Data[[#This Row],[Date of Call]]),YEAR(Call_Table_Data[[#This Row],[Date of Call]])+1)</f>
        <v>2024</v>
      </c>
      <c r="I744" s="9" t="str">
        <f>TEXT(Call_Table_Data[[#This Row],[Date of Call]],"DDDD")</f>
        <v>Thursday</v>
      </c>
      <c r="J744" s="9" t="str" cm="1">
        <f t="array" ref="J744">_xlfn.IFS(Call_Table_Data[[#This Row],[Duration]]&lt;=10,"Under 10 Mins",Call_Table_Data[[#This Row],[Duration]]&lt;=30,"10 to 30 Mins",Call_Table_Data[[#This Row],[Duration]]&lt;=60,"30 to 60 Mins",Call_Table_Data[[#This Row],[Duration]]&lt;=120,"1 to 2 Hours",TRUE,"More Than 2 Hours")</f>
        <v>More Than 2 Hours</v>
      </c>
      <c r="K744" s="9">
        <f>ROUND(Call_Table_Data[[#This Row],[Satisfaction Rating]],0)</f>
        <v>3</v>
      </c>
    </row>
    <row r="745" spans="1:11" x14ac:dyDescent="0.3">
      <c r="A745" s="9" t="s">
        <v>782</v>
      </c>
      <c r="B745" s="9" t="s">
        <v>22</v>
      </c>
      <c r="C745" s="9">
        <v>129</v>
      </c>
      <c r="D745" s="10" t="s">
        <v>33</v>
      </c>
      <c r="E745" s="11">
        <v>45191</v>
      </c>
      <c r="F745" s="9">
        <v>93</v>
      </c>
      <c r="G745" s="9">
        <v>4.7</v>
      </c>
      <c r="H745" s="9">
        <f>IF(MONTH(Call_Table_Data[[#This Row],[Date of Call]])&lt;=3,YEAR(Call_Table_Data[[#This Row],[Date of Call]]),YEAR(Call_Table_Data[[#This Row],[Date of Call]])+1)</f>
        <v>2024</v>
      </c>
      <c r="I745" s="9" t="str">
        <f>TEXT(Call_Table_Data[[#This Row],[Date of Call]],"DDDD")</f>
        <v>Friday</v>
      </c>
      <c r="J745" s="9" t="str" cm="1">
        <f t="array" ref="J745">_xlfn.IFS(Call_Table_Data[[#This Row],[Duration]]&lt;=10,"Under 10 Mins",Call_Table_Data[[#This Row],[Duration]]&lt;=30,"10 to 30 Mins",Call_Table_Data[[#This Row],[Duration]]&lt;=60,"30 to 60 Mins",Call_Table_Data[[#This Row],[Duration]]&lt;=120,"1 to 2 Hours",TRUE,"More Than 2 Hours")</f>
        <v>More Than 2 Hours</v>
      </c>
      <c r="K745" s="9">
        <f>ROUND(Call_Table_Data[[#This Row],[Satisfaction Rating]],0)</f>
        <v>5</v>
      </c>
    </row>
    <row r="746" spans="1:11" x14ac:dyDescent="0.3">
      <c r="A746" s="9" t="s">
        <v>783</v>
      </c>
      <c r="B746" s="9" t="s">
        <v>45</v>
      </c>
      <c r="C746" s="9">
        <v>120</v>
      </c>
      <c r="D746" s="10" t="s">
        <v>17</v>
      </c>
      <c r="E746" s="11">
        <v>45191</v>
      </c>
      <c r="F746" s="9">
        <v>38</v>
      </c>
      <c r="G746" s="9">
        <v>4.2</v>
      </c>
      <c r="H746" s="9">
        <f>IF(MONTH(Call_Table_Data[[#This Row],[Date of Call]])&lt;=3,YEAR(Call_Table_Data[[#This Row],[Date of Call]]),YEAR(Call_Table_Data[[#This Row],[Date of Call]])+1)</f>
        <v>2024</v>
      </c>
      <c r="I746" s="9" t="str">
        <f>TEXT(Call_Table_Data[[#This Row],[Date of Call]],"DDDD")</f>
        <v>Friday</v>
      </c>
      <c r="J746" s="9" t="str" cm="1">
        <f t="array" ref="J746">_xlfn.IFS(Call_Table_Data[[#This Row],[Duration]]&lt;=10,"Under 10 Mins",Call_Table_Data[[#This Row],[Duration]]&lt;=30,"10 to 30 Mins",Call_Table_Data[[#This Row],[Duration]]&lt;=60,"30 to 60 Mins",Call_Table_Data[[#This Row],[Duration]]&lt;=120,"1 to 2 Hours",TRUE,"More Than 2 Hours")</f>
        <v>1 to 2 Hours</v>
      </c>
      <c r="K746" s="9">
        <f>ROUND(Call_Table_Data[[#This Row],[Satisfaction Rating]],0)</f>
        <v>4</v>
      </c>
    </row>
    <row r="747" spans="1:11" x14ac:dyDescent="0.3">
      <c r="A747" s="9" t="s">
        <v>784</v>
      </c>
      <c r="B747" s="9" t="s">
        <v>26</v>
      </c>
      <c r="C747" s="9">
        <v>108</v>
      </c>
      <c r="D747" s="10" t="s">
        <v>33</v>
      </c>
      <c r="E747" s="11">
        <v>45192</v>
      </c>
      <c r="F747" s="9">
        <v>66</v>
      </c>
      <c r="G747" s="9">
        <v>3.9</v>
      </c>
      <c r="H747" s="9">
        <f>IF(MONTH(Call_Table_Data[[#This Row],[Date of Call]])&lt;=3,YEAR(Call_Table_Data[[#This Row],[Date of Call]]),YEAR(Call_Table_Data[[#This Row],[Date of Call]])+1)</f>
        <v>2024</v>
      </c>
      <c r="I747" s="9" t="str">
        <f>TEXT(Call_Table_Data[[#This Row],[Date of Call]],"DDDD")</f>
        <v>Saturday</v>
      </c>
      <c r="J747" s="9" t="str" cm="1">
        <f t="array" ref="J747">_xlfn.IFS(Call_Table_Data[[#This Row],[Duration]]&lt;=10,"Under 10 Mins",Call_Table_Data[[#This Row],[Duration]]&lt;=30,"10 to 30 Mins",Call_Table_Data[[#This Row],[Duration]]&lt;=60,"30 to 60 Mins",Call_Table_Data[[#This Row],[Duration]]&lt;=120,"1 to 2 Hours",TRUE,"More Than 2 Hours")</f>
        <v>1 to 2 Hours</v>
      </c>
      <c r="K747" s="9">
        <f>ROUND(Call_Table_Data[[#This Row],[Satisfaction Rating]],0)</f>
        <v>4</v>
      </c>
    </row>
    <row r="748" spans="1:11" x14ac:dyDescent="0.3">
      <c r="A748" s="9" t="s">
        <v>785</v>
      </c>
      <c r="B748" s="9" t="s">
        <v>37</v>
      </c>
      <c r="C748" s="9">
        <v>79</v>
      </c>
      <c r="D748" s="10" t="s">
        <v>17</v>
      </c>
      <c r="E748" s="11">
        <v>45192</v>
      </c>
      <c r="F748" s="9">
        <v>215</v>
      </c>
      <c r="G748" s="9">
        <v>4.5999999999999996</v>
      </c>
      <c r="H748" s="9">
        <f>IF(MONTH(Call_Table_Data[[#This Row],[Date of Call]])&lt;=3,YEAR(Call_Table_Data[[#This Row],[Date of Call]]),YEAR(Call_Table_Data[[#This Row],[Date of Call]])+1)</f>
        <v>2024</v>
      </c>
      <c r="I748" s="9" t="str">
        <f>TEXT(Call_Table_Data[[#This Row],[Date of Call]],"DDDD")</f>
        <v>Saturday</v>
      </c>
      <c r="J748" s="9" t="str" cm="1">
        <f t="array" ref="J748">_xlfn.IFS(Call_Table_Data[[#This Row],[Duration]]&lt;=10,"Under 10 Mins",Call_Table_Data[[#This Row],[Duration]]&lt;=30,"10 to 30 Mins",Call_Table_Data[[#This Row],[Duration]]&lt;=60,"30 to 60 Mins",Call_Table_Data[[#This Row],[Duration]]&lt;=120,"1 to 2 Hours",TRUE,"More Than 2 Hours")</f>
        <v>1 to 2 Hours</v>
      </c>
      <c r="K748" s="9">
        <f>ROUND(Call_Table_Data[[#This Row],[Satisfaction Rating]],0)</f>
        <v>5</v>
      </c>
    </row>
    <row r="749" spans="1:11" x14ac:dyDescent="0.3">
      <c r="A749" s="9" t="s">
        <v>786</v>
      </c>
      <c r="B749" s="9" t="s">
        <v>37</v>
      </c>
      <c r="C749" s="9">
        <v>45</v>
      </c>
      <c r="D749" s="10" t="s">
        <v>33</v>
      </c>
      <c r="E749" s="11">
        <v>45192</v>
      </c>
      <c r="F749" s="9">
        <v>92</v>
      </c>
      <c r="G749" s="9">
        <v>4.3</v>
      </c>
      <c r="H749" s="9">
        <f>IF(MONTH(Call_Table_Data[[#This Row],[Date of Call]])&lt;=3,YEAR(Call_Table_Data[[#This Row],[Date of Call]]),YEAR(Call_Table_Data[[#This Row],[Date of Call]])+1)</f>
        <v>2024</v>
      </c>
      <c r="I749" s="9" t="str">
        <f>TEXT(Call_Table_Data[[#This Row],[Date of Call]],"DDDD")</f>
        <v>Saturday</v>
      </c>
      <c r="J749" s="9" t="str" cm="1">
        <f t="array" ref="J749">_xlfn.IFS(Call_Table_Data[[#This Row],[Duration]]&lt;=10,"Under 10 Mins",Call_Table_Data[[#This Row],[Duration]]&lt;=30,"10 to 30 Mins",Call_Table_Data[[#This Row],[Duration]]&lt;=60,"30 to 60 Mins",Call_Table_Data[[#This Row],[Duration]]&lt;=120,"1 to 2 Hours",TRUE,"More Than 2 Hours")</f>
        <v>30 to 60 Mins</v>
      </c>
      <c r="K749" s="9">
        <f>ROUND(Call_Table_Data[[#This Row],[Satisfaction Rating]],0)</f>
        <v>4</v>
      </c>
    </row>
    <row r="750" spans="1:11" x14ac:dyDescent="0.3">
      <c r="A750" s="9" t="s">
        <v>787</v>
      </c>
      <c r="B750" s="9" t="s">
        <v>32</v>
      </c>
      <c r="C750" s="9">
        <v>96</v>
      </c>
      <c r="D750" s="10" t="s">
        <v>17</v>
      </c>
      <c r="E750" s="11">
        <v>45192</v>
      </c>
      <c r="F750" s="9">
        <v>80</v>
      </c>
      <c r="G750" s="9">
        <v>3.6</v>
      </c>
      <c r="H750" s="9">
        <f>IF(MONTH(Call_Table_Data[[#This Row],[Date of Call]])&lt;=3,YEAR(Call_Table_Data[[#This Row],[Date of Call]]),YEAR(Call_Table_Data[[#This Row],[Date of Call]])+1)</f>
        <v>2024</v>
      </c>
      <c r="I750" s="9" t="str">
        <f>TEXT(Call_Table_Data[[#This Row],[Date of Call]],"DDDD")</f>
        <v>Saturday</v>
      </c>
      <c r="J750" s="9" t="str" cm="1">
        <f t="array" ref="J750">_xlfn.IFS(Call_Table_Data[[#This Row],[Duration]]&lt;=10,"Under 10 Mins",Call_Table_Data[[#This Row],[Duration]]&lt;=30,"10 to 30 Mins",Call_Table_Data[[#This Row],[Duration]]&lt;=60,"30 to 60 Mins",Call_Table_Data[[#This Row],[Duration]]&lt;=120,"1 to 2 Hours",TRUE,"More Than 2 Hours")</f>
        <v>1 to 2 Hours</v>
      </c>
      <c r="K750" s="9">
        <f>ROUND(Call_Table_Data[[#This Row],[Satisfaction Rating]],0)</f>
        <v>4</v>
      </c>
    </row>
    <row r="751" spans="1:11" x14ac:dyDescent="0.3">
      <c r="A751" s="9" t="s">
        <v>788</v>
      </c>
      <c r="B751" s="9" t="s">
        <v>32</v>
      </c>
      <c r="C751" s="9">
        <v>81</v>
      </c>
      <c r="D751" s="10" t="s">
        <v>17</v>
      </c>
      <c r="E751" s="11">
        <v>45193</v>
      </c>
      <c r="F751" s="9">
        <v>123</v>
      </c>
      <c r="G751" s="9">
        <v>4.9000000000000004</v>
      </c>
      <c r="H751" s="9">
        <f>IF(MONTH(Call_Table_Data[[#This Row],[Date of Call]])&lt;=3,YEAR(Call_Table_Data[[#This Row],[Date of Call]]),YEAR(Call_Table_Data[[#This Row],[Date of Call]])+1)</f>
        <v>2024</v>
      </c>
      <c r="I751" s="9" t="str">
        <f>TEXT(Call_Table_Data[[#This Row],[Date of Call]],"DDDD")</f>
        <v>Sunday</v>
      </c>
      <c r="J751" s="9" t="str" cm="1">
        <f t="array" ref="J751">_xlfn.IFS(Call_Table_Data[[#This Row],[Duration]]&lt;=10,"Under 10 Mins",Call_Table_Data[[#This Row],[Duration]]&lt;=30,"10 to 30 Mins",Call_Table_Data[[#This Row],[Duration]]&lt;=60,"30 to 60 Mins",Call_Table_Data[[#This Row],[Duration]]&lt;=120,"1 to 2 Hours",TRUE,"More Than 2 Hours")</f>
        <v>1 to 2 Hours</v>
      </c>
      <c r="K751" s="9">
        <f>ROUND(Call_Table_Data[[#This Row],[Satisfaction Rating]],0)</f>
        <v>5</v>
      </c>
    </row>
    <row r="752" spans="1:11" x14ac:dyDescent="0.3">
      <c r="A752" s="9" t="s">
        <v>789</v>
      </c>
      <c r="B752" s="9" t="s">
        <v>50</v>
      </c>
      <c r="C752" s="9">
        <v>95</v>
      </c>
      <c r="D752" s="10" t="s">
        <v>40</v>
      </c>
      <c r="E752" s="11">
        <v>45193</v>
      </c>
      <c r="F752" s="9">
        <v>23</v>
      </c>
      <c r="G752" s="9">
        <v>2.4</v>
      </c>
      <c r="H752" s="9">
        <f>IF(MONTH(Call_Table_Data[[#This Row],[Date of Call]])&lt;=3,YEAR(Call_Table_Data[[#This Row],[Date of Call]]),YEAR(Call_Table_Data[[#This Row],[Date of Call]])+1)</f>
        <v>2024</v>
      </c>
      <c r="I752" s="9" t="str">
        <f>TEXT(Call_Table_Data[[#This Row],[Date of Call]],"DDDD")</f>
        <v>Sunday</v>
      </c>
      <c r="J752" s="9" t="str" cm="1">
        <f t="array" ref="J752">_xlfn.IFS(Call_Table_Data[[#This Row],[Duration]]&lt;=10,"Under 10 Mins",Call_Table_Data[[#This Row],[Duration]]&lt;=30,"10 to 30 Mins",Call_Table_Data[[#This Row],[Duration]]&lt;=60,"30 to 60 Mins",Call_Table_Data[[#This Row],[Duration]]&lt;=120,"1 to 2 Hours",TRUE,"More Than 2 Hours")</f>
        <v>1 to 2 Hours</v>
      </c>
      <c r="K752" s="9">
        <f>ROUND(Call_Table_Data[[#This Row],[Satisfaction Rating]],0)</f>
        <v>2</v>
      </c>
    </row>
    <row r="753" spans="1:11" x14ac:dyDescent="0.3">
      <c r="A753" s="9" t="s">
        <v>790</v>
      </c>
      <c r="B753" s="9" t="s">
        <v>54</v>
      </c>
      <c r="C753" s="9">
        <v>159</v>
      </c>
      <c r="D753" s="10" t="s">
        <v>27</v>
      </c>
      <c r="E753" s="11">
        <v>45193</v>
      </c>
      <c r="F753" s="9">
        <v>63</v>
      </c>
      <c r="G753" s="9">
        <v>4.2</v>
      </c>
      <c r="H753" s="9">
        <f>IF(MONTH(Call_Table_Data[[#This Row],[Date of Call]])&lt;=3,YEAR(Call_Table_Data[[#This Row],[Date of Call]]),YEAR(Call_Table_Data[[#This Row],[Date of Call]])+1)</f>
        <v>2024</v>
      </c>
      <c r="I753" s="9" t="str">
        <f>TEXT(Call_Table_Data[[#This Row],[Date of Call]],"DDDD")</f>
        <v>Sunday</v>
      </c>
      <c r="J753" s="9" t="str" cm="1">
        <f t="array" ref="J753">_xlfn.IFS(Call_Table_Data[[#This Row],[Duration]]&lt;=10,"Under 10 Mins",Call_Table_Data[[#This Row],[Duration]]&lt;=30,"10 to 30 Mins",Call_Table_Data[[#This Row],[Duration]]&lt;=60,"30 to 60 Mins",Call_Table_Data[[#This Row],[Duration]]&lt;=120,"1 to 2 Hours",TRUE,"More Than 2 Hours")</f>
        <v>More Than 2 Hours</v>
      </c>
      <c r="K753" s="9">
        <f>ROUND(Call_Table_Data[[#This Row],[Satisfaction Rating]],0)</f>
        <v>4</v>
      </c>
    </row>
    <row r="754" spans="1:11" x14ac:dyDescent="0.3">
      <c r="A754" s="9" t="s">
        <v>791</v>
      </c>
      <c r="B754" s="9" t="s">
        <v>41</v>
      </c>
      <c r="C754" s="9">
        <v>109</v>
      </c>
      <c r="D754" s="10" t="s">
        <v>46</v>
      </c>
      <c r="E754" s="11">
        <v>45193</v>
      </c>
      <c r="F754" s="9">
        <v>52</v>
      </c>
      <c r="G754" s="9">
        <v>3.9</v>
      </c>
      <c r="H754" s="9">
        <f>IF(MONTH(Call_Table_Data[[#This Row],[Date of Call]])&lt;=3,YEAR(Call_Table_Data[[#This Row],[Date of Call]]),YEAR(Call_Table_Data[[#This Row],[Date of Call]])+1)</f>
        <v>2024</v>
      </c>
      <c r="I754" s="9" t="str">
        <f>TEXT(Call_Table_Data[[#This Row],[Date of Call]],"DDDD")</f>
        <v>Sunday</v>
      </c>
      <c r="J754" s="9" t="str" cm="1">
        <f t="array" ref="J754">_xlfn.IFS(Call_Table_Data[[#This Row],[Duration]]&lt;=10,"Under 10 Mins",Call_Table_Data[[#This Row],[Duration]]&lt;=30,"10 to 30 Mins",Call_Table_Data[[#This Row],[Duration]]&lt;=60,"30 to 60 Mins",Call_Table_Data[[#This Row],[Duration]]&lt;=120,"1 to 2 Hours",TRUE,"More Than 2 Hours")</f>
        <v>1 to 2 Hours</v>
      </c>
      <c r="K754" s="9">
        <f>ROUND(Call_Table_Data[[#This Row],[Satisfaction Rating]],0)</f>
        <v>4</v>
      </c>
    </row>
    <row r="755" spans="1:11" x14ac:dyDescent="0.3">
      <c r="A755" s="9" t="s">
        <v>792</v>
      </c>
      <c r="B755" s="9" t="s">
        <v>37</v>
      </c>
      <c r="C755" s="9">
        <v>107</v>
      </c>
      <c r="D755" s="10" t="s">
        <v>46</v>
      </c>
      <c r="E755" s="11">
        <v>45193</v>
      </c>
      <c r="F755" s="9">
        <v>60</v>
      </c>
      <c r="G755" s="9">
        <v>4.2</v>
      </c>
      <c r="H755" s="9">
        <f>IF(MONTH(Call_Table_Data[[#This Row],[Date of Call]])&lt;=3,YEAR(Call_Table_Data[[#This Row],[Date of Call]]),YEAR(Call_Table_Data[[#This Row],[Date of Call]])+1)</f>
        <v>2024</v>
      </c>
      <c r="I755" s="9" t="str">
        <f>TEXT(Call_Table_Data[[#This Row],[Date of Call]],"DDDD")</f>
        <v>Sunday</v>
      </c>
      <c r="J755" s="9" t="str" cm="1">
        <f t="array" ref="J755">_xlfn.IFS(Call_Table_Data[[#This Row],[Duration]]&lt;=10,"Under 10 Mins",Call_Table_Data[[#This Row],[Duration]]&lt;=30,"10 to 30 Mins",Call_Table_Data[[#This Row],[Duration]]&lt;=60,"30 to 60 Mins",Call_Table_Data[[#This Row],[Duration]]&lt;=120,"1 to 2 Hours",TRUE,"More Than 2 Hours")</f>
        <v>1 to 2 Hours</v>
      </c>
      <c r="K755" s="9">
        <f>ROUND(Call_Table_Data[[#This Row],[Satisfaction Rating]],0)</f>
        <v>4</v>
      </c>
    </row>
    <row r="756" spans="1:11" x14ac:dyDescent="0.3">
      <c r="A756" s="9" t="s">
        <v>793</v>
      </c>
      <c r="B756" s="9" t="s">
        <v>32</v>
      </c>
      <c r="C756" s="9">
        <v>67</v>
      </c>
      <c r="D756" s="10" t="s">
        <v>33</v>
      </c>
      <c r="E756" s="11">
        <v>45194</v>
      </c>
      <c r="F756" s="9">
        <v>87</v>
      </c>
      <c r="G756" s="9">
        <v>3.9</v>
      </c>
      <c r="H756" s="9">
        <f>IF(MONTH(Call_Table_Data[[#This Row],[Date of Call]])&lt;=3,YEAR(Call_Table_Data[[#This Row],[Date of Call]]),YEAR(Call_Table_Data[[#This Row],[Date of Call]])+1)</f>
        <v>2024</v>
      </c>
      <c r="I756" s="9" t="str">
        <f>TEXT(Call_Table_Data[[#This Row],[Date of Call]],"DDDD")</f>
        <v>Monday</v>
      </c>
      <c r="J756" s="9" t="str" cm="1">
        <f t="array" ref="J756">_xlfn.IFS(Call_Table_Data[[#This Row],[Duration]]&lt;=10,"Under 10 Mins",Call_Table_Data[[#This Row],[Duration]]&lt;=30,"10 to 30 Mins",Call_Table_Data[[#This Row],[Duration]]&lt;=60,"30 to 60 Mins",Call_Table_Data[[#This Row],[Duration]]&lt;=120,"1 to 2 Hours",TRUE,"More Than 2 Hours")</f>
        <v>1 to 2 Hours</v>
      </c>
      <c r="K756" s="9">
        <f>ROUND(Call_Table_Data[[#This Row],[Satisfaction Rating]],0)</f>
        <v>4</v>
      </c>
    </row>
    <row r="757" spans="1:11" x14ac:dyDescent="0.3">
      <c r="A757" s="9" t="s">
        <v>794</v>
      </c>
      <c r="B757" s="9" t="s">
        <v>23</v>
      </c>
      <c r="C757" s="9">
        <v>96</v>
      </c>
      <c r="D757" s="10" t="s">
        <v>17</v>
      </c>
      <c r="E757" s="11">
        <v>45195</v>
      </c>
      <c r="F757" s="9">
        <v>42</v>
      </c>
      <c r="G757" s="9">
        <v>4.5</v>
      </c>
      <c r="H757" s="9">
        <f>IF(MONTH(Call_Table_Data[[#This Row],[Date of Call]])&lt;=3,YEAR(Call_Table_Data[[#This Row],[Date of Call]]),YEAR(Call_Table_Data[[#This Row],[Date of Call]])+1)</f>
        <v>2024</v>
      </c>
      <c r="I757" s="9" t="str">
        <f>TEXT(Call_Table_Data[[#This Row],[Date of Call]],"DDDD")</f>
        <v>Tuesday</v>
      </c>
      <c r="J757" s="9" t="str" cm="1">
        <f t="array" ref="J757">_xlfn.IFS(Call_Table_Data[[#This Row],[Duration]]&lt;=10,"Under 10 Mins",Call_Table_Data[[#This Row],[Duration]]&lt;=30,"10 to 30 Mins",Call_Table_Data[[#This Row],[Duration]]&lt;=60,"30 to 60 Mins",Call_Table_Data[[#This Row],[Duration]]&lt;=120,"1 to 2 Hours",TRUE,"More Than 2 Hours")</f>
        <v>1 to 2 Hours</v>
      </c>
      <c r="K757" s="9">
        <f>ROUND(Call_Table_Data[[#This Row],[Satisfaction Rating]],0)</f>
        <v>5</v>
      </c>
    </row>
    <row r="758" spans="1:11" x14ac:dyDescent="0.3">
      <c r="A758" s="9" t="s">
        <v>795</v>
      </c>
      <c r="B758" s="9" t="s">
        <v>35</v>
      </c>
      <c r="C758" s="9">
        <v>142</v>
      </c>
      <c r="D758" s="10" t="s">
        <v>27</v>
      </c>
      <c r="E758" s="11">
        <v>45196</v>
      </c>
      <c r="F758" s="9">
        <v>37</v>
      </c>
      <c r="G758" s="9">
        <v>3.8</v>
      </c>
      <c r="H758" s="9">
        <f>IF(MONTH(Call_Table_Data[[#This Row],[Date of Call]])&lt;=3,YEAR(Call_Table_Data[[#This Row],[Date of Call]]),YEAR(Call_Table_Data[[#This Row],[Date of Call]])+1)</f>
        <v>2024</v>
      </c>
      <c r="I758" s="9" t="str">
        <f>TEXT(Call_Table_Data[[#This Row],[Date of Call]],"DDDD")</f>
        <v>Wednesday</v>
      </c>
      <c r="J758" s="9" t="str" cm="1">
        <f t="array" ref="J758">_xlfn.IFS(Call_Table_Data[[#This Row],[Duration]]&lt;=10,"Under 10 Mins",Call_Table_Data[[#This Row],[Duration]]&lt;=30,"10 to 30 Mins",Call_Table_Data[[#This Row],[Duration]]&lt;=60,"30 to 60 Mins",Call_Table_Data[[#This Row],[Duration]]&lt;=120,"1 to 2 Hours",TRUE,"More Than 2 Hours")</f>
        <v>More Than 2 Hours</v>
      </c>
      <c r="K758" s="9">
        <f>ROUND(Call_Table_Data[[#This Row],[Satisfaction Rating]],0)</f>
        <v>4</v>
      </c>
    </row>
    <row r="759" spans="1:11" x14ac:dyDescent="0.3">
      <c r="A759" s="9" t="s">
        <v>796</v>
      </c>
      <c r="B759" s="9" t="s">
        <v>35</v>
      </c>
      <c r="C759" s="9">
        <v>71</v>
      </c>
      <c r="D759" s="10" t="s">
        <v>40</v>
      </c>
      <c r="E759" s="11">
        <v>45196</v>
      </c>
      <c r="F759" s="9">
        <v>135</v>
      </c>
      <c r="G759" s="9">
        <v>3.9</v>
      </c>
      <c r="H759" s="9">
        <f>IF(MONTH(Call_Table_Data[[#This Row],[Date of Call]])&lt;=3,YEAR(Call_Table_Data[[#This Row],[Date of Call]]),YEAR(Call_Table_Data[[#This Row],[Date of Call]])+1)</f>
        <v>2024</v>
      </c>
      <c r="I759" s="9" t="str">
        <f>TEXT(Call_Table_Data[[#This Row],[Date of Call]],"DDDD")</f>
        <v>Wednesday</v>
      </c>
      <c r="J759" s="9" t="str" cm="1">
        <f t="array" ref="J759">_xlfn.IFS(Call_Table_Data[[#This Row],[Duration]]&lt;=10,"Under 10 Mins",Call_Table_Data[[#This Row],[Duration]]&lt;=30,"10 to 30 Mins",Call_Table_Data[[#This Row],[Duration]]&lt;=60,"30 to 60 Mins",Call_Table_Data[[#This Row],[Duration]]&lt;=120,"1 to 2 Hours",TRUE,"More Than 2 Hours")</f>
        <v>1 to 2 Hours</v>
      </c>
      <c r="K759" s="9">
        <f>ROUND(Call_Table_Data[[#This Row],[Satisfaction Rating]],0)</f>
        <v>4</v>
      </c>
    </row>
    <row r="760" spans="1:11" x14ac:dyDescent="0.3">
      <c r="A760" s="9" t="s">
        <v>797</v>
      </c>
      <c r="B760" s="9" t="s">
        <v>23</v>
      </c>
      <c r="C760" s="9">
        <v>152</v>
      </c>
      <c r="D760" s="10" t="s">
        <v>40</v>
      </c>
      <c r="E760" s="11">
        <v>45196</v>
      </c>
      <c r="F760" s="9">
        <v>88</v>
      </c>
      <c r="G760" s="9">
        <v>4.7</v>
      </c>
      <c r="H760" s="9">
        <f>IF(MONTH(Call_Table_Data[[#This Row],[Date of Call]])&lt;=3,YEAR(Call_Table_Data[[#This Row],[Date of Call]]),YEAR(Call_Table_Data[[#This Row],[Date of Call]])+1)</f>
        <v>2024</v>
      </c>
      <c r="I760" s="9" t="str">
        <f>TEXT(Call_Table_Data[[#This Row],[Date of Call]],"DDDD")</f>
        <v>Wednesday</v>
      </c>
      <c r="J760" s="9" t="str" cm="1">
        <f t="array" ref="J760">_xlfn.IFS(Call_Table_Data[[#This Row],[Duration]]&lt;=10,"Under 10 Mins",Call_Table_Data[[#This Row],[Duration]]&lt;=30,"10 to 30 Mins",Call_Table_Data[[#This Row],[Duration]]&lt;=60,"30 to 60 Mins",Call_Table_Data[[#This Row],[Duration]]&lt;=120,"1 to 2 Hours",TRUE,"More Than 2 Hours")</f>
        <v>More Than 2 Hours</v>
      </c>
      <c r="K760" s="9">
        <f>ROUND(Call_Table_Data[[#This Row],[Satisfaction Rating]],0)</f>
        <v>5</v>
      </c>
    </row>
    <row r="761" spans="1:11" x14ac:dyDescent="0.3">
      <c r="A761" s="9" t="s">
        <v>798</v>
      </c>
      <c r="B761" s="9" t="s">
        <v>18</v>
      </c>
      <c r="C761" s="9">
        <v>108</v>
      </c>
      <c r="D761" s="10" t="s">
        <v>27</v>
      </c>
      <c r="E761" s="11">
        <v>45196</v>
      </c>
      <c r="F761" s="9">
        <v>190</v>
      </c>
      <c r="G761" s="9">
        <v>3.2</v>
      </c>
      <c r="H761" s="9">
        <f>IF(MONTH(Call_Table_Data[[#This Row],[Date of Call]])&lt;=3,YEAR(Call_Table_Data[[#This Row],[Date of Call]]),YEAR(Call_Table_Data[[#This Row],[Date of Call]])+1)</f>
        <v>2024</v>
      </c>
      <c r="I761" s="9" t="str">
        <f>TEXT(Call_Table_Data[[#This Row],[Date of Call]],"DDDD")</f>
        <v>Wednesday</v>
      </c>
      <c r="J761" s="9" t="str" cm="1">
        <f t="array" ref="J761">_xlfn.IFS(Call_Table_Data[[#This Row],[Duration]]&lt;=10,"Under 10 Mins",Call_Table_Data[[#This Row],[Duration]]&lt;=30,"10 to 30 Mins",Call_Table_Data[[#This Row],[Duration]]&lt;=60,"30 to 60 Mins",Call_Table_Data[[#This Row],[Duration]]&lt;=120,"1 to 2 Hours",TRUE,"More Than 2 Hours")</f>
        <v>1 to 2 Hours</v>
      </c>
      <c r="K761" s="9">
        <f>ROUND(Call_Table_Data[[#This Row],[Satisfaction Rating]],0)</f>
        <v>3</v>
      </c>
    </row>
    <row r="762" spans="1:11" x14ac:dyDescent="0.3">
      <c r="A762" s="9" t="s">
        <v>799</v>
      </c>
      <c r="B762" s="9" t="s">
        <v>18</v>
      </c>
      <c r="C762" s="9">
        <v>156</v>
      </c>
      <c r="D762" s="10" t="s">
        <v>40</v>
      </c>
      <c r="E762" s="11">
        <v>45196</v>
      </c>
      <c r="F762" s="9">
        <v>81</v>
      </c>
      <c r="G762" s="9">
        <v>5</v>
      </c>
      <c r="H762" s="9">
        <f>IF(MONTH(Call_Table_Data[[#This Row],[Date of Call]])&lt;=3,YEAR(Call_Table_Data[[#This Row],[Date of Call]]),YEAR(Call_Table_Data[[#This Row],[Date of Call]])+1)</f>
        <v>2024</v>
      </c>
      <c r="I762" s="9" t="str">
        <f>TEXT(Call_Table_Data[[#This Row],[Date of Call]],"DDDD")</f>
        <v>Wednesday</v>
      </c>
      <c r="J762" s="9" t="str" cm="1">
        <f t="array" ref="J762">_xlfn.IFS(Call_Table_Data[[#This Row],[Duration]]&lt;=10,"Under 10 Mins",Call_Table_Data[[#This Row],[Duration]]&lt;=30,"10 to 30 Mins",Call_Table_Data[[#This Row],[Duration]]&lt;=60,"30 to 60 Mins",Call_Table_Data[[#This Row],[Duration]]&lt;=120,"1 to 2 Hours",TRUE,"More Than 2 Hours")</f>
        <v>More Than 2 Hours</v>
      </c>
      <c r="K762" s="9">
        <f>ROUND(Call_Table_Data[[#This Row],[Satisfaction Rating]],0)</f>
        <v>5</v>
      </c>
    </row>
    <row r="763" spans="1:11" x14ac:dyDescent="0.3">
      <c r="A763" s="9" t="s">
        <v>800</v>
      </c>
      <c r="B763" s="9" t="s">
        <v>35</v>
      </c>
      <c r="C763" s="9">
        <v>126</v>
      </c>
      <c r="D763" s="10" t="s">
        <v>27</v>
      </c>
      <c r="E763" s="11">
        <v>45196</v>
      </c>
      <c r="F763" s="9">
        <v>44</v>
      </c>
      <c r="G763" s="9">
        <v>3.7</v>
      </c>
      <c r="H763" s="9">
        <f>IF(MONTH(Call_Table_Data[[#This Row],[Date of Call]])&lt;=3,YEAR(Call_Table_Data[[#This Row],[Date of Call]]),YEAR(Call_Table_Data[[#This Row],[Date of Call]])+1)</f>
        <v>2024</v>
      </c>
      <c r="I763" s="9" t="str">
        <f>TEXT(Call_Table_Data[[#This Row],[Date of Call]],"DDDD")</f>
        <v>Wednesday</v>
      </c>
      <c r="J763" s="9" t="str" cm="1">
        <f t="array" ref="J763">_xlfn.IFS(Call_Table_Data[[#This Row],[Duration]]&lt;=10,"Under 10 Mins",Call_Table_Data[[#This Row],[Duration]]&lt;=30,"10 to 30 Mins",Call_Table_Data[[#This Row],[Duration]]&lt;=60,"30 to 60 Mins",Call_Table_Data[[#This Row],[Duration]]&lt;=120,"1 to 2 Hours",TRUE,"More Than 2 Hours")</f>
        <v>More Than 2 Hours</v>
      </c>
      <c r="K763" s="9">
        <f>ROUND(Call_Table_Data[[#This Row],[Satisfaction Rating]],0)</f>
        <v>4</v>
      </c>
    </row>
    <row r="764" spans="1:11" x14ac:dyDescent="0.3">
      <c r="A764" s="9" t="s">
        <v>801</v>
      </c>
      <c r="B764" s="9" t="s">
        <v>26</v>
      </c>
      <c r="C764" s="9">
        <v>135</v>
      </c>
      <c r="D764" s="10" t="s">
        <v>40</v>
      </c>
      <c r="E764" s="11">
        <v>45197</v>
      </c>
      <c r="F764" s="9">
        <v>92</v>
      </c>
      <c r="G764" s="9">
        <v>3.9</v>
      </c>
      <c r="H764" s="9">
        <f>IF(MONTH(Call_Table_Data[[#This Row],[Date of Call]])&lt;=3,YEAR(Call_Table_Data[[#This Row],[Date of Call]]),YEAR(Call_Table_Data[[#This Row],[Date of Call]])+1)</f>
        <v>2024</v>
      </c>
      <c r="I764" s="9" t="str">
        <f>TEXT(Call_Table_Data[[#This Row],[Date of Call]],"DDDD")</f>
        <v>Thursday</v>
      </c>
      <c r="J764" s="9" t="str" cm="1">
        <f t="array" ref="J764">_xlfn.IFS(Call_Table_Data[[#This Row],[Duration]]&lt;=10,"Under 10 Mins",Call_Table_Data[[#This Row],[Duration]]&lt;=30,"10 to 30 Mins",Call_Table_Data[[#This Row],[Duration]]&lt;=60,"30 to 60 Mins",Call_Table_Data[[#This Row],[Duration]]&lt;=120,"1 to 2 Hours",TRUE,"More Than 2 Hours")</f>
        <v>More Than 2 Hours</v>
      </c>
      <c r="K764" s="9">
        <f>ROUND(Call_Table_Data[[#This Row],[Satisfaction Rating]],0)</f>
        <v>4</v>
      </c>
    </row>
    <row r="765" spans="1:11" x14ac:dyDescent="0.3">
      <c r="A765" s="9" t="s">
        <v>802</v>
      </c>
      <c r="B765" s="9" t="s">
        <v>35</v>
      </c>
      <c r="C765" s="9">
        <v>110</v>
      </c>
      <c r="D765" s="10" t="s">
        <v>17</v>
      </c>
      <c r="E765" s="11">
        <v>45198</v>
      </c>
      <c r="F765" s="9">
        <v>90</v>
      </c>
      <c r="G765" s="9">
        <v>3.1</v>
      </c>
      <c r="H765" s="9">
        <f>IF(MONTH(Call_Table_Data[[#This Row],[Date of Call]])&lt;=3,YEAR(Call_Table_Data[[#This Row],[Date of Call]]),YEAR(Call_Table_Data[[#This Row],[Date of Call]])+1)</f>
        <v>2024</v>
      </c>
      <c r="I765" s="9" t="str">
        <f>TEXT(Call_Table_Data[[#This Row],[Date of Call]],"DDDD")</f>
        <v>Friday</v>
      </c>
      <c r="J765" s="9" t="str" cm="1">
        <f t="array" ref="J765">_xlfn.IFS(Call_Table_Data[[#This Row],[Duration]]&lt;=10,"Under 10 Mins",Call_Table_Data[[#This Row],[Duration]]&lt;=30,"10 to 30 Mins",Call_Table_Data[[#This Row],[Duration]]&lt;=60,"30 to 60 Mins",Call_Table_Data[[#This Row],[Duration]]&lt;=120,"1 to 2 Hours",TRUE,"More Than 2 Hours")</f>
        <v>1 to 2 Hours</v>
      </c>
      <c r="K765" s="9">
        <f>ROUND(Call_Table_Data[[#This Row],[Satisfaction Rating]],0)</f>
        <v>3</v>
      </c>
    </row>
    <row r="766" spans="1:11" x14ac:dyDescent="0.3">
      <c r="A766" s="9" t="s">
        <v>803</v>
      </c>
      <c r="B766" s="9" t="s">
        <v>54</v>
      </c>
      <c r="C766" s="9">
        <v>64</v>
      </c>
      <c r="D766" s="10" t="s">
        <v>40</v>
      </c>
      <c r="E766" s="11">
        <v>45198</v>
      </c>
      <c r="F766" s="9">
        <v>112</v>
      </c>
      <c r="G766" s="9">
        <v>2</v>
      </c>
      <c r="H766" s="9">
        <f>IF(MONTH(Call_Table_Data[[#This Row],[Date of Call]])&lt;=3,YEAR(Call_Table_Data[[#This Row],[Date of Call]]),YEAR(Call_Table_Data[[#This Row],[Date of Call]])+1)</f>
        <v>2024</v>
      </c>
      <c r="I766" s="9" t="str">
        <f>TEXT(Call_Table_Data[[#This Row],[Date of Call]],"DDDD")</f>
        <v>Friday</v>
      </c>
      <c r="J766" s="9" t="str" cm="1">
        <f t="array" ref="J766">_xlfn.IFS(Call_Table_Data[[#This Row],[Duration]]&lt;=10,"Under 10 Mins",Call_Table_Data[[#This Row],[Duration]]&lt;=30,"10 to 30 Mins",Call_Table_Data[[#This Row],[Duration]]&lt;=60,"30 to 60 Mins",Call_Table_Data[[#This Row],[Duration]]&lt;=120,"1 to 2 Hours",TRUE,"More Than 2 Hours")</f>
        <v>1 to 2 Hours</v>
      </c>
      <c r="K766" s="9">
        <f>ROUND(Call_Table_Data[[#This Row],[Satisfaction Rating]],0)</f>
        <v>2</v>
      </c>
    </row>
    <row r="767" spans="1:11" x14ac:dyDescent="0.3">
      <c r="A767" s="9" t="s">
        <v>804</v>
      </c>
      <c r="B767" s="9" t="s">
        <v>43</v>
      </c>
      <c r="C767" s="9">
        <v>127</v>
      </c>
      <c r="D767" s="10" t="s">
        <v>27</v>
      </c>
      <c r="E767" s="11">
        <v>45198</v>
      </c>
      <c r="F767" s="9">
        <v>112</v>
      </c>
      <c r="G767" s="9">
        <v>4.5999999999999996</v>
      </c>
      <c r="H767" s="9">
        <f>IF(MONTH(Call_Table_Data[[#This Row],[Date of Call]])&lt;=3,YEAR(Call_Table_Data[[#This Row],[Date of Call]]),YEAR(Call_Table_Data[[#This Row],[Date of Call]])+1)</f>
        <v>2024</v>
      </c>
      <c r="I767" s="9" t="str">
        <f>TEXT(Call_Table_Data[[#This Row],[Date of Call]],"DDDD")</f>
        <v>Friday</v>
      </c>
      <c r="J767" s="9" t="str" cm="1">
        <f t="array" ref="J767">_xlfn.IFS(Call_Table_Data[[#This Row],[Duration]]&lt;=10,"Under 10 Mins",Call_Table_Data[[#This Row],[Duration]]&lt;=30,"10 to 30 Mins",Call_Table_Data[[#This Row],[Duration]]&lt;=60,"30 to 60 Mins",Call_Table_Data[[#This Row],[Duration]]&lt;=120,"1 to 2 Hours",TRUE,"More Than 2 Hours")</f>
        <v>More Than 2 Hours</v>
      </c>
      <c r="K767" s="9">
        <f>ROUND(Call_Table_Data[[#This Row],[Satisfaction Rating]],0)</f>
        <v>5</v>
      </c>
    </row>
    <row r="768" spans="1:11" x14ac:dyDescent="0.3">
      <c r="A768" s="9" t="s">
        <v>805</v>
      </c>
      <c r="B768" s="9" t="s">
        <v>41</v>
      </c>
      <c r="C768" s="9">
        <v>124</v>
      </c>
      <c r="D768" s="10" t="s">
        <v>33</v>
      </c>
      <c r="E768" s="11">
        <v>45198</v>
      </c>
      <c r="F768" s="9">
        <v>48</v>
      </c>
      <c r="G768" s="9">
        <v>3.7</v>
      </c>
      <c r="H768" s="9">
        <f>IF(MONTH(Call_Table_Data[[#This Row],[Date of Call]])&lt;=3,YEAR(Call_Table_Data[[#This Row],[Date of Call]]),YEAR(Call_Table_Data[[#This Row],[Date of Call]])+1)</f>
        <v>2024</v>
      </c>
      <c r="I768" s="9" t="str">
        <f>TEXT(Call_Table_Data[[#This Row],[Date of Call]],"DDDD")</f>
        <v>Friday</v>
      </c>
      <c r="J768" s="9" t="str" cm="1">
        <f t="array" ref="J768">_xlfn.IFS(Call_Table_Data[[#This Row],[Duration]]&lt;=10,"Under 10 Mins",Call_Table_Data[[#This Row],[Duration]]&lt;=30,"10 to 30 Mins",Call_Table_Data[[#This Row],[Duration]]&lt;=60,"30 to 60 Mins",Call_Table_Data[[#This Row],[Duration]]&lt;=120,"1 to 2 Hours",TRUE,"More Than 2 Hours")</f>
        <v>More Than 2 Hours</v>
      </c>
      <c r="K768" s="9">
        <f>ROUND(Call_Table_Data[[#This Row],[Satisfaction Rating]],0)</f>
        <v>4</v>
      </c>
    </row>
    <row r="769" spans="1:11" x14ac:dyDescent="0.3">
      <c r="A769" s="9" t="s">
        <v>806</v>
      </c>
      <c r="B769" s="9" t="s">
        <v>54</v>
      </c>
      <c r="C769" s="9">
        <v>125</v>
      </c>
      <c r="D769" s="10" t="s">
        <v>27</v>
      </c>
      <c r="E769" s="11">
        <v>45198</v>
      </c>
      <c r="F769" s="9">
        <v>116</v>
      </c>
      <c r="G769" s="9">
        <v>4.4000000000000004</v>
      </c>
      <c r="H769" s="9">
        <f>IF(MONTH(Call_Table_Data[[#This Row],[Date of Call]])&lt;=3,YEAR(Call_Table_Data[[#This Row],[Date of Call]]),YEAR(Call_Table_Data[[#This Row],[Date of Call]])+1)</f>
        <v>2024</v>
      </c>
      <c r="I769" s="9" t="str">
        <f>TEXT(Call_Table_Data[[#This Row],[Date of Call]],"DDDD")</f>
        <v>Friday</v>
      </c>
      <c r="J769" s="9" t="str" cm="1">
        <f t="array" ref="J769">_xlfn.IFS(Call_Table_Data[[#This Row],[Duration]]&lt;=10,"Under 10 Mins",Call_Table_Data[[#This Row],[Duration]]&lt;=30,"10 to 30 Mins",Call_Table_Data[[#This Row],[Duration]]&lt;=60,"30 to 60 Mins",Call_Table_Data[[#This Row],[Duration]]&lt;=120,"1 to 2 Hours",TRUE,"More Than 2 Hours")</f>
        <v>More Than 2 Hours</v>
      </c>
      <c r="K769" s="9">
        <f>ROUND(Call_Table_Data[[#This Row],[Satisfaction Rating]],0)</f>
        <v>4</v>
      </c>
    </row>
    <row r="770" spans="1:11" x14ac:dyDescent="0.3">
      <c r="A770" s="9" t="s">
        <v>807</v>
      </c>
      <c r="B770" s="9" t="s">
        <v>22</v>
      </c>
      <c r="C770" s="9">
        <v>70</v>
      </c>
      <c r="D770" s="10" t="s">
        <v>27</v>
      </c>
      <c r="E770" s="11">
        <v>45198</v>
      </c>
      <c r="F770" s="9">
        <v>29</v>
      </c>
      <c r="G770" s="9">
        <v>2.1</v>
      </c>
      <c r="H770" s="9">
        <f>IF(MONTH(Call_Table_Data[[#This Row],[Date of Call]])&lt;=3,YEAR(Call_Table_Data[[#This Row],[Date of Call]]),YEAR(Call_Table_Data[[#This Row],[Date of Call]])+1)</f>
        <v>2024</v>
      </c>
      <c r="I770" s="9" t="str">
        <f>TEXT(Call_Table_Data[[#This Row],[Date of Call]],"DDDD")</f>
        <v>Friday</v>
      </c>
      <c r="J770" s="9" t="str" cm="1">
        <f t="array" ref="J770">_xlfn.IFS(Call_Table_Data[[#This Row],[Duration]]&lt;=10,"Under 10 Mins",Call_Table_Data[[#This Row],[Duration]]&lt;=30,"10 to 30 Mins",Call_Table_Data[[#This Row],[Duration]]&lt;=60,"30 to 60 Mins",Call_Table_Data[[#This Row],[Duration]]&lt;=120,"1 to 2 Hours",TRUE,"More Than 2 Hours")</f>
        <v>1 to 2 Hours</v>
      </c>
      <c r="K770" s="9">
        <f>ROUND(Call_Table_Data[[#This Row],[Satisfaction Rating]],0)</f>
        <v>2</v>
      </c>
    </row>
    <row r="771" spans="1:11" x14ac:dyDescent="0.3">
      <c r="A771" s="9" t="s">
        <v>808</v>
      </c>
      <c r="B771" s="9" t="s">
        <v>43</v>
      </c>
      <c r="C771" s="9">
        <v>93</v>
      </c>
      <c r="D771" s="10" t="s">
        <v>40</v>
      </c>
      <c r="E771" s="11">
        <v>45199</v>
      </c>
      <c r="F771" s="9">
        <v>170</v>
      </c>
      <c r="G771" s="9">
        <v>2.2000000000000002</v>
      </c>
      <c r="H771" s="9">
        <f>IF(MONTH(Call_Table_Data[[#This Row],[Date of Call]])&lt;=3,YEAR(Call_Table_Data[[#This Row],[Date of Call]]),YEAR(Call_Table_Data[[#This Row],[Date of Call]])+1)</f>
        <v>2024</v>
      </c>
      <c r="I771" s="9" t="str">
        <f>TEXT(Call_Table_Data[[#This Row],[Date of Call]],"DDDD")</f>
        <v>Saturday</v>
      </c>
      <c r="J771" s="9" t="str" cm="1">
        <f t="array" ref="J771">_xlfn.IFS(Call_Table_Data[[#This Row],[Duration]]&lt;=10,"Under 10 Mins",Call_Table_Data[[#This Row],[Duration]]&lt;=30,"10 to 30 Mins",Call_Table_Data[[#This Row],[Duration]]&lt;=60,"30 to 60 Mins",Call_Table_Data[[#This Row],[Duration]]&lt;=120,"1 to 2 Hours",TRUE,"More Than 2 Hours")</f>
        <v>1 to 2 Hours</v>
      </c>
      <c r="K771" s="9">
        <f>ROUND(Call_Table_Data[[#This Row],[Satisfaction Rating]],0)</f>
        <v>2</v>
      </c>
    </row>
    <row r="772" spans="1:11" x14ac:dyDescent="0.3">
      <c r="A772" s="9" t="s">
        <v>809</v>
      </c>
      <c r="B772" s="9" t="s">
        <v>22</v>
      </c>
      <c r="C772" s="9">
        <v>120</v>
      </c>
      <c r="D772" s="10" t="s">
        <v>46</v>
      </c>
      <c r="E772" s="11">
        <v>45199</v>
      </c>
      <c r="F772" s="9">
        <v>68</v>
      </c>
      <c r="G772" s="9">
        <v>3.4</v>
      </c>
      <c r="H772" s="9">
        <f>IF(MONTH(Call_Table_Data[[#This Row],[Date of Call]])&lt;=3,YEAR(Call_Table_Data[[#This Row],[Date of Call]]),YEAR(Call_Table_Data[[#This Row],[Date of Call]])+1)</f>
        <v>2024</v>
      </c>
      <c r="I772" s="9" t="str">
        <f>TEXT(Call_Table_Data[[#This Row],[Date of Call]],"DDDD")</f>
        <v>Saturday</v>
      </c>
      <c r="J772" s="9" t="str" cm="1">
        <f t="array" ref="J772">_xlfn.IFS(Call_Table_Data[[#This Row],[Duration]]&lt;=10,"Under 10 Mins",Call_Table_Data[[#This Row],[Duration]]&lt;=30,"10 to 30 Mins",Call_Table_Data[[#This Row],[Duration]]&lt;=60,"30 to 60 Mins",Call_Table_Data[[#This Row],[Duration]]&lt;=120,"1 to 2 Hours",TRUE,"More Than 2 Hours")</f>
        <v>1 to 2 Hours</v>
      </c>
      <c r="K772" s="9">
        <f>ROUND(Call_Table_Data[[#This Row],[Satisfaction Rating]],0)</f>
        <v>3</v>
      </c>
    </row>
    <row r="773" spans="1:11" x14ac:dyDescent="0.3">
      <c r="A773" s="9" t="s">
        <v>810</v>
      </c>
      <c r="B773" s="9" t="s">
        <v>32</v>
      </c>
      <c r="C773" s="9">
        <v>96</v>
      </c>
      <c r="D773" s="10" t="s">
        <v>17</v>
      </c>
      <c r="E773" s="11">
        <v>45199</v>
      </c>
      <c r="F773" s="9">
        <v>195</v>
      </c>
      <c r="G773" s="9">
        <v>2.7</v>
      </c>
      <c r="H773" s="9">
        <f>IF(MONTH(Call_Table_Data[[#This Row],[Date of Call]])&lt;=3,YEAR(Call_Table_Data[[#This Row],[Date of Call]]),YEAR(Call_Table_Data[[#This Row],[Date of Call]])+1)</f>
        <v>2024</v>
      </c>
      <c r="I773" s="9" t="str">
        <f>TEXT(Call_Table_Data[[#This Row],[Date of Call]],"DDDD")</f>
        <v>Saturday</v>
      </c>
      <c r="J773" s="9" t="str" cm="1">
        <f t="array" ref="J773">_xlfn.IFS(Call_Table_Data[[#This Row],[Duration]]&lt;=10,"Under 10 Mins",Call_Table_Data[[#This Row],[Duration]]&lt;=30,"10 to 30 Mins",Call_Table_Data[[#This Row],[Duration]]&lt;=60,"30 to 60 Mins",Call_Table_Data[[#This Row],[Duration]]&lt;=120,"1 to 2 Hours",TRUE,"More Than 2 Hours")</f>
        <v>1 to 2 Hours</v>
      </c>
      <c r="K773" s="9">
        <f>ROUND(Call_Table_Data[[#This Row],[Satisfaction Rating]],0)</f>
        <v>3</v>
      </c>
    </row>
    <row r="774" spans="1:11" x14ac:dyDescent="0.3">
      <c r="A774" s="9" t="s">
        <v>811</v>
      </c>
      <c r="B774" s="9" t="s">
        <v>30</v>
      </c>
      <c r="C774" s="9">
        <v>67</v>
      </c>
      <c r="D774" s="10" t="s">
        <v>17</v>
      </c>
      <c r="E774" s="11">
        <v>45199</v>
      </c>
      <c r="F774" s="9">
        <v>96</v>
      </c>
      <c r="G774" s="9">
        <v>3.7</v>
      </c>
      <c r="H774" s="9">
        <f>IF(MONTH(Call_Table_Data[[#This Row],[Date of Call]])&lt;=3,YEAR(Call_Table_Data[[#This Row],[Date of Call]]),YEAR(Call_Table_Data[[#This Row],[Date of Call]])+1)</f>
        <v>2024</v>
      </c>
      <c r="I774" s="9" t="str">
        <f>TEXT(Call_Table_Data[[#This Row],[Date of Call]],"DDDD")</f>
        <v>Saturday</v>
      </c>
      <c r="J774" s="9" t="str" cm="1">
        <f t="array" ref="J774">_xlfn.IFS(Call_Table_Data[[#This Row],[Duration]]&lt;=10,"Under 10 Mins",Call_Table_Data[[#This Row],[Duration]]&lt;=30,"10 to 30 Mins",Call_Table_Data[[#This Row],[Duration]]&lt;=60,"30 to 60 Mins",Call_Table_Data[[#This Row],[Duration]]&lt;=120,"1 to 2 Hours",TRUE,"More Than 2 Hours")</f>
        <v>1 to 2 Hours</v>
      </c>
      <c r="K774" s="9">
        <f>ROUND(Call_Table_Data[[#This Row],[Satisfaction Rating]],0)</f>
        <v>4</v>
      </c>
    </row>
    <row r="775" spans="1:11" x14ac:dyDescent="0.3">
      <c r="A775" s="9" t="s">
        <v>812</v>
      </c>
      <c r="B775" s="9" t="s">
        <v>54</v>
      </c>
      <c r="C775" s="9">
        <v>119</v>
      </c>
      <c r="D775" s="10" t="s">
        <v>17</v>
      </c>
      <c r="E775" s="11">
        <v>45199</v>
      </c>
      <c r="F775" s="9">
        <v>96</v>
      </c>
      <c r="G775" s="9">
        <v>3.1</v>
      </c>
      <c r="H775" s="9">
        <f>IF(MONTH(Call_Table_Data[[#This Row],[Date of Call]])&lt;=3,YEAR(Call_Table_Data[[#This Row],[Date of Call]]),YEAR(Call_Table_Data[[#This Row],[Date of Call]])+1)</f>
        <v>2024</v>
      </c>
      <c r="I775" s="9" t="str">
        <f>TEXT(Call_Table_Data[[#This Row],[Date of Call]],"DDDD")</f>
        <v>Saturday</v>
      </c>
      <c r="J775" s="9" t="str" cm="1">
        <f t="array" ref="J775">_xlfn.IFS(Call_Table_Data[[#This Row],[Duration]]&lt;=10,"Under 10 Mins",Call_Table_Data[[#This Row],[Duration]]&lt;=30,"10 to 30 Mins",Call_Table_Data[[#This Row],[Duration]]&lt;=60,"30 to 60 Mins",Call_Table_Data[[#This Row],[Duration]]&lt;=120,"1 to 2 Hours",TRUE,"More Than 2 Hours")</f>
        <v>1 to 2 Hours</v>
      </c>
      <c r="K775" s="9">
        <f>ROUND(Call_Table_Data[[#This Row],[Satisfaction Rating]],0)</f>
        <v>3</v>
      </c>
    </row>
    <row r="776" spans="1:11" x14ac:dyDescent="0.3">
      <c r="A776" s="9" t="s">
        <v>813</v>
      </c>
      <c r="B776" s="9" t="s">
        <v>41</v>
      </c>
      <c r="C776" s="9">
        <v>61</v>
      </c>
      <c r="D776" s="10" t="s">
        <v>33</v>
      </c>
      <c r="E776" s="11">
        <v>45199</v>
      </c>
      <c r="F776" s="9">
        <v>117</v>
      </c>
      <c r="G776" s="9">
        <v>4.0999999999999996</v>
      </c>
      <c r="H776" s="9">
        <f>IF(MONTH(Call_Table_Data[[#This Row],[Date of Call]])&lt;=3,YEAR(Call_Table_Data[[#This Row],[Date of Call]]),YEAR(Call_Table_Data[[#This Row],[Date of Call]])+1)</f>
        <v>2024</v>
      </c>
      <c r="I776" s="9" t="str">
        <f>TEXT(Call_Table_Data[[#This Row],[Date of Call]],"DDDD")</f>
        <v>Saturday</v>
      </c>
      <c r="J776" s="9" t="str" cm="1">
        <f t="array" ref="J776">_xlfn.IFS(Call_Table_Data[[#This Row],[Duration]]&lt;=10,"Under 10 Mins",Call_Table_Data[[#This Row],[Duration]]&lt;=30,"10 to 30 Mins",Call_Table_Data[[#This Row],[Duration]]&lt;=60,"30 to 60 Mins",Call_Table_Data[[#This Row],[Duration]]&lt;=120,"1 to 2 Hours",TRUE,"More Than 2 Hours")</f>
        <v>1 to 2 Hours</v>
      </c>
      <c r="K776" s="9">
        <f>ROUND(Call_Table_Data[[#This Row],[Satisfaction Rating]],0)</f>
        <v>4</v>
      </c>
    </row>
    <row r="777" spans="1:11" x14ac:dyDescent="0.3">
      <c r="A777" s="9" t="s">
        <v>814</v>
      </c>
      <c r="B777" s="9" t="s">
        <v>32</v>
      </c>
      <c r="C777" s="9">
        <v>29</v>
      </c>
      <c r="D777" s="10" t="s">
        <v>40</v>
      </c>
      <c r="E777" s="11">
        <v>45199</v>
      </c>
      <c r="F777" s="9">
        <v>80</v>
      </c>
      <c r="G777" s="9">
        <v>4.8</v>
      </c>
      <c r="H777" s="9">
        <f>IF(MONTH(Call_Table_Data[[#This Row],[Date of Call]])&lt;=3,YEAR(Call_Table_Data[[#This Row],[Date of Call]]),YEAR(Call_Table_Data[[#This Row],[Date of Call]])+1)</f>
        <v>2024</v>
      </c>
      <c r="I777" s="9" t="str">
        <f>TEXT(Call_Table_Data[[#This Row],[Date of Call]],"DDDD")</f>
        <v>Saturday</v>
      </c>
      <c r="J777" s="9" t="str" cm="1">
        <f t="array" ref="J777">_xlfn.IFS(Call_Table_Data[[#This Row],[Duration]]&lt;=10,"Under 10 Mins",Call_Table_Data[[#This Row],[Duration]]&lt;=30,"10 to 30 Mins",Call_Table_Data[[#This Row],[Duration]]&lt;=60,"30 to 60 Mins",Call_Table_Data[[#This Row],[Duration]]&lt;=120,"1 to 2 Hours",TRUE,"More Than 2 Hours")</f>
        <v>10 to 30 Mins</v>
      </c>
      <c r="K777" s="9">
        <f>ROUND(Call_Table_Data[[#This Row],[Satisfaction Rating]],0)</f>
        <v>5</v>
      </c>
    </row>
    <row r="778" spans="1:11" x14ac:dyDescent="0.3">
      <c r="A778" s="9" t="s">
        <v>815</v>
      </c>
      <c r="B778" s="9" t="s">
        <v>23</v>
      </c>
      <c r="C778" s="9">
        <v>134</v>
      </c>
      <c r="D778" s="10" t="s">
        <v>46</v>
      </c>
      <c r="E778" s="11">
        <v>45199</v>
      </c>
      <c r="F778" s="9">
        <v>117</v>
      </c>
      <c r="G778" s="9">
        <v>4</v>
      </c>
      <c r="H778" s="9">
        <f>IF(MONTH(Call_Table_Data[[#This Row],[Date of Call]])&lt;=3,YEAR(Call_Table_Data[[#This Row],[Date of Call]]),YEAR(Call_Table_Data[[#This Row],[Date of Call]])+1)</f>
        <v>2024</v>
      </c>
      <c r="I778" s="9" t="str">
        <f>TEXT(Call_Table_Data[[#This Row],[Date of Call]],"DDDD")</f>
        <v>Saturday</v>
      </c>
      <c r="J778" s="9" t="str" cm="1">
        <f t="array" ref="J778">_xlfn.IFS(Call_Table_Data[[#This Row],[Duration]]&lt;=10,"Under 10 Mins",Call_Table_Data[[#This Row],[Duration]]&lt;=30,"10 to 30 Mins",Call_Table_Data[[#This Row],[Duration]]&lt;=60,"30 to 60 Mins",Call_Table_Data[[#This Row],[Duration]]&lt;=120,"1 to 2 Hours",TRUE,"More Than 2 Hours")</f>
        <v>More Than 2 Hours</v>
      </c>
      <c r="K778" s="9">
        <f>ROUND(Call_Table_Data[[#This Row],[Satisfaction Rating]],0)</f>
        <v>4</v>
      </c>
    </row>
    <row r="779" spans="1:11" x14ac:dyDescent="0.3">
      <c r="A779" s="9" t="s">
        <v>816</v>
      </c>
      <c r="B779" s="9" t="s">
        <v>35</v>
      </c>
      <c r="C779" s="9">
        <v>113</v>
      </c>
      <c r="D779" s="10" t="s">
        <v>17</v>
      </c>
      <c r="E779" s="11">
        <v>45200</v>
      </c>
      <c r="F779" s="9">
        <v>40</v>
      </c>
      <c r="G779" s="9">
        <v>3</v>
      </c>
      <c r="H779" s="9">
        <f>IF(MONTH(Call_Table_Data[[#This Row],[Date of Call]])&lt;=3,YEAR(Call_Table_Data[[#This Row],[Date of Call]]),YEAR(Call_Table_Data[[#This Row],[Date of Call]])+1)</f>
        <v>2024</v>
      </c>
      <c r="I779" s="9" t="str">
        <f>TEXT(Call_Table_Data[[#This Row],[Date of Call]],"DDDD")</f>
        <v>Sunday</v>
      </c>
      <c r="J779" s="9" t="str" cm="1">
        <f t="array" ref="J779">_xlfn.IFS(Call_Table_Data[[#This Row],[Duration]]&lt;=10,"Under 10 Mins",Call_Table_Data[[#This Row],[Duration]]&lt;=30,"10 to 30 Mins",Call_Table_Data[[#This Row],[Duration]]&lt;=60,"30 to 60 Mins",Call_Table_Data[[#This Row],[Duration]]&lt;=120,"1 to 2 Hours",TRUE,"More Than 2 Hours")</f>
        <v>1 to 2 Hours</v>
      </c>
      <c r="K779" s="9">
        <f>ROUND(Call_Table_Data[[#This Row],[Satisfaction Rating]],0)</f>
        <v>3</v>
      </c>
    </row>
    <row r="780" spans="1:11" x14ac:dyDescent="0.3">
      <c r="A780" s="9" t="s">
        <v>817</v>
      </c>
      <c r="B780" s="9" t="s">
        <v>18</v>
      </c>
      <c r="C780" s="9">
        <v>12</v>
      </c>
      <c r="D780" s="10" t="s">
        <v>46</v>
      </c>
      <c r="E780" s="11">
        <v>45200</v>
      </c>
      <c r="F780" s="9">
        <v>117</v>
      </c>
      <c r="G780" s="9">
        <v>4.8</v>
      </c>
      <c r="H780" s="9">
        <f>IF(MONTH(Call_Table_Data[[#This Row],[Date of Call]])&lt;=3,YEAR(Call_Table_Data[[#This Row],[Date of Call]]),YEAR(Call_Table_Data[[#This Row],[Date of Call]])+1)</f>
        <v>2024</v>
      </c>
      <c r="I780" s="9" t="str">
        <f>TEXT(Call_Table_Data[[#This Row],[Date of Call]],"DDDD")</f>
        <v>Sunday</v>
      </c>
      <c r="J780" s="9" t="str" cm="1">
        <f t="array" ref="J780">_xlfn.IFS(Call_Table_Data[[#This Row],[Duration]]&lt;=10,"Under 10 Mins",Call_Table_Data[[#This Row],[Duration]]&lt;=30,"10 to 30 Mins",Call_Table_Data[[#This Row],[Duration]]&lt;=60,"30 to 60 Mins",Call_Table_Data[[#This Row],[Duration]]&lt;=120,"1 to 2 Hours",TRUE,"More Than 2 Hours")</f>
        <v>10 to 30 Mins</v>
      </c>
      <c r="K780" s="9">
        <f>ROUND(Call_Table_Data[[#This Row],[Satisfaction Rating]],0)</f>
        <v>5</v>
      </c>
    </row>
    <row r="781" spans="1:11" x14ac:dyDescent="0.3">
      <c r="A781" s="9" t="s">
        <v>818</v>
      </c>
      <c r="B781" s="9" t="s">
        <v>49</v>
      </c>
      <c r="C781" s="9">
        <v>78</v>
      </c>
      <c r="D781" s="10" t="s">
        <v>40</v>
      </c>
      <c r="E781" s="11">
        <v>45200</v>
      </c>
      <c r="F781" s="9">
        <v>135</v>
      </c>
      <c r="G781" s="9">
        <v>4.0999999999999996</v>
      </c>
      <c r="H781" s="9">
        <f>IF(MONTH(Call_Table_Data[[#This Row],[Date of Call]])&lt;=3,YEAR(Call_Table_Data[[#This Row],[Date of Call]]),YEAR(Call_Table_Data[[#This Row],[Date of Call]])+1)</f>
        <v>2024</v>
      </c>
      <c r="I781" s="9" t="str">
        <f>TEXT(Call_Table_Data[[#This Row],[Date of Call]],"DDDD")</f>
        <v>Sunday</v>
      </c>
      <c r="J781" s="9" t="str" cm="1">
        <f t="array" ref="J781">_xlfn.IFS(Call_Table_Data[[#This Row],[Duration]]&lt;=10,"Under 10 Mins",Call_Table_Data[[#This Row],[Duration]]&lt;=30,"10 to 30 Mins",Call_Table_Data[[#This Row],[Duration]]&lt;=60,"30 to 60 Mins",Call_Table_Data[[#This Row],[Duration]]&lt;=120,"1 to 2 Hours",TRUE,"More Than 2 Hours")</f>
        <v>1 to 2 Hours</v>
      </c>
      <c r="K781" s="9">
        <f>ROUND(Call_Table_Data[[#This Row],[Satisfaction Rating]],0)</f>
        <v>4</v>
      </c>
    </row>
    <row r="782" spans="1:11" x14ac:dyDescent="0.3">
      <c r="A782" s="9" t="s">
        <v>819</v>
      </c>
      <c r="B782" s="9" t="s">
        <v>54</v>
      </c>
      <c r="C782" s="9">
        <v>82</v>
      </c>
      <c r="D782" s="10" t="s">
        <v>27</v>
      </c>
      <c r="E782" s="11">
        <v>45200</v>
      </c>
      <c r="F782" s="9">
        <v>99</v>
      </c>
      <c r="G782" s="9">
        <v>4.2</v>
      </c>
      <c r="H782" s="9">
        <f>IF(MONTH(Call_Table_Data[[#This Row],[Date of Call]])&lt;=3,YEAR(Call_Table_Data[[#This Row],[Date of Call]]),YEAR(Call_Table_Data[[#This Row],[Date of Call]])+1)</f>
        <v>2024</v>
      </c>
      <c r="I782" s="9" t="str">
        <f>TEXT(Call_Table_Data[[#This Row],[Date of Call]],"DDDD")</f>
        <v>Sunday</v>
      </c>
      <c r="J782" s="9" t="str" cm="1">
        <f t="array" ref="J782">_xlfn.IFS(Call_Table_Data[[#This Row],[Duration]]&lt;=10,"Under 10 Mins",Call_Table_Data[[#This Row],[Duration]]&lt;=30,"10 to 30 Mins",Call_Table_Data[[#This Row],[Duration]]&lt;=60,"30 to 60 Mins",Call_Table_Data[[#This Row],[Duration]]&lt;=120,"1 to 2 Hours",TRUE,"More Than 2 Hours")</f>
        <v>1 to 2 Hours</v>
      </c>
      <c r="K782" s="9">
        <f>ROUND(Call_Table_Data[[#This Row],[Satisfaction Rating]],0)</f>
        <v>4</v>
      </c>
    </row>
    <row r="783" spans="1:11" x14ac:dyDescent="0.3">
      <c r="A783" s="9" t="s">
        <v>820</v>
      </c>
      <c r="B783" s="9" t="s">
        <v>45</v>
      </c>
      <c r="C783" s="9">
        <v>149</v>
      </c>
      <c r="D783" s="10" t="s">
        <v>33</v>
      </c>
      <c r="E783" s="11">
        <v>45200</v>
      </c>
      <c r="F783" s="9">
        <v>130</v>
      </c>
      <c r="G783" s="9">
        <v>3.3</v>
      </c>
      <c r="H783" s="9">
        <f>IF(MONTH(Call_Table_Data[[#This Row],[Date of Call]])&lt;=3,YEAR(Call_Table_Data[[#This Row],[Date of Call]]),YEAR(Call_Table_Data[[#This Row],[Date of Call]])+1)</f>
        <v>2024</v>
      </c>
      <c r="I783" s="9" t="str">
        <f>TEXT(Call_Table_Data[[#This Row],[Date of Call]],"DDDD")</f>
        <v>Sunday</v>
      </c>
      <c r="J783" s="9" t="str" cm="1">
        <f t="array" ref="J783">_xlfn.IFS(Call_Table_Data[[#This Row],[Duration]]&lt;=10,"Under 10 Mins",Call_Table_Data[[#This Row],[Duration]]&lt;=30,"10 to 30 Mins",Call_Table_Data[[#This Row],[Duration]]&lt;=60,"30 to 60 Mins",Call_Table_Data[[#This Row],[Duration]]&lt;=120,"1 to 2 Hours",TRUE,"More Than 2 Hours")</f>
        <v>More Than 2 Hours</v>
      </c>
      <c r="K783" s="9">
        <f>ROUND(Call_Table_Data[[#This Row],[Satisfaction Rating]],0)</f>
        <v>3</v>
      </c>
    </row>
    <row r="784" spans="1:11" x14ac:dyDescent="0.3">
      <c r="A784" s="9" t="s">
        <v>821</v>
      </c>
      <c r="B784" s="9" t="s">
        <v>37</v>
      </c>
      <c r="C784" s="9">
        <v>56</v>
      </c>
      <c r="D784" s="10" t="s">
        <v>46</v>
      </c>
      <c r="E784" s="11">
        <v>45200</v>
      </c>
      <c r="F784" s="9">
        <v>96</v>
      </c>
      <c r="G784" s="9">
        <v>4.7</v>
      </c>
      <c r="H784" s="9">
        <f>IF(MONTH(Call_Table_Data[[#This Row],[Date of Call]])&lt;=3,YEAR(Call_Table_Data[[#This Row],[Date of Call]]),YEAR(Call_Table_Data[[#This Row],[Date of Call]])+1)</f>
        <v>2024</v>
      </c>
      <c r="I784" s="9" t="str">
        <f>TEXT(Call_Table_Data[[#This Row],[Date of Call]],"DDDD")</f>
        <v>Sunday</v>
      </c>
      <c r="J784" s="9" t="str" cm="1">
        <f t="array" ref="J784">_xlfn.IFS(Call_Table_Data[[#This Row],[Duration]]&lt;=10,"Under 10 Mins",Call_Table_Data[[#This Row],[Duration]]&lt;=30,"10 to 30 Mins",Call_Table_Data[[#This Row],[Duration]]&lt;=60,"30 to 60 Mins",Call_Table_Data[[#This Row],[Duration]]&lt;=120,"1 to 2 Hours",TRUE,"More Than 2 Hours")</f>
        <v>30 to 60 Mins</v>
      </c>
      <c r="K784" s="9">
        <f>ROUND(Call_Table_Data[[#This Row],[Satisfaction Rating]],0)</f>
        <v>5</v>
      </c>
    </row>
    <row r="785" spans="1:11" x14ac:dyDescent="0.3">
      <c r="A785" s="9" t="s">
        <v>822</v>
      </c>
      <c r="B785" s="9" t="s">
        <v>32</v>
      </c>
      <c r="C785" s="9">
        <v>80</v>
      </c>
      <c r="D785" s="10" t="s">
        <v>33</v>
      </c>
      <c r="E785" s="11">
        <v>45200</v>
      </c>
      <c r="F785" s="9">
        <v>128</v>
      </c>
      <c r="G785" s="9">
        <v>3.7</v>
      </c>
      <c r="H785" s="9">
        <f>IF(MONTH(Call_Table_Data[[#This Row],[Date of Call]])&lt;=3,YEAR(Call_Table_Data[[#This Row],[Date of Call]]),YEAR(Call_Table_Data[[#This Row],[Date of Call]])+1)</f>
        <v>2024</v>
      </c>
      <c r="I785" s="9" t="str">
        <f>TEXT(Call_Table_Data[[#This Row],[Date of Call]],"DDDD")</f>
        <v>Sunday</v>
      </c>
      <c r="J785" s="9" t="str" cm="1">
        <f t="array" ref="J785">_xlfn.IFS(Call_Table_Data[[#This Row],[Duration]]&lt;=10,"Under 10 Mins",Call_Table_Data[[#This Row],[Duration]]&lt;=30,"10 to 30 Mins",Call_Table_Data[[#This Row],[Duration]]&lt;=60,"30 to 60 Mins",Call_Table_Data[[#This Row],[Duration]]&lt;=120,"1 to 2 Hours",TRUE,"More Than 2 Hours")</f>
        <v>1 to 2 Hours</v>
      </c>
      <c r="K785" s="9">
        <f>ROUND(Call_Table_Data[[#This Row],[Satisfaction Rating]],0)</f>
        <v>4</v>
      </c>
    </row>
    <row r="786" spans="1:11" x14ac:dyDescent="0.3">
      <c r="A786" s="9" t="s">
        <v>823</v>
      </c>
      <c r="B786" s="9" t="s">
        <v>41</v>
      </c>
      <c r="C786" s="9">
        <v>131</v>
      </c>
      <c r="D786" s="10" t="s">
        <v>17</v>
      </c>
      <c r="E786" s="11">
        <v>45200</v>
      </c>
      <c r="F786" s="9">
        <v>69</v>
      </c>
      <c r="G786" s="9">
        <v>4.7</v>
      </c>
      <c r="H786" s="9">
        <f>IF(MONTH(Call_Table_Data[[#This Row],[Date of Call]])&lt;=3,YEAR(Call_Table_Data[[#This Row],[Date of Call]]),YEAR(Call_Table_Data[[#This Row],[Date of Call]])+1)</f>
        <v>2024</v>
      </c>
      <c r="I786" s="9" t="str">
        <f>TEXT(Call_Table_Data[[#This Row],[Date of Call]],"DDDD")</f>
        <v>Sunday</v>
      </c>
      <c r="J786" s="9" t="str" cm="1">
        <f t="array" ref="J786">_xlfn.IFS(Call_Table_Data[[#This Row],[Duration]]&lt;=10,"Under 10 Mins",Call_Table_Data[[#This Row],[Duration]]&lt;=30,"10 to 30 Mins",Call_Table_Data[[#This Row],[Duration]]&lt;=60,"30 to 60 Mins",Call_Table_Data[[#This Row],[Duration]]&lt;=120,"1 to 2 Hours",TRUE,"More Than 2 Hours")</f>
        <v>More Than 2 Hours</v>
      </c>
      <c r="K786" s="9">
        <f>ROUND(Call_Table_Data[[#This Row],[Satisfaction Rating]],0)</f>
        <v>5</v>
      </c>
    </row>
    <row r="787" spans="1:11" x14ac:dyDescent="0.3">
      <c r="A787" s="9" t="s">
        <v>824</v>
      </c>
      <c r="B787" s="9" t="s">
        <v>41</v>
      </c>
      <c r="C787" s="9">
        <v>109</v>
      </c>
      <c r="D787" s="10" t="s">
        <v>17</v>
      </c>
      <c r="E787" s="11">
        <v>45200</v>
      </c>
      <c r="F787" s="9">
        <v>44</v>
      </c>
      <c r="G787" s="9">
        <v>4.5999999999999996</v>
      </c>
      <c r="H787" s="9">
        <f>IF(MONTH(Call_Table_Data[[#This Row],[Date of Call]])&lt;=3,YEAR(Call_Table_Data[[#This Row],[Date of Call]]),YEAR(Call_Table_Data[[#This Row],[Date of Call]])+1)</f>
        <v>2024</v>
      </c>
      <c r="I787" s="9" t="str">
        <f>TEXT(Call_Table_Data[[#This Row],[Date of Call]],"DDDD")</f>
        <v>Sunday</v>
      </c>
      <c r="J787" s="9" t="str" cm="1">
        <f t="array" ref="J787">_xlfn.IFS(Call_Table_Data[[#This Row],[Duration]]&lt;=10,"Under 10 Mins",Call_Table_Data[[#This Row],[Duration]]&lt;=30,"10 to 30 Mins",Call_Table_Data[[#This Row],[Duration]]&lt;=60,"30 to 60 Mins",Call_Table_Data[[#This Row],[Duration]]&lt;=120,"1 to 2 Hours",TRUE,"More Than 2 Hours")</f>
        <v>1 to 2 Hours</v>
      </c>
      <c r="K787" s="9">
        <f>ROUND(Call_Table_Data[[#This Row],[Satisfaction Rating]],0)</f>
        <v>5</v>
      </c>
    </row>
    <row r="788" spans="1:11" x14ac:dyDescent="0.3">
      <c r="A788" s="9" t="s">
        <v>825</v>
      </c>
      <c r="B788" s="9" t="s">
        <v>37</v>
      </c>
      <c r="C788" s="9">
        <v>142</v>
      </c>
      <c r="D788" s="10" t="s">
        <v>17</v>
      </c>
      <c r="E788" s="11">
        <v>45200</v>
      </c>
      <c r="F788" s="9">
        <v>44</v>
      </c>
      <c r="G788" s="9">
        <v>4.8</v>
      </c>
      <c r="H788" s="9">
        <f>IF(MONTH(Call_Table_Data[[#This Row],[Date of Call]])&lt;=3,YEAR(Call_Table_Data[[#This Row],[Date of Call]]),YEAR(Call_Table_Data[[#This Row],[Date of Call]])+1)</f>
        <v>2024</v>
      </c>
      <c r="I788" s="9" t="str">
        <f>TEXT(Call_Table_Data[[#This Row],[Date of Call]],"DDDD")</f>
        <v>Sunday</v>
      </c>
      <c r="J788" s="9" t="str" cm="1">
        <f t="array" ref="J788">_xlfn.IFS(Call_Table_Data[[#This Row],[Duration]]&lt;=10,"Under 10 Mins",Call_Table_Data[[#This Row],[Duration]]&lt;=30,"10 to 30 Mins",Call_Table_Data[[#This Row],[Duration]]&lt;=60,"30 to 60 Mins",Call_Table_Data[[#This Row],[Duration]]&lt;=120,"1 to 2 Hours",TRUE,"More Than 2 Hours")</f>
        <v>More Than 2 Hours</v>
      </c>
      <c r="K788" s="9">
        <f>ROUND(Call_Table_Data[[#This Row],[Satisfaction Rating]],0)</f>
        <v>5</v>
      </c>
    </row>
    <row r="789" spans="1:11" x14ac:dyDescent="0.3">
      <c r="A789" s="9" t="s">
        <v>826</v>
      </c>
      <c r="B789" s="9" t="s">
        <v>43</v>
      </c>
      <c r="C789" s="9">
        <v>114</v>
      </c>
      <c r="D789" s="10" t="s">
        <v>46</v>
      </c>
      <c r="E789" s="11">
        <v>45201</v>
      </c>
      <c r="F789" s="9">
        <v>135</v>
      </c>
      <c r="G789" s="9">
        <v>2</v>
      </c>
      <c r="H789" s="9">
        <f>IF(MONTH(Call_Table_Data[[#This Row],[Date of Call]])&lt;=3,YEAR(Call_Table_Data[[#This Row],[Date of Call]]),YEAR(Call_Table_Data[[#This Row],[Date of Call]])+1)</f>
        <v>2024</v>
      </c>
      <c r="I789" s="9" t="str">
        <f>TEXT(Call_Table_Data[[#This Row],[Date of Call]],"DDDD")</f>
        <v>Monday</v>
      </c>
      <c r="J789" s="9" t="str" cm="1">
        <f t="array" ref="J789">_xlfn.IFS(Call_Table_Data[[#This Row],[Duration]]&lt;=10,"Under 10 Mins",Call_Table_Data[[#This Row],[Duration]]&lt;=30,"10 to 30 Mins",Call_Table_Data[[#This Row],[Duration]]&lt;=60,"30 to 60 Mins",Call_Table_Data[[#This Row],[Duration]]&lt;=120,"1 to 2 Hours",TRUE,"More Than 2 Hours")</f>
        <v>1 to 2 Hours</v>
      </c>
      <c r="K789" s="9">
        <f>ROUND(Call_Table_Data[[#This Row],[Satisfaction Rating]],0)</f>
        <v>2</v>
      </c>
    </row>
    <row r="790" spans="1:11" x14ac:dyDescent="0.3">
      <c r="A790" s="9" t="s">
        <v>827</v>
      </c>
      <c r="B790" s="9" t="s">
        <v>30</v>
      </c>
      <c r="C790" s="9">
        <v>93</v>
      </c>
      <c r="D790" s="10" t="s">
        <v>33</v>
      </c>
      <c r="E790" s="11">
        <v>45201</v>
      </c>
      <c r="F790" s="9">
        <v>45</v>
      </c>
      <c r="G790" s="9">
        <v>3.9</v>
      </c>
      <c r="H790" s="9">
        <f>IF(MONTH(Call_Table_Data[[#This Row],[Date of Call]])&lt;=3,YEAR(Call_Table_Data[[#This Row],[Date of Call]]),YEAR(Call_Table_Data[[#This Row],[Date of Call]])+1)</f>
        <v>2024</v>
      </c>
      <c r="I790" s="9" t="str">
        <f>TEXT(Call_Table_Data[[#This Row],[Date of Call]],"DDDD")</f>
        <v>Monday</v>
      </c>
      <c r="J790" s="9" t="str" cm="1">
        <f t="array" ref="J790">_xlfn.IFS(Call_Table_Data[[#This Row],[Duration]]&lt;=10,"Under 10 Mins",Call_Table_Data[[#This Row],[Duration]]&lt;=30,"10 to 30 Mins",Call_Table_Data[[#This Row],[Duration]]&lt;=60,"30 to 60 Mins",Call_Table_Data[[#This Row],[Duration]]&lt;=120,"1 to 2 Hours",TRUE,"More Than 2 Hours")</f>
        <v>1 to 2 Hours</v>
      </c>
      <c r="K790" s="9">
        <f>ROUND(Call_Table_Data[[#This Row],[Satisfaction Rating]],0)</f>
        <v>4</v>
      </c>
    </row>
    <row r="791" spans="1:11" x14ac:dyDescent="0.3">
      <c r="A791" s="9" t="s">
        <v>828</v>
      </c>
      <c r="B791" s="9" t="s">
        <v>18</v>
      </c>
      <c r="C791" s="9">
        <v>43</v>
      </c>
      <c r="D791" s="10" t="s">
        <v>33</v>
      </c>
      <c r="E791" s="11">
        <v>45201</v>
      </c>
      <c r="F791" s="9">
        <v>87</v>
      </c>
      <c r="G791" s="9">
        <v>3</v>
      </c>
      <c r="H791" s="9">
        <f>IF(MONTH(Call_Table_Data[[#This Row],[Date of Call]])&lt;=3,YEAR(Call_Table_Data[[#This Row],[Date of Call]]),YEAR(Call_Table_Data[[#This Row],[Date of Call]])+1)</f>
        <v>2024</v>
      </c>
      <c r="I791" s="9" t="str">
        <f>TEXT(Call_Table_Data[[#This Row],[Date of Call]],"DDDD")</f>
        <v>Monday</v>
      </c>
      <c r="J791" s="9" t="str" cm="1">
        <f t="array" ref="J791">_xlfn.IFS(Call_Table_Data[[#This Row],[Duration]]&lt;=10,"Under 10 Mins",Call_Table_Data[[#This Row],[Duration]]&lt;=30,"10 to 30 Mins",Call_Table_Data[[#This Row],[Duration]]&lt;=60,"30 to 60 Mins",Call_Table_Data[[#This Row],[Duration]]&lt;=120,"1 to 2 Hours",TRUE,"More Than 2 Hours")</f>
        <v>30 to 60 Mins</v>
      </c>
      <c r="K791" s="9">
        <f>ROUND(Call_Table_Data[[#This Row],[Satisfaction Rating]],0)</f>
        <v>3</v>
      </c>
    </row>
    <row r="792" spans="1:11" x14ac:dyDescent="0.3">
      <c r="A792" s="9" t="s">
        <v>829</v>
      </c>
      <c r="B792" s="9" t="s">
        <v>23</v>
      </c>
      <c r="C792" s="9">
        <v>78</v>
      </c>
      <c r="D792" s="10" t="s">
        <v>40</v>
      </c>
      <c r="E792" s="11">
        <v>45202</v>
      </c>
      <c r="F792" s="9">
        <v>84</v>
      </c>
      <c r="G792" s="9">
        <v>4.5999999999999996</v>
      </c>
      <c r="H792" s="9">
        <f>IF(MONTH(Call_Table_Data[[#This Row],[Date of Call]])&lt;=3,YEAR(Call_Table_Data[[#This Row],[Date of Call]]),YEAR(Call_Table_Data[[#This Row],[Date of Call]])+1)</f>
        <v>2024</v>
      </c>
      <c r="I792" s="9" t="str">
        <f>TEXT(Call_Table_Data[[#This Row],[Date of Call]],"DDDD")</f>
        <v>Tuesday</v>
      </c>
      <c r="J792" s="9" t="str" cm="1">
        <f t="array" ref="J792">_xlfn.IFS(Call_Table_Data[[#This Row],[Duration]]&lt;=10,"Under 10 Mins",Call_Table_Data[[#This Row],[Duration]]&lt;=30,"10 to 30 Mins",Call_Table_Data[[#This Row],[Duration]]&lt;=60,"30 to 60 Mins",Call_Table_Data[[#This Row],[Duration]]&lt;=120,"1 to 2 Hours",TRUE,"More Than 2 Hours")</f>
        <v>1 to 2 Hours</v>
      </c>
      <c r="K792" s="9">
        <f>ROUND(Call_Table_Data[[#This Row],[Satisfaction Rating]],0)</f>
        <v>5</v>
      </c>
    </row>
    <row r="793" spans="1:11" x14ac:dyDescent="0.3">
      <c r="A793" s="9" t="s">
        <v>830</v>
      </c>
      <c r="B793" s="9" t="s">
        <v>43</v>
      </c>
      <c r="C793" s="9">
        <v>89</v>
      </c>
      <c r="D793" s="10" t="s">
        <v>17</v>
      </c>
      <c r="E793" s="11">
        <v>45202</v>
      </c>
      <c r="F793" s="9">
        <v>81</v>
      </c>
      <c r="G793" s="9">
        <v>3.8</v>
      </c>
      <c r="H793" s="9">
        <f>IF(MONTH(Call_Table_Data[[#This Row],[Date of Call]])&lt;=3,YEAR(Call_Table_Data[[#This Row],[Date of Call]]),YEAR(Call_Table_Data[[#This Row],[Date of Call]])+1)</f>
        <v>2024</v>
      </c>
      <c r="I793" s="9" t="str">
        <f>TEXT(Call_Table_Data[[#This Row],[Date of Call]],"DDDD")</f>
        <v>Tuesday</v>
      </c>
      <c r="J793" s="9" t="str" cm="1">
        <f t="array" ref="J793">_xlfn.IFS(Call_Table_Data[[#This Row],[Duration]]&lt;=10,"Under 10 Mins",Call_Table_Data[[#This Row],[Duration]]&lt;=30,"10 to 30 Mins",Call_Table_Data[[#This Row],[Duration]]&lt;=60,"30 to 60 Mins",Call_Table_Data[[#This Row],[Duration]]&lt;=120,"1 to 2 Hours",TRUE,"More Than 2 Hours")</f>
        <v>1 to 2 Hours</v>
      </c>
      <c r="K793" s="9">
        <f>ROUND(Call_Table_Data[[#This Row],[Satisfaction Rating]],0)</f>
        <v>4</v>
      </c>
    </row>
    <row r="794" spans="1:11" x14ac:dyDescent="0.3">
      <c r="A794" s="9" t="s">
        <v>831</v>
      </c>
      <c r="B794" s="9" t="s">
        <v>37</v>
      </c>
      <c r="C794" s="9">
        <v>82</v>
      </c>
      <c r="D794" s="10" t="s">
        <v>27</v>
      </c>
      <c r="E794" s="11">
        <v>45202</v>
      </c>
      <c r="F794" s="9">
        <v>130</v>
      </c>
      <c r="G794" s="9">
        <v>4.4000000000000004</v>
      </c>
      <c r="H794" s="9">
        <f>IF(MONTH(Call_Table_Data[[#This Row],[Date of Call]])&lt;=3,YEAR(Call_Table_Data[[#This Row],[Date of Call]]),YEAR(Call_Table_Data[[#This Row],[Date of Call]])+1)</f>
        <v>2024</v>
      </c>
      <c r="I794" s="9" t="str">
        <f>TEXT(Call_Table_Data[[#This Row],[Date of Call]],"DDDD")</f>
        <v>Tuesday</v>
      </c>
      <c r="J794" s="9" t="str" cm="1">
        <f t="array" ref="J794">_xlfn.IFS(Call_Table_Data[[#This Row],[Duration]]&lt;=10,"Under 10 Mins",Call_Table_Data[[#This Row],[Duration]]&lt;=30,"10 to 30 Mins",Call_Table_Data[[#This Row],[Duration]]&lt;=60,"30 to 60 Mins",Call_Table_Data[[#This Row],[Duration]]&lt;=120,"1 to 2 Hours",TRUE,"More Than 2 Hours")</f>
        <v>1 to 2 Hours</v>
      </c>
      <c r="K794" s="9">
        <f>ROUND(Call_Table_Data[[#This Row],[Satisfaction Rating]],0)</f>
        <v>4</v>
      </c>
    </row>
    <row r="795" spans="1:11" x14ac:dyDescent="0.3">
      <c r="A795" s="9" t="s">
        <v>832</v>
      </c>
      <c r="B795" s="9" t="s">
        <v>32</v>
      </c>
      <c r="C795" s="9">
        <v>86</v>
      </c>
      <c r="D795" s="10" t="s">
        <v>17</v>
      </c>
      <c r="E795" s="11">
        <v>45203</v>
      </c>
      <c r="F795" s="9">
        <v>92</v>
      </c>
      <c r="G795" s="9">
        <v>2.4</v>
      </c>
      <c r="H795" s="9">
        <f>IF(MONTH(Call_Table_Data[[#This Row],[Date of Call]])&lt;=3,YEAR(Call_Table_Data[[#This Row],[Date of Call]]),YEAR(Call_Table_Data[[#This Row],[Date of Call]])+1)</f>
        <v>2024</v>
      </c>
      <c r="I795" s="9" t="str">
        <f>TEXT(Call_Table_Data[[#This Row],[Date of Call]],"DDDD")</f>
        <v>Wednesday</v>
      </c>
      <c r="J795" s="9" t="str" cm="1">
        <f t="array" ref="J795">_xlfn.IFS(Call_Table_Data[[#This Row],[Duration]]&lt;=10,"Under 10 Mins",Call_Table_Data[[#This Row],[Duration]]&lt;=30,"10 to 30 Mins",Call_Table_Data[[#This Row],[Duration]]&lt;=60,"30 to 60 Mins",Call_Table_Data[[#This Row],[Duration]]&lt;=120,"1 to 2 Hours",TRUE,"More Than 2 Hours")</f>
        <v>1 to 2 Hours</v>
      </c>
      <c r="K795" s="9">
        <f>ROUND(Call_Table_Data[[#This Row],[Satisfaction Rating]],0)</f>
        <v>2</v>
      </c>
    </row>
    <row r="796" spans="1:11" x14ac:dyDescent="0.3">
      <c r="A796" s="9" t="s">
        <v>833</v>
      </c>
      <c r="B796" s="9" t="s">
        <v>50</v>
      </c>
      <c r="C796" s="9">
        <v>57</v>
      </c>
      <c r="D796" s="10" t="s">
        <v>40</v>
      </c>
      <c r="E796" s="11">
        <v>45203</v>
      </c>
      <c r="F796" s="9">
        <v>48</v>
      </c>
      <c r="G796" s="9">
        <v>4.5</v>
      </c>
      <c r="H796" s="9">
        <f>IF(MONTH(Call_Table_Data[[#This Row],[Date of Call]])&lt;=3,YEAR(Call_Table_Data[[#This Row],[Date of Call]]),YEAR(Call_Table_Data[[#This Row],[Date of Call]])+1)</f>
        <v>2024</v>
      </c>
      <c r="I796" s="9" t="str">
        <f>TEXT(Call_Table_Data[[#This Row],[Date of Call]],"DDDD")</f>
        <v>Wednesday</v>
      </c>
      <c r="J796" s="9" t="str" cm="1">
        <f t="array" ref="J796">_xlfn.IFS(Call_Table_Data[[#This Row],[Duration]]&lt;=10,"Under 10 Mins",Call_Table_Data[[#This Row],[Duration]]&lt;=30,"10 to 30 Mins",Call_Table_Data[[#This Row],[Duration]]&lt;=60,"30 to 60 Mins",Call_Table_Data[[#This Row],[Duration]]&lt;=120,"1 to 2 Hours",TRUE,"More Than 2 Hours")</f>
        <v>30 to 60 Mins</v>
      </c>
      <c r="K796" s="9">
        <f>ROUND(Call_Table_Data[[#This Row],[Satisfaction Rating]],0)</f>
        <v>5</v>
      </c>
    </row>
    <row r="797" spans="1:11" x14ac:dyDescent="0.3">
      <c r="A797" s="9" t="s">
        <v>834</v>
      </c>
      <c r="B797" s="9" t="s">
        <v>30</v>
      </c>
      <c r="C797" s="9">
        <v>103</v>
      </c>
      <c r="D797" s="10" t="s">
        <v>46</v>
      </c>
      <c r="E797" s="11">
        <v>45203</v>
      </c>
      <c r="F797" s="9">
        <v>160</v>
      </c>
      <c r="G797" s="9">
        <v>4.5</v>
      </c>
      <c r="H797" s="9">
        <f>IF(MONTH(Call_Table_Data[[#This Row],[Date of Call]])&lt;=3,YEAR(Call_Table_Data[[#This Row],[Date of Call]]),YEAR(Call_Table_Data[[#This Row],[Date of Call]])+1)</f>
        <v>2024</v>
      </c>
      <c r="I797" s="9" t="str">
        <f>TEXT(Call_Table_Data[[#This Row],[Date of Call]],"DDDD")</f>
        <v>Wednesday</v>
      </c>
      <c r="J797" s="9" t="str" cm="1">
        <f t="array" ref="J797">_xlfn.IFS(Call_Table_Data[[#This Row],[Duration]]&lt;=10,"Under 10 Mins",Call_Table_Data[[#This Row],[Duration]]&lt;=30,"10 to 30 Mins",Call_Table_Data[[#This Row],[Duration]]&lt;=60,"30 to 60 Mins",Call_Table_Data[[#This Row],[Duration]]&lt;=120,"1 to 2 Hours",TRUE,"More Than 2 Hours")</f>
        <v>1 to 2 Hours</v>
      </c>
      <c r="K797" s="9">
        <f>ROUND(Call_Table_Data[[#This Row],[Satisfaction Rating]],0)</f>
        <v>5</v>
      </c>
    </row>
    <row r="798" spans="1:11" x14ac:dyDescent="0.3">
      <c r="A798" s="9" t="s">
        <v>835</v>
      </c>
      <c r="B798" s="9" t="s">
        <v>49</v>
      </c>
      <c r="C798" s="9">
        <v>138</v>
      </c>
      <c r="D798" s="10" t="s">
        <v>40</v>
      </c>
      <c r="E798" s="11">
        <v>45204</v>
      </c>
      <c r="F798" s="9">
        <v>155</v>
      </c>
      <c r="G798" s="9">
        <v>2.7</v>
      </c>
      <c r="H798" s="9">
        <f>IF(MONTH(Call_Table_Data[[#This Row],[Date of Call]])&lt;=3,YEAR(Call_Table_Data[[#This Row],[Date of Call]]),YEAR(Call_Table_Data[[#This Row],[Date of Call]])+1)</f>
        <v>2024</v>
      </c>
      <c r="I798" s="9" t="str">
        <f>TEXT(Call_Table_Data[[#This Row],[Date of Call]],"DDDD")</f>
        <v>Thursday</v>
      </c>
      <c r="J798" s="9" t="str" cm="1">
        <f t="array" ref="J798">_xlfn.IFS(Call_Table_Data[[#This Row],[Duration]]&lt;=10,"Under 10 Mins",Call_Table_Data[[#This Row],[Duration]]&lt;=30,"10 to 30 Mins",Call_Table_Data[[#This Row],[Duration]]&lt;=60,"30 to 60 Mins",Call_Table_Data[[#This Row],[Duration]]&lt;=120,"1 to 2 Hours",TRUE,"More Than 2 Hours")</f>
        <v>More Than 2 Hours</v>
      </c>
      <c r="K798" s="9">
        <f>ROUND(Call_Table_Data[[#This Row],[Satisfaction Rating]],0)</f>
        <v>3</v>
      </c>
    </row>
    <row r="799" spans="1:11" x14ac:dyDescent="0.3">
      <c r="A799" s="9" t="s">
        <v>836</v>
      </c>
      <c r="B799" s="9" t="s">
        <v>45</v>
      </c>
      <c r="C799" s="9">
        <v>88</v>
      </c>
      <c r="D799" s="10" t="s">
        <v>27</v>
      </c>
      <c r="E799" s="11">
        <v>45204</v>
      </c>
      <c r="F799" s="9">
        <v>100</v>
      </c>
      <c r="G799" s="9">
        <v>4.9000000000000004</v>
      </c>
      <c r="H799" s="9">
        <f>IF(MONTH(Call_Table_Data[[#This Row],[Date of Call]])&lt;=3,YEAR(Call_Table_Data[[#This Row],[Date of Call]]),YEAR(Call_Table_Data[[#This Row],[Date of Call]])+1)</f>
        <v>2024</v>
      </c>
      <c r="I799" s="9" t="str">
        <f>TEXT(Call_Table_Data[[#This Row],[Date of Call]],"DDDD")</f>
        <v>Thursday</v>
      </c>
      <c r="J799" s="9" t="str" cm="1">
        <f t="array" ref="J799">_xlfn.IFS(Call_Table_Data[[#This Row],[Duration]]&lt;=10,"Under 10 Mins",Call_Table_Data[[#This Row],[Duration]]&lt;=30,"10 to 30 Mins",Call_Table_Data[[#This Row],[Duration]]&lt;=60,"30 to 60 Mins",Call_Table_Data[[#This Row],[Duration]]&lt;=120,"1 to 2 Hours",TRUE,"More Than 2 Hours")</f>
        <v>1 to 2 Hours</v>
      </c>
      <c r="K799" s="9">
        <f>ROUND(Call_Table_Data[[#This Row],[Satisfaction Rating]],0)</f>
        <v>5</v>
      </c>
    </row>
    <row r="800" spans="1:11" x14ac:dyDescent="0.3">
      <c r="A800" s="9" t="s">
        <v>837</v>
      </c>
      <c r="B800" s="9" t="s">
        <v>43</v>
      </c>
      <c r="C800" s="9">
        <v>118</v>
      </c>
      <c r="D800" s="10" t="s">
        <v>33</v>
      </c>
      <c r="E800" s="11">
        <v>45204</v>
      </c>
      <c r="F800" s="9">
        <v>56</v>
      </c>
      <c r="G800" s="9">
        <v>3.7</v>
      </c>
      <c r="H800" s="9">
        <f>IF(MONTH(Call_Table_Data[[#This Row],[Date of Call]])&lt;=3,YEAR(Call_Table_Data[[#This Row],[Date of Call]]),YEAR(Call_Table_Data[[#This Row],[Date of Call]])+1)</f>
        <v>2024</v>
      </c>
      <c r="I800" s="9" t="str">
        <f>TEXT(Call_Table_Data[[#This Row],[Date of Call]],"DDDD")</f>
        <v>Thursday</v>
      </c>
      <c r="J800" s="9" t="str" cm="1">
        <f t="array" ref="J800">_xlfn.IFS(Call_Table_Data[[#This Row],[Duration]]&lt;=10,"Under 10 Mins",Call_Table_Data[[#This Row],[Duration]]&lt;=30,"10 to 30 Mins",Call_Table_Data[[#This Row],[Duration]]&lt;=60,"30 to 60 Mins",Call_Table_Data[[#This Row],[Duration]]&lt;=120,"1 to 2 Hours",TRUE,"More Than 2 Hours")</f>
        <v>1 to 2 Hours</v>
      </c>
      <c r="K800" s="9">
        <f>ROUND(Call_Table_Data[[#This Row],[Satisfaction Rating]],0)</f>
        <v>4</v>
      </c>
    </row>
    <row r="801" spans="1:11" x14ac:dyDescent="0.3">
      <c r="A801" s="9" t="s">
        <v>838</v>
      </c>
      <c r="B801" s="9" t="s">
        <v>32</v>
      </c>
      <c r="C801" s="9">
        <v>4</v>
      </c>
      <c r="D801" s="10" t="s">
        <v>17</v>
      </c>
      <c r="E801" s="11">
        <v>45204</v>
      </c>
      <c r="F801" s="9">
        <v>170</v>
      </c>
      <c r="G801" s="9">
        <v>3.9</v>
      </c>
      <c r="H801" s="9">
        <f>IF(MONTH(Call_Table_Data[[#This Row],[Date of Call]])&lt;=3,YEAR(Call_Table_Data[[#This Row],[Date of Call]]),YEAR(Call_Table_Data[[#This Row],[Date of Call]])+1)</f>
        <v>2024</v>
      </c>
      <c r="I801" s="9" t="str">
        <f>TEXT(Call_Table_Data[[#This Row],[Date of Call]],"DDDD")</f>
        <v>Thursday</v>
      </c>
      <c r="J801" s="9" t="str" cm="1">
        <f t="array" ref="J801">_xlfn.IFS(Call_Table_Data[[#This Row],[Duration]]&lt;=10,"Under 10 Mins",Call_Table_Data[[#This Row],[Duration]]&lt;=30,"10 to 30 Mins",Call_Table_Data[[#This Row],[Duration]]&lt;=60,"30 to 60 Mins",Call_Table_Data[[#This Row],[Duration]]&lt;=120,"1 to 2 Hours",TRUE,"More Than 2 Hours")</f>
        <v>Under 10 Mins</v>
      </c>
      <c r="K801" s="9">
        <f>ROUND(Call_Table_Data[[#This Row],[Satisfaction Rating]],0)</f>
        <v>4</v>
      </c>
    </row>
    <row r="802" spans="1:11" x14ac:dyDescent="0.3">
      <c r="A802" s="9" t="s">
        <v>839</v>
      </c>
      <c r="B802" s="9" t="s">
        <v>18</v>
      </c>
      <c r="C802" s="9">
        <v>78</v>
      </c>
      <c r="D802" s="10" t="s">
        <v>46</v>
      </c>
      <c r="E802" s="11">
        <v>45205</v>
      </c>
      <c r="F802" s="9">
        <v>74</v>
      </c>
      <c r="G802" s="9">
        <v>3.5</v>
      </c>
      <c r="H802" s="9">
        <f>IF(MONTH(Call_Table_Data[[#This Row],[Date of Call]])&lt;=3,YEAR(Call_Table_Data[[#This Row],[Date of Call]]),YEAR(Call_Table_Data[[#This Row],[Date of Call]])+1)</f>
        <v>2024</v>
      </c>
      <c r="I802" s="9" t="str">
        <f>TEXT(Call_Table_Data[[#This Row],[Date of Call]],"DDDD")</f>
        <v>Friday</v>
      </c>
      <c r="J802" s="9" t="str" cm="1">
        <f t="array" ref="J802">_xlfn.IFS(Call_Table_Data[[#This Row],[Duration]]&lt;=10,"Under 10 Mins",Call_Table_Data[[#This Row],[Duration]]&lt;=30,"10 to 30 Mins",Call_Table_Data[[#This Row],[Duration]]&lt;=60,"30 to 60 Mins",Call_Table_Data[[#This Row],[Duration]]&lt;=120,"1 to 2 Hours",TRUE,"More Than 2 Hours")</f>
        <v>1 to 2 Hours</v>
      </c>
      <c r="K802" s="9">
        <f>ROUND(Call_Table_Data[[#This Row],[Satisfaction Rating]],0)</f>
        <v>4</v>
      </c>
    </row>
    <row r="803" spans="1:11" x14ac:dyDescent="0.3">
      <c r="A803" s="9" t="s">
        <v>840</v>
      </c>
      <c r="B803" s="9" t="s">
        <v>35</v>
      </c>
      <c r="C803" s="9">
        <v>69</v>
      </c>
      <c r="D803" s="10" t="s">
        <v>17</v>
      </c>
      <c r="E803" s="11">
        <v>45205</v>
      </c>
      <c r="F803" s="9">
        <v>99</v>
      </c>
      <c r="G803" s="9">
        <v>2.7</v>
      </c>
      <c r="H803" s="9">
        <f>IF(MONTH(Call_Table_Data[[#This Row],[Date of Call]])&lt;=3,YEAR(Call_Table_Data[[#This Row],[Date of Call]]),YEAR(Call_Table_Data[[#This Row],[Date of Call]])+1)</f>
        <v>2024</v>
      </c>
      <c r="I803" s="9" t="str">
        <f>TEXT(Call_Table_Data[[#This Row],[Date of Call]],"DDDD")</f>
        <v>Friday</v>
      </c>
      <c r="J803" s="9" t="str" cm="1">
        <f t="array" ref="J803">_xlfn.IFS(Call_Table_Data[[#This Row],[Duration]]&lt;=10,"Under 10 Mins",Call_Table_Data[[#This Row],[Duration]]&lt;=30,"10 to 30 Mins",Call_Table_Data[[#This Row],[Duration]]&lt;=60,"30 to 60 Mins",Call_Table_Data[[#This Row],[Duration]]&lt;=120,"1 to 2 Hours",TRUE,"More Than 2 Hours")</f>
        <v>1 to 2 Hours</v>
      </c>
      <c r="K803" s="9">
        <f>ROUND(Call_Table_Data[[#This Row],[Satisfaction Rating]],0)</f>
        <v>3</v>
      </c>
    </row>
    <row r="804" spans="1:11" x14ac:dyDescent="0.3">
      <c r="A804" s="9" t="s">
        <v>841</v>
      </c>
      <c r="B804" s="9" t="s">
        <v>37</v>
      </c>
      <c r="C804" s="9">
        <v>90</v>
      </c>
      <c r="D804" s="10" t="s">
        <v>40</v>
      </c>
      <c r="E804" s="11">
        <v>45205</v>
      </c>
      <c r="F804" s="9">
        <v>84</v>
      </c>
      <c r="G804" s="9">
        <v>3.9</v>
      </c>
      <c r="H804" s="9">
        <f>IF(MONTH(Call_Table_Data[[#This Row],[Date of Call]])&lt;=3,YEAR(Call_Table_Data[[#This Row],[Date of Call]]),YEAR(Call_Table_Data[[#This Row],[Date of Call]])+1)</f>
        <v>2024</v>
      </c>
      <c r="I804" s="9" t="str">
        <f>TEXT(Call_Table_Data[[#This Row],[Date of Call]],"DDDD")</f>
        <v>Friday</v>
      </c>
      <c r="J804" s="9" t="str" cm="1">
        <f t="array" ref="J804">_xlfn.IFS(Call_Table_Data[[#This Row],[Duration]]&lt;=10,"Under 10 Mins",Call_Table_Data[[#This Row],[Duration]]&lt;=30,"10 to 30 Mins",Call_Table_Data[[#This Row],[Duration]]&lt;=60,"30 to 60 Mins",Call_Table_Data[[#This Row],[Duration]]&lt;=120,"1 to 2 Hours",TRUE,"More Than 2 Hours")</f>
        <v>1 to 2 Hours</v>
      </c>
      <c r="K804" s="9">
        <f>ROUND(Call_Table_Data[[#This Row],[Satisfaction Rating]],0)</f>
        <v>4</v>
      </c>
    </row>
    <row r="805" spans="1:11" x14ac:dyDescent="0.3">
      <c r="A805" s="9" t="s">
        <v>842</v>
      </c>
      <c r="B805" s="9" t="s">
        <v>35</v>
      </c>
      <c r="C805" s="9">
        <v>134</v>
      </c>
      <c r="D805" s="10" t="s">
        <v>17</v>
      </c>
      <c r="E805" s="11">
        <v>45205</v>
      </c>
      <c r="F805" s="9">
        <v>35</v>
      </c>
      <c r="G805" s="9">
        <v>3.4</v>
      </c>
      <c r="H805" s="9">
        <f>IF(MONTH(Call_Table_Data[[#This Row],[Date of Call]])&lt;=3,YEAR(Call_Table_Data[[#This Row],[Date of Call]]),YEAR(Call_Table_Data[[#This Row],[Date of Call]])+1)</f>
        <v>2024</v>
      </c>
      <c r="I805" s="9" t="str">
        <f>TEXT(Call_Table_Data[[#This Row],[Date of Call]],"DDDD")</f>
        <v>Friday</v>
      </c>
      <c r="J805" s="9" t="str" cm="1">
        <f t="array" ref="J805">_xlfn.IFS(Call_Table_Data[[#This Row],[Duration]]&lt;=10,"Under 10 Mins",Call_Table_Data[[#This Row],[Duration]]&lt;=30,"10 to 30 Mins",Call_Table_Data[[#This Row],[Duration]]&lt;=60,"30 to 60 Mins",Call_Table_Data[[#This Row],[Duration]]&lt;=120,"1 to 2 Hours",TRUE,"More Than 2 Hours")</f>
        <v>More Than 2 Hours</v>
      </c>
      <c r="K805" s="9">
        <f>ROUND(Call_Table_Data[[#This Row],[Satisfaction Rating]],0)</f>
        <v>3</v>
      </c>
    </row>
    <row r="806" spans="1:11" x14ac:dyDescent="0.3">
      <c r="A806" s="9" t="s">
        <v>843</v>
      </c>
      <c r="B806" s="9" t="s">
        <v>22</v>
      </c>
      <c r="C806" s="9">
        <v>65</v>
      </c>
      <c r="D806" s="10" t="s">
        <v>33</v>
      </c>
      <c r="E806" s="11">
        <v>45205</v>
      </c>
      <c r="F806" s="9">
        <v>150</v>
      </c>
      <c r="G806" s="9">
        <v>5</v>
      </c>
      <c r="H806" s="9">
        <f>IF(MONTH(Call_Table_Data[[#This Row],[Date of Call]])&lt;=3,YEAR(Call_Table_Data[[#This Row],[Date of Call]]),YEAR(Call_Table_Data[[#This Row],[Date of Call]])+1)</f>
        <v>2024</v>
      </c>
      <c r="I806" s="9" t="str">
        <f>TEXT(Call_Table_Data[[#This Row],[Date of Call]],"DDDD")</f>
        <v>Friday</v>
      </c>
      <c r="J806" s="9" t="str" cm="1">
        <f t="array" ref="J806">_xlfn.IFS(Call_Table_Data[[#This Row],[Duration]]&lt;=10,"Under 10 Mins",Call_Table_Data[[#This Row],[Duration]]&lt;=30,"10 to 30 Mins",Call_Table_Data[[#This Row],[Duration]]&lt;=60,"30 to 60 Mins",Call_Table_Data[[#This Row],[Duration]]&lt;=120,"1 to 2 Hours",TRUE,"More Than 2 Hours")</f>
        <v>1 to 2 Hours</v>
      </c>
      <c r="K806" s="9">
        <f>ROUND(Call_Table_Data[[#This Row],[Satisfaction Rating]],0)</f>
        <v>5</v>
      </c>
    </row>
    <row r="807" spans="1:11" x14ac:dyDescent="0.3">
      <c r="A807" s="9" t="s">
        <v>844</v>
      </c>
      <c r="B807" s="9" t="s">
        <v>26</v>
      </c>
      <c r="C807" s="9">
        <v>54</v>
      </c>
      <c r="D807" s="10" t="s">
        <v>46</v>
      </c>
      <c r="E807" s="11">
        <v>45206</v>
      </c>
      <c r="F807" s="9">
        <v>176</v>
      </c>
      <c r="G807" s="9">
        <v>4.4000000000000004</v>
      </c>
      <c r="H807" s="9">
        <f>IF(MONTH(Call_Table_Data[[#This Row],[Date of Call]])&lt;=3,YEAR(Call_Table_Data[[#This Row],[Date of Call]]),YEAR(Call_Table_Data[[#This Row],[Date of Call]])+1)</f>
        <v>2024</v>
      </c>
      <c r="I807" s="9" t="str">
        <f>TEXT(Call_Table_Data[[#This Row],[Date of Call]],"DDDD")</f>
        <v>Saturday</v>
      </c>
      <c r="J807" s="9" t="str" cm="1">
        <f t="array" ref="J807">_xlfn.IFS(Call_Table_Data[[#This Row],[Duration]]&lt;=10,"Under 10 Mins",Call_Table_Data[[#This Row],[Duration]]&lt;=30,"10 to 30 Mins",Call_Table_Data[[#This Row],[Duration]]&lt;=60,"30 to 60 Mins",Call_Table_Data[[#This Row],[Duration]]&lt;=120,"1 to 2 Hours",TRUE,"More Than 2 Hours")</f>
        <v>30 to 60 Mins</v>
      </c>
      <c r="K807" s="9">
        <f>ROUND(Call_Table_Data[[#This Row],[Satisfaction Rating]],0)</f>
        <v>4</v>
      </c>
    </row>
    <row r="808" spans="1:11" x14ac:dyDescent="0.3">
      <c r="A808" s="9" t="s">
        <v>845</v>
      </c>
      <c r="B808" s="9" t="s">
        <v>26</v>
      </c>
      <c r="C808" s="9">
        <v>90</v>
      </c>
      <c r="D808" s="10" t="s">
        <v>46</v>
      </c>
      <c r="E808" s="11">
        <v>45206</v>
      </c>
      <c r="F808" s="9">
        <v>84</v>
      </c>
      <c r="G808" s="9">
        <v>4.3</v>
      </c>
      <c r="H808" s="9">
        <f>IF(MONTH(Call_Table_Data[[#This Row],[Date of Call]])&lt;=3,YEAR(Call_Table_Data[[#This Row],[Date of Call]]),YEAR(Call_Table_Data[[#This Row],[Date of Call]])+1)</f>
        <v>2024</v>
      </c>
      <c r="I808" s="9" t="str">
        <f>TEXT(Call_Table_Data[[#This Row],[Date of Call]],"DDDD")</f>
        <v>Saturday</v>
      </c>
      <c r="J808" s="9" t="str" cm="1">
        <f t="array" ref="J808">_xlfn.IFS(Call_Table_Data[[#This Row],[Duration]]&lt;=10,"Under 10 Mins",Call_Table_Data[[#This Row],[Duration]]&lt;=30,"10 to 30 Mins",Call_Table_Data[[#This Row],[Duration]]&lt;=60,"30 to 60 Mins",Call_Table_Data[[#This Row],[Duration]]&lt;=120,"1 to 2 Hours",TRUE,"More Than 2 Hours")</f>
        <v>1 to 2 Hours</v>
      </c>
      <c r="K808" s="9">
        <f>ROUND(Call_Table_Data[[#This Row],[Satisfaction Rating]],0)</f>
        <v>4</v>
      </c>
    </row>
    <row r="809" spans="1:11" x14ac:dyDescent="0.3">
      <c r="A809" s="9" t="s">
        <v>846</v>
      </c>
      <c r="B809" s="9" t="s">
        <v>37</v>
      </c>
      <c r="C809" s="9">
        <v>66</v>
      </c>
      <c r="D809" s="10" t="s">
        <v>46</v>
      </c>
      <c r="E809" s="11">
        <v>45206</v>
      </c>
      <c r="F809" s="9">
        <v>136</v>
      </c>
      <c r="G809" s="9">
        <v>4.7</v>
      </c>
      <c r="H809" s="9">
        <f>IF(MONTH(Call_Table_Data[[#This Row],[Date of Call]])&lt;=3,YEAR(Call_Table_Data[[#This Row],[Date of Call]]),YEAR(Call_Table_Data[[#This Row],[Date of Call]])+1)</f>
        <v>2024</v>
      </c>
      <c r="I809" s="9" t="str">
        <f>TEXT(Call_Table_Data[[#This Row],[Date of Call]],"DDDD")</f>
        <v>Saturday</v>
      </c>
      <c r="J809" s="9" t="str" cm="1">
        <f t="array" ref="J809">_xlfn.IFS(Call_Table_Data[[#This Row],[Duration]]&lt;=10,"Under 10 Mins",Call_Table_Data[[#This Row],[Duration]]&lt;=30,"10 to 30 Mins",Call_Table_Data[[#This Row],[Duration]]&lt;=60,"30 to 60 Mins",Call_Table_Data[[#This Row],[Duration]]&lt;=120,"1 to 2 Hours",TRUE,"More Than 2 Hours")</f>
        <v>1 to 2 Hours</v>
      </c>
      <c r="K809" s="9">
        <f>ROUND(Call_Table_Data[[#This Row],[Satisfaction Rating]],0)</f>
        <v>5</v>
      </c>
    </row>
    <row r="810" spans="1:11" x14ac:dyDescent="0.3">
      <c r="A810" s="9" t="s">
        <v>847</v>
      </c>
      <c r="B810" s="9" t="s">
        <v>32</v>
      </c>
      <c r="C810" s="9">
        <v>150</v>
      </c>
      <c r="D810" s="10" t="s">
        <v>46</v>
      </c>
      <c r="E810" s="11">
        <v>45207</v>
      </c>
      <c r="F810" s="9">
        <v>70</v>
      </c>
      <c r="G810" s="9">
        <v>4.0999999999999996</v>
      </c>
      <c r="H810" s="9">
        <f>IF(MONTH(Call_Table_Data[[#This Row],[Date of Call]])&lt;=3,YEAR(Call_Table_Data[[#This Row],[Date of Call]]),YEAR(Call_Table_Data[[#This Row],[Date of Call]])+1)</f>
        <v>2024</v>
      </c>
      <c r="I810" s="9" t="str">
        <f>TEXT(Call_Table_Data[[#This Row],[Date of Call]],"DDDD")</f>
        <v>Sunday</v>
      </c>
      <c r="J810" s="9" t="str" cm="1">
        <f t="array" ref="J810">_xlfn.IFS(Call_Table_Data[[#This Row],[Duration]]&lt;=10,"Under 10 Mins",Call_Table_Data[[#This Row],[Duration]]&lt;=30,"10 to 30 Mins",Call_Table_Data[[#This Row],[Duration]]&lt;=60,"30 to 60 Mins",Call_Table_Data[[#This Row],[Duration]]&lt;=120,"1 to 2 Hours",TRUE,"More Than 2 Hours")</f>
        <v>More Than 2 Hours</v>
      </c>
      <c r="K810" s="9">
        <f>ROUND(Call_Table_Data[[#This Row],[Satisfaction Rating]],0)</f>
        <v>4</v>
      </c>
    </row>
    <row r="811" spans="1:11" x14ac:dyDescent="0.3">
      <c r="A811" s="9" t="s">
        <v>848</v>
      </c>
      <c r="B811" s="9" t="s">
        <v>23</v>
      </c>
      <c r="C811" s="9">
        <v>18</v>
      </c>
      <c r="D811" s="10" t="s">
        <v>33</v>
      </c>
      <c r="E811" s="11">
        <v>45207</v>
      </c>
      <c r="F811" s="9">
        <v>96</v>
      </c>
      <c r="G811" s="9">
        <v>4.8</v>
      </c>
      <c r="H811" s="9">
        <f>IF(MONTH(Call_Table_Data[[#This Row],[Date of Call]])&lt;=3,YEAR(Call_Table_Data[[#This Row],[Date of Call]]),YEAR(Call_Table_Data[[#This Row],[Date of Call]])+1)</f>
        <v>2024</v>
      </c>
      <c r="I811" s="9" t="str">
        <f>TEXT(Call_Table_Data[[#This Row],[Date of Call]],"DDDD")</f>
        <v>Sunday</v>
      </c>
      <c r="J811" s="9" t="str" cm="1">
        <f t="array" ref="J811">_xlfn.IFS(Call_Table_Data[[#This Row],[Duration]]&lt;=10,"Under 10 Mins",Call_Table_Data[[#This Row],[Duration]]&lt;=30,"10 to 30 Mins",Call_Table_Data[[#This Row],[Duration]]&lt;=60,"30 to 60 Mins",Call_Table_Data[[#This Row],[Duration]]&lt;=120,"1 to 2 Hours",TRUE,"More Than 2 Hours")</f>
        <v>10 to 30 Mins</v>
      </c>
      <c r="K811" s="9">
        <f>ROUND(Call_Table_Data[[#This Row],[Satisfaction Rating]],0)</f>
        <v>5</v>
      </c>
    </row>
    <row r="812" spans="1:11" x14ac:dyDescent="0.3">
      <c r="A812" s="9" t="s">
        <v>849</v>
      </c>
      <c r="B812" s="9" t="s">
        <v>26</v>
      </c>
      <c r="C812" s="9">
        <v>87</v>
      </c>
      <c r="D812" s="10" t="s">
        <v>33</v>
      </c>
      <c r="E812" s="11">
        <v>45207</v>
      </c>
      <c r="F812" s="9">
        <v>23</v>
      </c>
      <c r="G812" s="9">
        <v>4.2</v>
      </c>
      <c r="H812" s="9">
        <f>IF(MONTH(Call_Table_Data[[#This Row],[Date of Call]])&lt;=3,YEAR(Call_Table_Data[[#This Row],[Date of Call]]),YEAR(Call_Table_Data[[#This Row],[Date of Call]])+1)</f>
        <v>2024</v>
      </c>
      <c r="I812" s="9" t="str">
        <f>TEXT(Call_Table_Data[[#This Row],[Date of Call]],"DDDD")</f>
        <v>Sunday</v>
      </c>
      <c r="J812" s="9" t="str" cm="1">
        <f t="array" ref="J812">_xlfn.IFS(Call_Table_Data[[#This Row],[Duration]]&lt;=10,"Under 10 Mins",Call_Table_Data[[#This Row],[Duration]]&lt;=30,"10 to 30 Mins",Call_Table_Data[[#This Row],[Duration]]&lt;=60,"30 to 60 Mins",Call_Table_Data[[#This Row],[Duration]]&lt;=120,"1 to 2 Hours",TRUE,"More Than 2 Hours")</f>
        <v>1 to 2 Hours</v>
      </c>
      <c r="K812" s="9">
        <f>ROUND(Call_Table_Data[[#This Row],[Satisfaction Rating]],0)</f>
        <v>4</v>
      </c>
    </row>
    <row r="813" spans="1:11" x14ac:dyDescent="0.3">
      <c r="A813" s="9" t="s">
        <v>850</v>
      </c>
      <c r="B813" s="9" t="s">
        <v>49</v>
      </c>
      <c r="C813" s="9">
        <v>94</v>
      </c>
      <c r="D813" s="10" t="s">
        <v>46</v>
      </c>
      <c r="E813" s="11">
        <v>45208</v>
      </c>
      <c r="F813" s="9">
        <v>120</v>
      </c>
      <c r="G813" s="9">
        <v>3.4</v>
      </c>
      <c r="H813" s="9">
        <f>IF(MONTH(Call_Table_Data[[#This Row],[Date of Call]])&lt;=3,YEAR(Call_Table_Data[[#This Row],[Date of Call]]),YEAR(Call_Table_Data[[#This Row],[Date of Call]])+1)</f>
        <v>2024</v>
      </c>
      <c r="I813" s="9" t="str">
        <f>TEXT(Call_Table_Data[[#This Row],[Date of Call]],"DDDD")</f>
        <v>Monday</v>
      </c>
      <c r="J813" s="9" t="str" cm="1">
        <f t="array" ref="J813">_xlfn.IFS(Call_Table_Data[[#This Row],[Duration]]&lt;=10,"Under 10 Mins",Call_Table_Data[[#This Row],[Duration]]&lt;=30,"10 to 30 Mins",Call_Table_Data[[#This Row],[Duration]]&lt;=60,"30 to 60 Mins",Call_Table_Data[[#This Row],[Duration]]&lt;=120,"1 to 2 Hours",TRUE,"More Than 2 Hours")</f>
        <v>1 to 2 Hours</v>
      </c>
      <c r="K813" s="9">
        <f>ROUND(Call_Table_Data[[#This Row],[Satisfaction Rating]],0)</f>
        <v>3</v>
      </c>
    </row>
    <row r="814" spans="1:11" x14ac:dyDescent="0.3">
      <c r="A814" s="9" t="s">
        <v>851</v>
      </c>
      <c r="B814" s="9" t="s">
        <v>50</v>
      </c>
      <c r="C814" s="9">
        <v>56</v>
      </c>
      <c r="D814" s="10" t="s">
        <v>46</v>
      </c>
      <c r="E814" s="11">
        <v>45208</v>
      </c>
      <c r="F814" s="9">
        <v>205</v>
      </c>
      <c r="G814" s="9">
        <v>3.3</v>
      </c>
      <c r="H814" s="9">
        <f>IF(MONTH(Call_Table_Data[[#This Row],[Date of Call]])&lt;=3,YEAR(Call_Table_Data[[#This Row],[Date of Call]]),YEAR(Call_Table_Data[[#This Row],[Date of Call]])+1)</f>
        <v>2024</v>
      </c>
      <c r="I814" s="9" t="str">
        <f>TEXT(Call_Table_Data[[#This Row],[Date of Call]],"DDDD")</f>
        <v>Monday</v>
      </c>
      <c r="J814" s="9" t="str" cm="1">
        <f t="array" ref="J814">_xlfn.IFS(Call_Table_Data[[#This Row],[Duration]]&lt;=10,"Under 10 Mins",Call_Table_Data[[#This Row],[Duration]]&lt;=30,"10 to 30 Mins",Call_Table_Data[[#This Row],[Duration]]&lt;=60,"30 to 60 Mins",Call_Table_Data[[#This Row],[Duration]]&lt;=120,"1 to 2 Hours",TRUE,"More Than 2 Hours")</f>
        <v>30 to 60 Mins</v>
      </c>
      <c r="K814" s="9">
        <f>ROUND(Call_Table_Data[[#This Row],[Satisfaction Rating]],0)</f>
        <v>3</v>
      </c>
    </row>
    <row r="815" spans="1:11" x14ac:dyDescent="0.3">
      <c r="A815" s="9" t="s">
        <v>852</v>
      </c>
      <c r="B815" s="9" t="s">
        <v>43</v>
      </c>
      <c r="C815" s="9">
        <v>41</v>
      </c>
      <c r="D815" s="10" t="s">
        <v>27</v>
      </c>
      <c r="E815" s="11">
        <v>45209</v>
      </c>
      <c r="F815" s="9">
        <v>42</v>
      </c>
      <c r="G815" s="9">
        <v>3.8</v>
      </c>
      <c r="H815" s="9">
        <f>IF(MONTH(Call_Table_Data[[#This Row],[Date of Call]])&lt;=3,YEAR(Call_Table_Data[[#This Row],[Date of Call]]),YEAR(Call_Table_Data[[#This Row],[Date of Call]])+1)</f>
        <v>2024</v>
      </c>
      <c r="I815" s="9" t="str">
        <f>TEXT(Call_Table_Data[[#This Row],[Date of Call]],"DDDD")</f>
        <v>Tuesday</v>
      </c>
      <c r="J815" s="9" t="str" cm="1">
        <f t="array" ref="J815">_xlfn.IFS(Call_Table_Data[[#This Row],[Duration]]&lt;=10,"Under 10 Mins",Call_Table_Data[[#This Row],[Duration]]&lt;=30,"10 to 30 Mins",Call_Table_Data[[#This Row],[Duration]]&lt;=60,"30 to 60 Mins",Call_Table_Data[[#This Row],[Duration]]&lt;=120,"1 to 2 Hours",TRUE,"More Than 2 Hours")</f>
        <v>30 to 60 Mins</v>
      </c>
      <c r="K815" s="9">
        <f>ROUND(Call_Table_Data[[#This Row],[Satisfaction Rating]],0)</f>
        <v>4</v>
      </c>
    </row>
    <row r="816" spans="1:11" x14ac:dyDescent="0.3">
      <c r="A816" s="9" t="s">
        <v>853</v>
      </c>
      <c r="B816" s="9" t="s">
        <v>32</v>
      </c>
      <c r="C816" s="9">
        <v>119</v>
      </c>
      <c r="D816" s="10" t="s">
        <v>40</v>
      </c>
      <c r="E816" s="11">
        <v>45209</v>
      </c>
      <c r="F816" s="9">
        <v>111</v>
      </c>
      <c r="G816" s="9">
        <v>3.9</v>
      </c>
      <c r="H816" s="9">
        <f>IF(MONTH(Call_Table_Data[[#This Row],[Date of Call]])&lt;=3,YEAR(Call_Table_Data[[#This Row],[Date of Call]]),YEAR(Call_Table_Data[[#This Row],[Date of Call]])+1)</f>
        <v>2024</v>
      </c>
      <c r="I816" s="9" t="str">
        <f>TEXT(Call_Table_Data[[#This Row],[Date of Call]],"DDDD")</f>
        <v>Tuesday</v>
      </c>
      <c r="J816" s="9" t="str" cm="1">
        <f t="array" ref="J816">_xlfn.IFS(Call_Table_Data[[#This Row],[Duration]]&lt;=10,"Under 10 Mins",Call_Table_Data[[#This Row],[Duration]]&lt;=30,"10 to 30 Mins",Call_Table_Data[[#This Row],[Duration]]&lt;=60,"30 to 60 Mins",Call_Table_Data[[#This Row],[Duration]]&lt;=120,"1 to 2 Hours",TRUE,"More Than 2 Hours")</f>
        <v>1 to 2 Hours</v>
      </c>
      <c r="K816" s="9">
        <f>ROUND(Call_Table_Data[[#This Row],[Satisfaction Rating]],0)</f>
        <v>4</v>
      </c>
    </row>
    <row r="817" spans="1:11" x14ac:dyDescent="0.3">
      <c r="A817" s="9" t="s">
        <v>854</v>
      </c>
      <c r="B817" s="9" t="s">
        <v>30</v>
      </c>
      <c r="C817" s="9">
        <v>108</v>
      </c>
      <c r="D817" s="10" t="s">
        <v>46</v>
      </c>
      <c r="E817" s="11">
        <v>45209</v>
      </c>
      <c r="F817" s="9">
        <v>68</v>
      </c>
      <c r="G817" s="9">
        <v>2.5</v>
      </c>
      <c r="H817" s="9">
        <f>IF(MONTH(Call_Table_Data[[#This Row],[Date of Call]])&lt;=3,YEAR(Call_Table_Data[[#This Row],[Date of Call]]),YEAR(Call_Table_Data[[#This Row],[Date of Call]])+1)</f>
        <v>2024</v>
      </c>
      <c r="I817" s="9" t="str">
        <f>TEXT(Call_Table_Data[[#This Row],[Date of Call]],"DDDD")</f>
        <v>Tuesday</v>
      </c>
      <c r="J817" s="9" t="str" cm="1">
        <f t="array" ref="J817">_xlfn.IFS(Call_Table_Data[[#This Row],[Duration]]&lt;=10,"Under 10 Mins",Call_Table_Data[[#This Row],[Duration]]&lt;=30,"10 to 30 Mins",Call_Table_Data[[#This Row],[Duration]]&lt;=60,"30 to 60 Mins",Call_Table_Data[[#This Row],[Duration]]&lt;=120,"1 to 2 Hours",TRUE,"More Than 2 Hours")</f>
        <v>1 to 2 Hours</v>
      </c>
      <c r="K817" s="9">
        <f>ROUND(Call_Table_Data[[#This Row],[Satisfaction Rating]],0)</f>
        <v>3</v>
      </c>
    </row>
    <row r="818" spans="1:11" x14ac:dyDescent="0.3">
      <c r="A818" s="9" t="s">
        <v>855</v>
      </c>
      <c r="B818" s="9" t="s">
        <v>18</v>
      </c>
      <c r="C818" s="9">
        <v>63</v>
      </c>
      <c r="D818" s="10" t="s">
        <v>17</v>
      </c>
      <c r="E818" s="11">
        <v>45209</v>
      </c>
      <c r="F818" s="9">
        <v>172</v>
      </c>
      <c r="G818" s="9">
        <v>4.9000000000000004</v>
      </c>
      <c r="H818" s="9">
        <f>IF(MONTH(Call_Table_Data[[#This Row],[Date of Call]])&lt;=3,YEAR(Call_Table_Data[[#This Row],[Date of Call]]),YEAR(Call_Table_Data[[#This Row],[Date of Call]])+1)</f>
        <v>2024</v>
      </c>
      <c r="I818" s="9" t="str">
        <f>TEXT(Call_Table_Data[[#This Row],[Date of Call]],"DDDD")</f>
        <v>Tuesday</v>
      </c>
      <c r="J818" s="9" t="str" cm="1">
        <f t="array" ref="J818">_xlfn.IFS(Call_Table_Data[[#This Row],[Duration]]&lt;=10,"Under 10 Mins",Call_Table_Data[[#This Row],[Duration]]&lt;=30,"10 to 30 Mins",Call_Table_Data[[#This Row],[Duration]]&lt;=60,"30 to 60 Mins",Call_Table_Data[[#This Row],[Duration]]&lt;=120,"1 to 2 Hours",TRUE,"More Than 2 Hours")</f>
        <v>1 to 2 Hours</v>
      </c>
      <c r="K818" s="9">
        <f>ROUND(Call_Table_Data[[#This Row],[Satisfaction Rating]],0)</f>
        <v>5</v>
      </c>
    </row>
    <row r="819" spans="1:11" x14ac:dyDescent="0.3">
      <c r="A819" s="9" t="s">
        <v>856</v>
      </c>
      <c r="B819" s="9" t="s">
        <v>54</v>
      </c>
      <c r="C819" s="9">
        <v>59</v>
      </c>
      <c r="D819" s="10" t="s">
        <v>46</v>
      </c>
      <c r="E819" s="11">
        <v>45209</v>
      </c>
      <c r="F819" s="9">
        <v>152</v>
      </c>
      <c r="G819" s="9">
        <v>4.8</v>
      </c>
      <c r="H819" s="9">
        <f>IF(MONTH(Call_Table_Data[[#This Row],[Date of Call]])&lt;=3,YEAR(Call_Table_Data[[#This Row],[Date of Call]]),YEAR(Call_Table_Data[[#This Row],[Date of Call]])+1)</f>
        <v>2024</v>
      </c>
      <c r="I819" s="9" t="str">
        <f>TEXT(Call_Table_Data[[#This Row],[Date of Call]],"DDDD")</f>
        <v>Tuesday</v>
      </c>
      <c r="J819" s="9" t="str" cm="1">
        <f t="array" ref="J819">_xlfn.IFS(Call_Table_Data[[#This Row],[Duration]]&lt;=10,"Under 10 Mins",Call_Table_Data[[#This Row],[Duration]]&lt;=30,"10 to 30 Mins",Call_Table_Data[[#This Row],[Duration]]&lt;=60,"30 to 60 Mins",Call_Table_Data[[#This Row],[Duration]]&lt;=120,"1 to 2 Hours",TRUE,"More Than 2 Hours")</f>
        <v>30 to 60 Mins</v>
      </c>
      <c r="K819" s="9">
        <f>ROUND(Call_Table_Data[[#This Row],[Satisfaction Rating]],0)</f>
        <v>5</v>
      </c>
    </row>
    <row r="820" spans="1:11" x14ac:dyDescent="0.3">
      <c r="A820" s="9" t="s">
        <v>857</v>
      </c>
      <c r="B820" s="9" t="s">
        <v>54</v>
      </c>
      <c r="C820" s="9">
        <v>90</v>
      </c>
      <c r="D820" s="10" t="s">
        <v>27</v>
      </c>
      <c r="E820" s="11">
        <v>45209</v>
      </c>
      <c r="F820" s="9">
        <v>48</v>
      </c>
      <c r="G820" s="9">
        <v>4.7</v>
      </c>
      <c r="H820" s="9">
        <f>IF(MONTH(Call_Table_Data[[#This Row],[Date of Call]])&lt;=3,YEAR(Call_Table_Data[[#This Row],[Date of Call]]),YEAR(Call_Table_Data[[#This Row],[Date of Call]])+1)</f>
        <v>2024</v>
      </c>
      <c r="I820" s="9" t="str">
        <f>TEXT(Call_Table_Data[[#This Row],[Date of Call]],"DDDD")</f>
        <v>Tuesday</v>
      </c>
      <c r="J820" s="9" t="str" cm="1">
        <f t="array" ref="J820">_xlfn.IFS(Call_Table_Data[[#This Row],[Duration]]&lt;=10,"Under 10 Mins",Call_Table_Data[[#This Row],[Duration]]&lt;=30,"10 to 30 Mins",Call_Table_Data[[#This Row],[Duration]]&lt;=60,"30 to 60 Mins",Call_Table_Data[[#This Row],[Duration]]&lt;=120,"1 to 2 Hours",TRUE,"More Than 2 Hours")</f>
        <v>1 to 2 Hours</v>
      </c>
      <c r="K820" s="9">
        <f>ROUND(Call_Table_Data[[#This Row],[Satisfaction Rating]],0)</f>
        <v>5</v>
      </c>
    </row>
    <row r="821" spans="1:11" x14ac:dyDescent="0.3">
      <c r="A821" s="9" t="s">
        <v>858</v>
      </c>
      <c r="B821" s="9" t="s">
        <v>45</v>
      </c>
      <c r="C821" s="9">
        <v>55</v>
      </c>
      <c r="D821" s="10" t="s">
        <v>27</v>
      </c>
      <c r="E821" s="11">
        <v>45209</v>
      </c>
      <c r="F821" s="9">
        <v>25</v>
      </c>
      <c r="G821" s="9">
        <v>4.7</v>
      </c>
      <c r="H821" s="9">
        <f>IF(MONTH(Call_Table_Data[[#This Row],[Date of Call]])&lt;=3,YEAR(Call_Table_Data[[#This Row],[Date of Call]]),YEAR(Call_Table_Data[[#This Row],[Date of Call]])+1)</f>
        <v>2024</v>
      </c>
      <c r="I821" s="9" t="str">
        <f>TEXT(Call_Table_Data[[#This Row],[Date of Call]],"DDDD")</f>
        <v>Tuesday</v>
      </c>
      <c r="J821" s="9" t="str" cm="1">
        <f t="array" ref="J821">_xlfn.IFS(Call_Table_Data[[#This Row],[Duration]]&lt;=10,"Under 10 Mins",Call_Table_Data[[#This Row],[Duration]]&lt;=30,"10 to 30 Mins",Call_Table_Data[[#This Row],[Duration]]&lt;=60,"30 to 60 Mins",Call_Table_Data[[#This Row],[Duration]]&lt;=120,"1 to 2 Hours",TRUE,"More Than 2 Hours")</f>
        <v>30 to 60 Mins</v>
      </c>
      <c r="K821" s="9">
        <f>ROUND(Call_Table_Data[[#This Row],[Satisfaction Rating]],0)</f>
        <v>5</v>
      </c>
    </row>
    <row r="822" spans="1:11" x14ac:dyDescent="0.3">
      <c r="A822" s="9" t="s">
        <v>859</v>
      </c>
      <c r="B822" s="9" t="s">
        <v>30</v>
      </c>
      <c r="C822" s="9">
        <v>84</v>
      </c>
      <c r="D822" s="10" t="s">
        <v>40</v>
      </c>
      <c r="E822" s="11">
        <v>45210</v>
      </c>
      <c r="F822" s="9">
        <v>54</v>
      </c>
      <c r="G822" s="9">
        <v>3.3</v>
      </c>
      <c r="H822" s="9">
        <f>IF(MONTH(Call_Table_Data[[#This Row],[Date of Call]])&lt;=3,YEAR(Call_Table_Data[[#This Row],[Date of Call]]),YEAR(Call_Table_Data[[#This Row],[Date of Call]])+1)</f>
        <v>2024</v>
      </c>
      <c r="I822" s="9" t="str">
        <f>TEXT(Call_Table_Data[[#This Row],[Date of Call]],"DDDD")</f>
        <v>Wednesday</v>
      </c>
      <c r="J822" s="9" t="str" cm="1">
        <f t="array" ref="J822">_xlfn.IFS(Call_Table_Data[[#This Row],[Duration]]&lt;=10,"Under 10 Mins",Call_Table_Data[[#This Row],[Duration]]&lt;=30,"10 to 30 Mins",Call_Table_Data[[#This Row],[Duration]]&lt;=60,"30 to 60 Mins",Call_Table_Data[[#This Row],[Duration]]&lt;=120,"1 to 2 Hours",TRUE,"More Than 2 Hours")</f>
        <v>1 to 2 Hours</v>
      </c>
      <c r="K822" s="9">
        <f>ROUND(Call_Table_Data[[#This Row],[Satisfaction Rating]],0)</f>
        <v>3</v>
      </c>
    </row>
    <row r="823" spans="1:11" x14ac:dyDescent="0.3">
      <c r="A823" s="9" t="s">
        <v>860</v>
      </c>
      <c r="B823" s="9" t="s">
        <v>30</v>
      </c>
      <c r="C823" s="9">
        <v>150</v>
      </c>
      <c r="D823" s="10" t="s">
        <v>33</v>
      </c>
      <c r="E823" s="11">
        <v>45210</v>
      </c>
      <c r="F823" s="9">
        <v>108</v>
      </c>
      <c r="G823" s="9">
        <v>4.7</v>
      </c>
      <c r="H823" s="9">
        <f>IF(MONTH(Call_Table_Data[[#This Row],[Date of Call]])&lt;=3,YEAR(Call_Table_Data[[#This Row],[Date of Call]]),YEAR(Call_Table_Data[[#This Row],[Date of Call]])+1)</f>
        <v>2024</v>
      </c>
      <c r="I823" s="9" t="str">
        <f>TEXT(Call_Table_Data[[#This Row],[Date of Call]],"DDDD")</f>
        <v>Wednesday</v>
      </c>
      <c r="J823" s="9" t="str" cm="1">
        <f t="array" ref="J823">_xlfn.IFS(Call_Table_Data[[#This Row],[Duration]]&lt;=10,"Under 10 Mins",Call_Table_Data[[#This Row],[Duration]]&lt;=30,"10 to 30 Mins",Call_Table_Data[[#This Row],[Duration]]&lt;=60,"30 to 60 Mins",Call_Table_Data[[#This Row],[Duration]]&lt;=120,"1 to 2 Hours",TRUE,"More Than 2 Hours")</f>
        <v>More Than 2 Hours</v>
      </c>
      <c r="K823" s="9">
        <f>ROUND(Call_Table_Data[[#This Row],[Satisfaction Rating]],0)</f>
        <v>5</v>
      </c>
    </row>
    <row r="824" spans="1:11" x14ac:dyDescent="0.3">
      <c r="A824" s="9" t="s">
        <v>861</v>
      </c>
      <c r="B824" s="9" t="s">
        <v>41</v>
      </c>
      <c r="C824" s="9">
        <v>69</v>
      </c>
      <c r="D824" s="10" t="s">
        <v>46</v>
      </c>
      <c r="E824" s="11">
        <v>45210</v>
      </c>
      <c r="F824" s="9">
        <v>36</v>
      </c>
      <c r="G824" s="9">
        <v>4.5</v>
      </c>
      <c r="H824" s="9">
        <f>IF(MONTH(Call_Table_Data[[#This Row],[Date of Call]])&lt;=3,YEAR(Call_Table_Data[[#This Row],[Date of Call]]),YEAR(Call_Table_Data[[#This Row],[Date of Call]])+1)</f>
        <v>2024</v>
      </c>
      <c r="I824" s="9" t="str">
        <f>TEXT(Call_Table_Data[[#This Row],[Date of Call]],"DDDD")</f>
        <v>Wednesday</v>
      </c>
      <c r="J824" s="9" t="str" cm="1">
        <f t="array" ref="J824">_xlfn.IFS(Call_Table_Data[[#This Row],[Duration]]&lt;=10,"Under 10 Mins",Call_Table_Data[[#This Row],[Duration]]&lt;=30,"10 to 30 Mins",Call_Table_Data[[#This Row],[Duration]]&lt;=60,"30 to 60 Mins",Call_Table_Data[[#This Row],[Duration]]&lt;=120,"1 to 2 Hours",TRUE,"More Than 2 Hours")</f>
        <v>1 to 2 Hours</v>
      </c>
      <c r="K824" s="9">
        <f>ROUND(Call_Table_Data[[#This Row],[Satisfaction Rating]],0)</f>
        <v>5</v>
      </c>
    </row>
    <row r="825" spans="1:11" x14ac:dyDescent="0.3">
      <c r="A825" s="9" t="s">
        <v>862</v>
      </c>
      <c r="B825" s="9" t="s">
        <v>16</v>
      </c>
      <c r="C825" s="9">
        <v>120</v>
      </c>
      <c r="D825" s="10" t="s">
        <v>27</v>
      </c>
      <c r="E825" s="11">
        <v>45211</v>
      </c>
      <c r="F825" s="9">
        <v>140</v>
      </c>
      <c r="G825" s="9">
        <v>4.5999999999999996</v>
      </c>
      <c r="H825" s="9">
        <f>IF(MONTH(Call_Table_Data[[#This Row],[Date of Call]])&lt;=3,YEAR(Call_Table_Data[[#This Row],[Date of Call]]),YEAR(Call_Table_Data[[#This Row],[Date of Call]])+1)</f>
        <v>2024</v>
      </c>
      <c r="I825" s="9" t="str">
        <f>TEXT(Call_Table_Data[[#This Row],[Date of Call]],"DDDD")</f>
        <v>Thursday</v>
      </c>
      <c r="J825" s="9" t="str" cm="1">
        <f t="array" ref="J825">_xlfn.IFS(Call_Table_Data[[#This Row],[Duration]]&lt;=10,"Under 10 Mins",Call_Table_Data[[#This Row],[Duration]]&lt;=30,"10 to 30 Mins",Call_Table_Data[[#This Row],[Duration]]&lt;=60,"30 to 60 Mins",Call_Table_Data[[#This Row],[Duration]]&lt;=120,"1 to 2 Hours",TRUE,"More Than 2 Hours")</f>
        <v>1 to 2 Hours</v>
      </c>
      <c r="K825" s="9">
        <f>ROUND(Call_Table_Data[[#This Row],[Satisfaction Rating]],0)</f>
        <v>5</v>
      </c>
    </row>
    <row r="826" spans="1:11" x14ac:dyDescent="0.3">
      <c r="A826" s="9" t="s">
        <v>863</v>
      </c>
      <c r="B826" s="9" t="s">
        <v>26</v>
      </c>
      <c r="C826" s="9">
        <v>126</v>
      </c>
      <c r="D826" s="10" t="s">
        <v>40</v>
      </c>
      <c r="E826" s="11">
        <v>45211</v>
      </c>
      <c r="F826" s="9">
        <v>50</v>
      </c>
      <c r="G826" s="9">
        <v>4.8</v>
      </c>
      <c r="H826" s="9">
        <f>IF(MONTH(Call_Table_Data[[#This Row],[Date of Call]])&lt;=3,YEAR(Call_Table_Data[[#This Row],[Date of Call]]),YEAR(Call_Table_Data[[#This Row],[Date of Call]])+1)</f>
        <v>2024</v>
      </c>
      <c r="I826" s="9" t="str">
        <f>TEXT(Call_Table_Data[[#This Row],[Date of Call]],"DDDD")</f>
        <v>Thursday</v>
      </c>
      <c r="J826" s="9" t="str" cm="1">
        <f t="array" ref="J826">_xlfn.IFS(Call_Table_Data[[#This Row],[Duration]]&lt;=10,"Under 10 Mins",Call_Table_Data[[#This Row],[Duration]]&lt;=30,"10 to 30 Mins",Call_Table_Data[[#This Row],[Duration]]&lt;=60,"30 to 60 Mins",Call_Table_Data[[#This Row],[Duration]]&lt;=120,"1 to 2 Hours",TRUE,"More Than 2 Hours")</f>
        <v>More Than 2 Hours</v>
      </c>
      <c r="K826" s="9">
        <f>ROUND(Call_Table_Data[[#This Row],[Satisfaction Rating]],0)</f>
        <v>5</v>
      </c>
    </row>
    <row r="827" spans="1:11" x14ac:dyDescent="0.3">
      <c r="A827" s="9" t="s">
        <v>864</v>
      </c>
      <c r="B827" s="9" t="s">
        <v>41</v>
      </c>
      <c r="C827" s="9">
        <v>120</v>
      </c>
      <c r="D827" s="10" t="s">
        <v>17</v>
      </c>
      <c r="E827" s="11">
        <v>45211</v>
      </c>
      <c r="F827" s="9">
        <v>195</v>
      </c>
      <c r="G827" s="9">
        <v>4.3</v>
      </c>
      <c r="H827" s="9">
        <f>IF(MONTH(Call_Table_Data[[#This Row],[Date of Call]])&lt;=3,YEAR(Call_Table_Data[[#This Row],[Date of Call]]),YEAR(Call_Table_Data[[#This Row],[Date of Call]])+1)</f>
        <v>2024</v>
      </c>
      <c r="I827" s="9" t="str">
        <f>TEXT(Call_Table_Data[[#This Row],[Date of Call]],"DDDD")</f>
        <v>Thursday</v>
      </c>
      <c r="J827" s="9" t="str" cm="1">
        <f t="array" ref="J827">_xlfn.IFS(Call_Table_Data[[#This Row],[Duration]]&lt;=10,"Under 10 Mins",Call_Table_Data[[#This Row],[Duration]]&lt;=30,"10 to 30 Mins",Call_Table_Data[[#This Row],[Duration]]&lt;=60,"30 to 60 Mins",Call_Table_Data[[#This Row],[Duration]]&lt;=120,"1 to 2 Hours",TRUE,"More Than 2 Hours")</f>
        <v>1 to 2 Hours</v>
      </c>
      <c r="K827" s="9">
        <f>ROUND(Call_Table_Data[[#This Row],[Satisfaction Rating]],0)</f>
        <v>4</v>
      </c>
    </row>
    <row r="828" spans="1:11" x14ac:dyDescent="0.3">
      <c r="A828" s="9" t="s">
        <v>865</v>
      </c>
      <c r="B828" s="9" t="s">
        <v>26</v>
      </c>
      <c r="C828" s="9">
        <v>139</v>
      </c>
      <c r="D828" s="10" t="s">
        <v>27</v>
      </c>
      <c r="E828" s="11">
        <v>45212</v>
      </c>
      <c r="F828" s="9">
        <v>48</v>
      </c>
      <c r="G828" s="9">
        <v>4.7</v>
      </c>
      <c r="H828" s="9">
        <f>IF(MONTH(Call_Table_Data[[#This Row],[Date of Call]])&lt;=3,YEAR(Call_Table_Data[[#This Row],[Date of Call]]),YEAR(Call_Table_Data[[#This Row],[Date of Call]])+1)</f>
        <v>2024</v>
      </c>
      <c r="I828" s="9" t="str">
        <f>TEXT(Call_Table_Data[[#This Row],[Date of Call]],"DDDD")</f>
        <v>Friday</v>
      </c>
      <c r="J828" s="9" t="str" cm="1">
        <f t="array" ref="J828">_xlfn.IFS(Call_Table_Data[[#This Row],[Duration]]&lt;=10,"Under 10 Mins",Call_Table_Data[[#This Row],[Duration]]&lt;=30,"10 to 30 Mins",Call_Table_Data[[#This Row],[Duration]]&lt;=60,"30 to 60 Mins",Call_Table_Data[[#This Row],[Duration]]&lt;=120,"1 to 2 Hours",TRUE,"More Than 2 Hours")</f>
        <v>More Than 2 Hours</v>
      </c>
      <c r="K828" s="9">
        <f>ROUND(Call_Table_Data[[#This Row],[Satisfaction Rating]],0)</f>
        <v>5</v>
      </c>
    </row>
    <row r="829" spans="1:11" x14ac:dyDescent="0.3">
      <c r="A829" s="9" t="s">
        <v>866</v>
      </c>
      <c r="B829" s="9" t="s">
        <v>45</v>
      </c>
      <c r="C829" s="9">
        <v>124</v>
      </c>
      <c r="D829" s="10" t="s">
        <v>46</v>
      </c>
      <c r="E829" s="11">
        <v>45213</v>
      </c>
      <c r="F829" s="9">
        <v>29</v>
      </c>
      <c r="G829" s="9">
        <v>4.8</v>
      </c>
      <c r="H829" s="9">
        <f>IF(MONTH(Call_Table_Data[[#This Row],[Date of Call]])&lt;=3,YEAR(Call_Table_Data[[#This Row],[Date of Call]]),YEAR(Call_Table_Data[[#This Row],[Date of Call]])+1)</f>
        <v>2024</v>
      </c>
      <c r="I829" s="9" t="str">
        <f>TEXT(Call_Table_Data[[#This Row],[Date of Call]],"DDDD")</f>
        <v>Saturday</v>
      </c>
      <c r="J829" s="9" t="str" cm="1">
        <f t="array" ref="J829">_xlfn.IFS(Call_Table_Data[[#This Row],[Duration]]&lt;=10,"Under 10 Mins",Call_Table_Data[[#This Row],[Duration]]&lt;=30,"10 to 30 Mins",Call_Table_Data[[#This Row],[Duration]]&lt;=60,"30 to 60 Mins",Call_Table_Data[[#This Row],[Duration]]&lt;=120,"1 to 2 Hours",TRUE,"More Than 2 Hours")</f>
        <v>More Than 2 Hours</v>
      </c>
      <c r="K829" s="9">
        <f>ROUND(Call_Table_Data[[#This Row],[Satisfaction Rating]],0)</f>
        <v>5</v>
      </c>
    </row>
    <row r="830" spans="1:11" x14ac:dyDescent="0.3">
      <c r="A830" s="9" t="s">
        <v>867</v>
      </c>
      <c r="B830" s="9" t="s">
        <v>16</v>
      </c>
      <c r="C830" s="9">
        <v>108</v>
      </c>
      <c r="D830" s="10" t="s">
        <v>17</v>
      </c>
      <c r="E830" s="11">
        <v>45213</v>
      </c>
      <c r="F830" s="9">
        <v>44</v>
      </c>
      <c r="G830" s="9">
        <v>4.7</v>
      </c>
      <c r="H830" s="9">
        <f>IF(MONTH(Call_Table_Data[[#This Row],[Date of Call]])&lt;=3,YEAR(Call_Table_Data[[#This Row],[Date of Call]]),YEAR(Call_Table_Data[[#This Row],[Date of Call]])+1)</f>
        <v>2024</v>
      </c>
      <c r="I830" s="9" t="str">
        <f>TEXT(Call_Table_Data[[#This Row],[Date of Call]],"DDDD")</f>
        <v>Saturday</v>
      </c>
      <c r="J830" s="9" t="str" cm="1">
        <f t="array" ref="J830">_xlfn.IFS(Call_Table_Data[[#This Row],[Duration]]&lt;=10,"Under 10 Mins",Call_Table_Data[[#This Row],[Duration]]&lt;=30,"10 to 30 Mins",Call_Table_Data[[#This Row],[Duration]]&lt;=60,"30 to 60 Mins",Call_Table_Data[[#This Row],[Duration]]&lt;=120,"1 to 2 Hours",TRUE,"More Than 2 Hours")</f>
        <v>1 to 2 Hours</v>
      </c>
      <c r="K830" s="9">
        <f>ROUND(Call_Table_Data[[#This Row],[Satisfaction Rating]],0)</f>
        <v>5</v>
      </c>
    </row>
    <row r="831" spans="1:11" x14ac:dyDescent="0.3">
      <c r="A831" s="9" t="s">
        <v>868</v>
      </c>
      <c r="B831" s="9" t="s">
        <v>22</v>
      </c>
      <c r="C831" s="9">
        <v>132</v>
      </c>
      <c r="D831" s="10" t="s">
        <v>33</v>
      </c>
      <c r="E831" s="11">
        <v>45213</v>
      </c>
      <c r="F831" s="9">
        <v>140</v>
      </c>
      <c r="G831" s="9">
        <v>4.3</v>
      </c>
      <c r="H831" s="9">
        <f>IF(MONTH(Call_Table_Data[[#This Row],[Date of Call]])&lt;=3,YEAR(Call_Table_Data[[#This Row],[Date of Call]]),YEAR(Call_Table_Data[[#This Row],[Date of Call]])+1)</f>
        <v>2024</v>
      </c>
      <c r="I831" s="9" t="str">
        <f>TEXT(Call_Table_Data[[#This Row],[Date of Call]],"DDDD")</f>
        <v>Saturday</v>
      </c>
      <c r="J831" s="9" t="str" cm="1">
        <f t="array" ref="J831">_xlfn.IFS(Call_Table_Data[[#This Row],[Duration]]&lt;=10,"Under 10 Mins",Call_Table_Data[[#This Row],[Duration]]&lt;=30,"10 to 30 Mins",Call_Table_Data[[#This Row],[Duration]]&lt;=60,"30 to 60 Mins",Call_Table_Data[[#This Row],[Duration]]&lt;=120,"1 to 2 Hours",TRUE,"More Than 2 Hours")</f>
        <v>More Than 2 Hours</v>
      </c>
      <c r="K831" s="9">
        <f>ROUND(Call_Table_Data[[#This Row],[Satisfaction Rating]],0)</f>
        <v>4</v>
      </c>
    </row>
    <row r="832" spans="1:11" x14ac:dyDescent="0.3">
      <c r="A832" s="9" t="s">
        <v>869</v>
      </c>
      <c r="B832" s="9" t="s">
        <v>18</v>
      </c>
      <c r="C832" s="9">
        <v>67</v>
      </c>
      <c r="D832" s="10" t="s">
        <v>33</v>
      </c>
      <c r="E832" s="11">
        <v>45213</v>
      </c>
      <c r="F832" s="9">
        <v>105</v>
      </c>
      <c r="G832" s="9">
        <v>3.8</v>
      </c>
      <c r="H832" s="9">
        <f>IF(MONTH(Call_Table_Data[[#This Row],[Date of Call]])&lt;=3,YEAR(Call_Table_Data[[#This Row],[Date of Call]]),YEAR(Call_Table_Data[[#This Row],[Date of Call]])+1)</f>
        <v>2024</v>
      </c>
      <c r="I832" s="9" t="str">
        <f>TEXT(Call_Table_Data[[#This Row],[Date of Call]],"DDDD")</f>
        <v>Saturday</v>
      </c>
      <c r="J832" s="9" t="str" cm="1">
        <f t="array" ref="J832">_xlfn.IFS(Call_Table_Data[[#This Row],[Duration]]&lt;=10,"Under 10 Mins",Call_Table_Data[[#This Row],[Duration]]&lt;=30,"10 to 30 Mins",Call_Table_Data[[#This Row],[Duration]]&lt;=60,"30 to 60 Mins",Call_Table_Data[[#This Row],[Duration]]&lt;=120,"1 to 2 Hours",TRUE,"More Than 2 Hours")</f>
        <v>1 to 2 Hours</v>
      </c>
      <c r="K832" s="9">
        <f>ROUND(Call_Table_Data[[#This Row],[Satisfaction Rating]],0)</f>
        <v>4</v>
      </c>
    </row>
    <row r="833" spans="1:11" x14ac:dyDescent="0.3">
      <c r="A833" s="9" t="s">
        <v>870</v>
      </c>
      <c r="B833" s="9" t="s">
        <v>37</v>
      </c>
      <c r="C833" s="9">
        <v>125</v>
      </c>
      <c r="D833" s="10" t="s">
        <v>33</v>
      </c>
      <c r="E833" s="11">
        <v>45213</v>
      </c>
      <c r="F833" s="9">
        <v>82</v>
      </c>
      <c r="G833" s="9">
        <v>4.5999999999999996</v>
      </c>
      <c r="H833" s="9">
        <f>IF(MONTH(Call_Table_Data[[#This Row],[Date of Call]])&lt;=3,YEAR(Call_Table_Data[[#This Row],[Date of Call]]),YEAR(Call_Table_Data[[#This Row],[Date of Call]])+1)</f>
        <v>2024</v>
      </c>
      <c r="I833" s="9" t="str">
        <f>TEXT(Call_Table_Data[[#This Row],[Date of Call]],"DDDD")</f>
        <v>Saturday</v>
      </c>
      <c r="J833" s="9" t="str" cm="1">
        <f t="array" ref="J833">_xlfn.IFS(Call_Table_Data[[#This Row],[Duration]]&lt;=10,"Under 10 Mins",Call_Table_Data[[#This Row],[Duration]]&lt;=30,"10 to 30 Mins",Call_Table_Data[[#This Row],[Duration]]&lt;=60,"30 to 60 Mins",Call_Table_Data[[#This Row],[Duration]]&lt;=120,"1 to 2 Hours",TRUE,"More Than 2 Hours")</f>
        <v>More Than 2 Hours</v>
      </c>
      <c r="K833" s="9">
        <f>ROUND(Call_Table_Data[[#This Row],[Satisfaction Rating]],0)</f>
        <v>5</v>
      </c>
    </row>
    <row r="834" spans="1:11" x14ac:dyDescent="0.3">
      <c r="A834" s="9" t="s">
        <v>871</v>
      </c>
      <c r="B834" s="9" t="s">
        <v>16</v>
      </c>
      <c r="C834" s="9">
        <v>23</v>
      </c>
      <c r="D834" s="10" t="s">
        <v>17</v>
      </c>
      <c r="E834" s="11">
        <v>45213</v>
      </c>
      <c r="F834" s="9">
        <v>24</v>
      </c>
      <c r="G834" s="9">
        <v>2.9</v>
      </c>
      <c r="H834" s="9">
        <f>IF(MONTH(Call_Table_Data[[#This Row],[Date of Call]])&lt;=3,YEAR(Call_Table_Data[[#This Row],[Date of Call]]),YEAR(Call_Table_Data[[#This Row],[Date of Call]])+1)</f>
        <v>2024</v>
      </c>
      <c r="I834" s="9" t="str">
        <f>TEXT(Call_Table_Data[[#This Row],[Date of Call]],"DDDD")</f>
        <v>Saturday</v>
      </c>
      <c r="J834" s="9" t="str" cm="1">
        <f t="array" ref="J834">_xlfn.IFS(Call_Table_Data[[#This Row],[Duration]]&lt;=10,"Under 10 Mins",Call_Table_Data[[#This Row],[Duration]]&lt;=30,"10 to 30 Mins",Call_Table_Data[[#This Row],[Duration]]&lt;=60,"30 to 60 Mins",Call_Table_Data[[#This Row],[Duration]]&lt;=120,"1 to 2 Hours",TRUE,"More Than 2 Hours")</f>
        <v>10 to 30 Mins</v>
      </c>
      <c r="K834" s="9">
        <f>ROUND(Call_Table_Data[[#This Row],[Satisfaction Rating]],0)</f>
        <v>3</v>
      </c>
    </row>
    <row r="835" spans="1:11" x14ac:dyDescent="0.3">
      <c r="A835" s="9" t="s">
        <v>872</v>
      </c>
      <c r="B835" s="9" t="s">
        <v>32</v>
      </c>
      <c r="C835" s="9">
        <v>131</v>
      </c>
      <c r="D835" s="10" t="s">
        <v>46</v>
      </c>
      <c r="E835" s="11">
        <v>45214</v>
      </c>
      <c r="F835" s="9">
        <v>205</v>
      </c>
      <c r="G835" s="9">
        <v>4.8</v>
      </c>
      <c r="H835" s="9">
        <f>IF(MONTH(Call_Table_Data[[#This Row],[Date of Call]])&lt;=3,YEAR(Call_Table_Data[[#This Row],[Date of Call]]),YEAR(Call_Table_Data[[#This Row],[Date of Call]])+1)</f>
        <v>2024</v>
      </c>
      <c r="I835" s="9" t="str">
        <f>TEXT(Call_Table_Data[[#This Row],[Date of Call]],"DDDD")</f>
        <v>Sunday</v>
      </c>
      <c r="J835" s="9" t="str" cm="1">
        <f t="array" ref="J835">_xlfn.IFS(Call_Table_Data[[#This Row],[Duration]]&lt;=10,"Under 10 Mins",Call_Table_Data[[#This Row],[Duration]]&lt;=30,"10 to 30 Mins",Call_Table_Data[[#This Row],[Duration]]&lt;=60,"30 to 60 Mins",Call_Table_Data[[#This Row],[Duration]]&lt;=120,"1 to 2 Hours",TRUE,"More Than 2 Hours")</f>
        <v>More Than 2 Hours</v>
      </c>
      <c r="K835" s="9">
        <f>ROUND(Call_Table_Data[[#This Row],[Satisfaction Rating]],0)</f>
        <v>5</v>
      </c>
    </row>
    <row r="836" spans="1:11" x14ac:dyDescent="0.3">
      <c r="A836" s="9" t="s">
        <v>873</v>
      </c>
      <c r="B836" s="9" t="s">
        <v>22</v>
      </c>
      <c r="C836" s="9">
        <v>56</v>
      </c>
      <c r="D836" s="10" t="s">
        <v>27</v>
      </c>
      <c r="E836" s="11">
        <v>45214</v>
      </c>
      <c r="F836" s="9">
        <v>225</v>
      </c>
      <c r="G836" s="9">
        <v>4.9000000000000004</v>
      </c>
      <c r="H836" s="9">
        <f>IF(MONTH(Call_Table_Data[[#This Row],[Date of Call]])&lt;=3,YEAR(Call_Table_Data[[#This Row],[Date of Call]]),YEAR(Call_Table_Data[[#This Row],[Date of Call]])+1)</f>
        <v>2024</v>
      </c>
      <c r="I836" s="9" t="str">
        <f>TEXT(Call_Table_Data[[#This Row],[Date of Call]],"DDDD")</f>
        <v>Sunday</v>
      </c>
      <c r="J836" s="9" t="str" cm="1">
        <f t="array" ref="J836">_xlfn.IFS(Call_Table_Data[[#This Row],[Duration]]&lt;=10,"Under 10 Mins",Call_Table_Data[[#This Row],[Duration]]&lt;=30,"10 to 30 Mins",Call_Table_Data[[#This Row],[Duration]]&lt;=60,"30 to 60 Mins",Call_Table_Data[[#This Row],[Duration]]&lt;=120,"1 to 2 Hours",TRUE,"More Than 2 Hours")</f>
        <v>30 to 60 Mins</v>
      </c>
      <c r="K836" s="9">
        <f>ROUND(Call_Table_Data[[#This Row],[Satisfaction Rating]],0)</f>
        <v>5</v>
      </c>
    </row>
    <row r="837" spans="1:11" x14ac:dyDescent="0.3">
      <c r="A837" s="9" t="s">
        <v>874</v>
      </c>
      <c r="B837" s="9" t="s">
        <v>32</v>
      </c>
      <c r="C837" s="9">
        <v>70</v>
      </c>
      <c r="D837" s="10" t="s">
        <v>46</v>
      </c>
      <c r="E837" s="11">
        <v>45214</v>
      </c>
      <c r="F837" s="9">
        <v>50</v>
      </c>
      <c r="G837" s="9">
        <v>3.4</v>
      </c>
      <c r="H837" s="9">
        <f>IF(MONTH(Call_Table_Data[[#This Row],[Date of Call]])&lt;=3,YEAR(Call_Table_Data[[#This Row],[Date of Call]]),YEAR(Call_Table_Data[[#This Row],[Date of Call]])+1)</f>
        <v>2024</v>
      </c>
      <c r="I837" s="9" t="str">
        <f>TEXT(Call_Table_Data[[#This Row],[Date of Call]],"DDDD")</f>
        <v>Sunday</v>
      </c>
      <c r="J837" s="9" t="str" cm="1">
        <f t="array" ref="J837">_xlfn.IFS(Call_Table_Data[[#This Row],[Duration]]&lt;=10,"Under 10 Mins",Call_Table_Data[[#This Row],[Duration]]&lt;=30,"10 to 30 Mins",Call_Table_Data[[#This Row],[Duration]]&lt;=60,"30 to 60 Mins",Call_Table_Data[[#This Row],[Duration]]&lt;=120,"1 to 2 Hours",TRUE,"More Than 2 Hours")</f>
        <v>1 to 2 Hours</v>
      </c>
      <c r="K837" s="9">
        <f>ROUND(Call_Table_Data[[#This Row],[Satisfaction Rating]],0)</f>
        <v>3</v>
      </c>
    </row>
    <row r="838" spans="1:11" x14ac:dyDescent="0.3">
      <c r="A838" s="9" t="s">
        <v>875</v>
      </c>
      <c r="B838" s="9" t="s">
        <v>32</v>
      </c>
      <c r="C838" s="9">
        <v>55</v>
      </c>
      <c r="D838" s="10" t="s">
        <v>33</v>
      </c>
      <c r="E838" s="11">
        <v>45214</v>
      </c>
      <c r="F838" s="9">
        <v>80</v>
      </c>
      <c r="G838" s="9">
        <v>4.3</v>
      </c>
      <c r="H838" s="9">
        <f>IF(MONTH(Call_Table_Data[[#This Row],[Date of Call]])&lt;=3,YEAR(Call_Table_Data[[#This Row],[Date of Call]]),YEAR(Call_Table_Data[[#This Row],[Date of Call]])+1)</f>
        <v>2024</v>
      </c>
      <c r="I838" s="9" t="str">
        <f>TEXT(Call_Table_Data[[#This Row],[Date of Call]],"DDDD")</f>
        <v>Sunday</v>
      </c>
      <c r="J838" s="9" t="str" cm="1">
        <f t="array" ref="J838">_xlfn.IFS(Call_Table_Data[[#This Row],[Duration]]&lt;=10,"Under 10 Mins",Call_Table_Data[[#This Row],[Duration]]&lt;=30,"10 to 30 Mins",Call_Table_Data[[#This Row],[Duration]]&lt;=60,"30 to 60 Mins",Call_Table_Data[[#This Row],[Duration]]&lt;=120,"1 to 2 Hours",TRUE,"More Than 2 Hours")</f>
        <v>30 to 60 Mins</v>
      </c>
      <c r="K838" s="9">
        <f>ROUND(Call_Table_Data[[#This Row],[Satisfaction Rating]],0)</f>
        <v>4</v>
      </c>
    </row>
    <row r="839" spans="1:11" x14ac:dyDescent="0.3">
      <c r="A839" s="9" t="s">
        <v>876</v>
      </c>
      <c r="B839" s="9" t="s">
        <v>37</v>
      </c>
      <c r="C839" s="9">
        <v>77</v>
      </c>
      <c r="D839" s="10" t="s">
        <v>27</v>
      </c>
      <c r="E839" s="11">
        <v>45214</v>
      </c>
      <c r="F839" s="9">
        <v>78</v>
      </c>
      <c r="G839" s="9">
        <v>3.9</v>
      </c>
      <c r="H839" s="9">
        <f>IF(MONTH(Call_Table_Data[[#This Row],[Date of Call]])&lt;=3,YEAR(Call_Table_Data[[#This Row],[Date of Call]]),YEAR(Call_Table_Data[[#This Row],[Date of Call]])+1)</f>
        <v>2024</v>
      </c>
      <c r="I839" s="9" t="str">
        <f>TEXT(Call_Table_Data[[#This Row],[Date of Call]],"DDDD")</f>
        <v>Sunday</v>
      </c>
      <c r="J839" s="9" t="str" cm="1">
        <f t="array" ref="J839">_xlfn.IFS(Call_Table_Data[[#This Row],[Duration]]&lt;=10,"Under 10 Mins",Call_Table_Data[[#This Row],[Duration]]&lt;=30,"10 to 30 Mins",Call_Table_Data[[#This Row],[Duration]]&lt;=60,"30 to 60 Mins",Call_Table_Data[[#This Row],[Duration]]&lt;=120,"1 to 2 Hours",TRUE,"More Than 2 Hours")</f>
        <v>1 to 2 Hours</v>
      </c>
      <c r="K839" s="9">
        <f>ROUND(Call_Table_Data[[#This Row],[Satisfaction Rating]],0)</f>
        <v>4</v>
      </c>
    </row>
    <row r="840" spans="1:11" x14ac:dyDescent="0.3">
      <c r="A840" s="9" t="s">
        <v>877</v>
      </c>
      <c r="B840" s="9" t="s">
        <v>30</v>
      </c>
      <c r="C840" s="9">
        <v>133</v>
      </c>
      <c r="D840" s="10" t="s">
        <v>46</v>
      </c>
      <c r="E840" s="11">
        <v>45215</v>
      </c>
      <c r="F840" s="9">
        <v>40</v>
      </c>
      <c r="G840" s="9">
        <v>3.9</v>
      </c>
      <c r="H840" s="9">
        <f>IF(MONTH(Call_Table_Data[[#This Row],[Date of Call]])&lt;=3,YEAR(Call_Table_Data[[#This Row],[Date of Call]]),YEAR(Call_Table_Data[[#This Row],[Date of Call]])+1)</f>
        <v>2024</v>
      </c>
      <c r="I840" s="9" t="str">
        <f>TEXT(Call_Table_Data[[#This Row],[Date of Call]],"DDDD")</f>
        <v>Monday</v>
      </c>
      <c r="J840" s="9" t="str" cm="1">
        <f t="array" ref="J840">_xlfn.IFS(Call_Table_Data[[#This Row],[Duration]]&lt;=10,"Under 10 Mins",Call_Table_Data[[#This Row],[Duration]]&lt;=30,"10 to 30 Mins",Call_Table_Data[[#This Row],[Duration]]&lt;=60,"30 to 60 Mins",Call_Table_Data[[#This Row],[Duration]]&lt;=120,"1 to 2 Hours",TRUE,"More Than 2 Hours")</f>
        <v>More Than 2 Hours</v>
      </c>
      <c r="K840" s="9">
        <f>ROUND(Call_Table_Data[[#This Row],[Satisfaction Rating]],0)</f>
        <v>4</v>
      </c>
    </row>
    <row r="841" spans="1:11" x14ac:dyDescent="0.3">
      <c r="A841" s="9" t="s">
        <v>878</v>
      </c>
      <c r="B841" s="9" t="s">
        <v>37</v>
      </c>
      <c r="C841" s="9">
        <v>77</v>
      </c>
      <c r="D841" s="10" t="s">
        <v>27</v>
      </c>
      <c r="E841" s="11">
        <v>45215</v>
      </c>
      <c r="F841" s="9">
        <v>176</v>
      </c>
      <c r="G841" s="9">
        <v>1.5</v>
      </c>
      <c r="H841" s="9">
        <f>IF(MONTH(Call_Table_Data[[#This Row],[Date of Call]])&lt;=3,YEAR(Call_Table_Data[[#This Row],[Date of Call]]),YEAR(Call_Table_Data[[#This Row],[Date of Call]])+1)</f>
        <v>2024</v>
      </c>
      <c r="I841" s="9" t="str">
        <f>TEXT(Call_Table_Data[[#This Row],[Date of Call]],"DDDD")</f>
        <v>Monday</v>
      </c>
      <c r="J841" s="9" t="str" cm="1">
        <f t="array" ref="J841">_xlfn.IFS(Call_Table_Data[[#This Row],[Duration]]&lt;=10,"Under 10 Mins",Call_Table_Data[[#This Row],[Duration]]&lt;=30,"10 to 30 Mins",Call_Table_Data[[#This Row],[Duration]]&lt;=60,"30 to 60 Mins",Call_Table_Data[[#This Row],[Duration]]&lt;=120,"1 to 2 Hours",TRUE,"More Than 2 Hours")</f>
        <v>1 to 2 Hours</v>
      </c>
      <c r="K841" s="9">
        <f>ROUND(Call_Table_Data[[#This Row],[Satisfaction Rating]],0)</f>
        <v>2</v>
      </c>
    </row>
    <row r="842" spans="1:11" x14ac:dyDescent="0.3">
      <c r="A842" s="9" t="s">
        <v>879</v>
      </c>
      <c r="B842" s="9" t="s">
        <v>54</v>
      </c>
      <c r="C842" s="9">
        <v>103</v>
      </c>
      <c r="D842" s="10" t="s">
        <v>46</v>
      </c>
      <c r="E842" s="11">
        <v>45215</v>
      </c>
      <c r="F842" s="9">
        <v>78</v>
      </c>
      <c r="G842" s="9">
        <v>3</v>
      </c>
      <c r="H842" s="9">
        <f>IF(MONTH(Call_Table_Data[[#This Row],[Date of Call]])&lt;=3,YEAR(Call_Table_Data[[#This Row],[Date of Call]]),YEAR(Call_Table_Data[[#This Row],[Date of Call]])+1)</f>
        <v>2024</v>
      </c>
      <c r="I842" s="9" t="str">
        <f>TEXT(Call_Table_Data[[#This Row],[Date of Call]],"DDDD")</f>
        <v>Monday</v>
      </c>
      <c r="J842" s="9" t="str" cm="1">
        <f t="array" ref="J842">_xlfn.IFS(Call_Table_Data[[#This Row],[Duration]]&lt;=10,"Under 10 Mins",Call_Table_Data[[#This Row],[Duration]]&lt;=30,"10 to 30 Mins",Call_Table_Data[[#This Row],[Duration]]&lt;=60,"30 to 60 Mins",Call_Table_Data[[#This Row],[Duration]]&lt;=120,"1 to 2 Hours",TRUE,"More Than 2 Hours")</f>
        <v>1 to 2 Hours</v>
      </c>
      <c r="K842" s="9">
        <f>ROUND(Call_Table_Data[[#This Row],[Satisfaction Rating]],0)</f>
        <v>3</v>
      </c>
    </row>
    <row r="843" spans="1:11" x14ac:dyDescent="0.3">
      <c r="A843" s="9" t="s">
        <v>880</v>
      </c>
      <c r="B843" s="9" t="s">
        <v>41</v>
      </c>
      <c r="C843" s="9">
        <v>32</v>
      </c>
      <c r="D843" s="10" t="s">
        <v>27</v>
      </c>
      <c r="E843" s="11">
        <v>45215</v>
      </c>
      <c r="F843" s="9">
        <v>42</v>
      </c>
      <c r="G843" s="9">
        <v>4.2</v>
      </c>
      <c r="H843" s="9">
        <f>IF(MONTH(Call_Table_Data[[#This Row],[Date of Call]])&lt;=3,YEAR(Call_Table_Data[[#This Row],[Date of Call]]),YEAR(Call_Table_Data[[#This Row],[Date of Call]])+1)</f>
        <v>2024</v>
      </c>
      <c r="I843" s="9" t="str">
        <f>TEXT(Call_Table_Data[[#This Row],[Date of Call]],"DDDD")</f>
        <v>Monday</v>
      </c>
      <c r="J843" s="9" t="str" cm="1">
        <f t="array" ref="J843">_xlfn.IFS(Call_Table_Data[[#This Row],[Duration]]&lt;=10,"Under 10 Mins",Call_Table_Data[[#This Row],[Duration]]&lt;=30,"10 to 30 Mins",Call_Table_Data[[#This Row],[Duration]]&lt;=60,"30 to 60 Mins",Call_Table_Data[[#This Row],[Duration]]&lt;=120,"1 to 2 Hours",TRUE,"More Than 2 Hours")</f>
        <v>30 to 60 Mins</v>
      </c>
      <c r="K843" s="9">
        <f>ROUND(Call_Table_Data[[#This Row],[Satisfaction Rating]],0)</f>
        <v>4</v>
      </c>
    </row>
    <row r="844" spans="1:11" x14ac:dyDescent="0.3">
      <c r="A844" s="9" t="s">
        <v>881</v>
      </c>
      <c r="B844" s="9" t="s">
        <v>30</v>
      </c>
      <c r="C844" s="9">
        <v>30</v>
      </c>
      <c r="D844" s="10" t="s">
        <v>46</v>
      </c>
      <c r="E844" s="11">
        <v>45215</v>
      </c>
      <c r="F844" s="9">
        <v>38</v>
      </c>
      <c r="G844" s="9">
        <v>3.7</v>
      </c>
      <c r="H844" s="9">
        <f>IF(MONTH(Call_Table_Data[[#This Row],[Date of Call]])&lt;=3,YEAR(Call_Table_Data[[#This Row],[Date of Call]]),YEAR(Call_Table_Data[[#This Row],[Date of Call]])+1)</f>
        <v>2024</v>
      </c>
      <c r="I844" s="9" t="str">
        <f>TEXT(Call_Table_Data[[#This Row],[Date of Call]],"DDDD")</f>
        <v>Monday</v>
      </c>
      <c r="J844" s="9" t="str" cm="1">
        <f t="array" ref="J844">_xlfn.IFS(Call_Table_Data[[#This Row],[Duration]]&lt;=10,"Under 10 Mins",Call_Table_Data[[#This Row],[Duration]]&lt;=30,"10 to 30 Mins",Call_Table_Data[[#This Row],[Duration]]&lt;=60,"30 to 60 Mins",Call_Table_Data[[#This Row],[Duration]]&lt;=120,"1 to 2 Hours",TRUE,"More Than 2 Hours")</f>
        <v>10 to 30 Mins</v>
      </c>
      <c r="K844" s="9">
        <f>ROUND(Call_Table_Data[[#This Row],[Satisfaction Rating]],0)</f>
        <v>4</v>
      </c>
    </row>
    <row r="845" spans="1:11" x14ac:dyDescent="0.3">
      <c r="A845" s="9" t="s">
        <v>882</v>
      </c>
      <c r="B845" s="9" t="s">
        <v>26</v>
      </c>
      <c r="C845" s="9">
        <v>87</v>
      </c>
      <c r="D845" s="10" t="s">
        <v>40</v>
      </c>
      <c r="E845" s="11">
        <v>45215</v>
      </c>
      <c r="F845" s="9">
        <v>27</v>
      </c>
      <c r="G845" s="9">
        <v>4.2</v>
      </c>
      <c r="H845" s="9">
        <f>IF(MONTH(Call_Table_Data[[#This Row],[Date of Call]])&lt;=3,YEAR(Call_Table_Data[[#This Row],[Date of Call]]),YEAR(Call_Table_Data[[#This Row],[Date of Call]])+1)</f>
        <v>2024</v>
      </c>
      <c r="I845" s="9" t="str">
        <f>TEXT(Call_Table_Data[[#This Row],[Date of Call]],"DDDD")</f>
        <v>Monday</v>
      </c>
      <c r="J845" s="9" t="str" cm="1">
        <f t="array" ref="J845">_xlfn.IFS(Call_Table_Data[[#This Row],[Duration]]&lt;=10,"Under 10 Mins",Call_Table_Data[[#This Row],[Duration]]&lt;=30,"10 to 30 Mins",Call_Table_Data[[#This Row],[Duration]]&lt;=60,"30 to 60 Mins",Call_Table_Data[[#This Row],[Duration]]&lt;=120,"1 to 2 Hours",TRUE,"More Than 2 Hours")</f>
        <v>1 to 2 Hours</v>
      </c>
      <c r="K845" s="9">
        <f>ROUND(Call_Table_Data[[#This Row],[Satisfaction Rating]],0)</f>
        <v>4</v>
      </c>
    </row>
    <row r="846" spans="1:11" x14ac:dyDescent="0.3">
      <c r="A846" s="9" t="s">
        <v>883</v>
      </c>
      <c r="B846" s="9" t="s">
        <v>37</v>
      </c>
      <c r="C846" s="9">
        <v>137</v>
      </c>
      <c r="D846" s="10" t="s">
        <v>17</v>
      </c>
      <c r="E846" s="11">
        <v>45216</v>
      </c>
      <c r="F846" s="9">
        <v>45</v>
      </c>
      <c r="G846" s="9">
        <v>4.4000000000000004</v>
      </c>
      <c r="H846" s="9">
        <f>IF(MONTH(Call_Table_Data[[#This Row],[Date of Call]])&lt;=3,YEAR(Call_Table_Data[[#This Row],[Date of Call]]),YEAR(Call_Table_Data[[#This Row],[Date of Call]])+1)</f>
        <v>2024</v>
      </c>
      <c r="I846" s="9" t="str">
        <f>TEXT(Call_Table_Data[[#This Row],[Date of Call]],"DDDD")</f>
        <v>Tuesday</v>
      </c>
      <c r="J846" s="9" t="str" cm="1">
        <f t="array" ref="J846">_xlfn.IFS(Call_Table_Data[[#This Row],[Duration]]&lt;=10,"Under 10 Mins",Call_Table_Data[[#This Row],[Duration]]&lt;=30,"10 to 30 Mins",Call_Table_Data[[#This Row],[Duration]]&lt;=60,"30 to 60 Mins",Call_Table_Data[[#This Row],[Duration]]&lt;=120,"1 to 2 Hours",TRUE,"More Than 2 Hours")</f>
        <v>More Than 2 Hours</v>
      </c>
      <c r="K846" s="9">
        <f>ROUND(Call_Table_Data[[#This Row],[Satisfaction Rating]],0)</f>
        <v>4</v>
      </c>
    </row>
    <row r="847" spans="1:11" x14ac:dyDescent="0.3">
      <c r="A847" s="9" t="s">
        <v>884</v>
      </c>
      <c r="B847" s="9" t="s">
        <v>49</v>
      </c>
      <c r="C847" s="9">
        <v>96</v>
      </c>
      <c r="D847" s="10" t="s">
        <v>46</v>
      </c>
      <c r="E847" s="11">
        <v>45216</v>
      </c>
      <c r="F847" s="9">
        <v>215</v>
      </c>
      <c r="G847" s="9">
        <v>4</v>
      </c>
      <c r="H847" s="9">
        <f>IF(MONTH(Call_Table_Data[[#This Row],[Date of Call]])&lt;=3,YEAR(Call_Table_Data[[#This Row],[Date of Call]]),YEAR(Call_Table_Data[[#This Row],[Date of Call]])+1)</f>
        <v>2024</v>
      </c>
      <c r="I847" s="9" t="str">
        <f>TEXT(Call_Table_Data[[#This Row],[Date of Call]],"DDDD")</f>
        <v>Tuesday</v>
      </c>
      <c r="J847" s="9" t="str" cm="1">
        <f t="array" ref="J847">_xlfn.IFS(Call_Table_Data[[#This Row],[Duration]]&lt;=10,"Under 10 Mins",Call_Table_Data[[#This Row],[Duration]]&lt;=30,"10 to 30 Mins",Call_Table_Data[[#This Row],[Duration]]&lt;=60,"30 to 60 Mins",Call_Table_Data[[#This Row],[Duration]]&lt;=120,"1 to 2 Hours",TRUE,"More Than 2 Hours")</f>
        <v>1 to 2 Hours</v>
      </c>
      <c r="K847" s="9">
        <f>ROUND(Call_Table_Data[[#This Row],[Satisfaction Rating]],0)</f>
        <v>4</v>
      </c>
    </row>
    <row r="848" spans="1:11" x14ac:dyDescent="0.3">
      <c r="A848" s="9" t="s">
        <v>885</v>
      </c>
      <c r="B848" s="9" t="s">
        <v>45</v>
      </c>
      <c r="C848" s="9">
        <v>155</v>
      </c>
      <c r="D848" s="10" t="s">
        <v>46</v>
      </c>
      <c r="E848" s="11">
        <v>45217</v>
      </c>
      <c r="F848" s="9">
        <v>72</v>
      </c>
      <c r="G848" s="9">
        <v>4.7</v>
      </c>
      <c r="H848" s="9">
        <f>IF(MONTH(Call_Table_Data[[#This Row],[Date of Call]])&lt;=3,YEAR(Call_Table_Data[[#This Row],[Date of Call]]),YEAR(Call_Table_Data[[#This Row],[Date of Call]])+1)</f>
        <v>2024</v>
      </c>
      <c r="I848" s="9" t="str">
        <f>TEXT(Call_Table_Data[[#This Row],[Date of Call]],"DDDD")</f>
        <v>Wednesday</v>
      </c>
      <c r="J848" s="9" t="str" cm="1">
        <f t="array" ref="J848">_xlfn.IFS(Call_Table_Data[[#This Row],[Duration]]&lt;=10,"Under 10 Mins",Call_Table_Data[[#This Row],[Duration]]&lt;=30,"10 to 30 Mins",Call_Table_Data[[#This Row],[Duration]]&lt;=60,"30 to 60 Mins",Call_Table_Data[[#This Row],[Duration]]&lt;=120,"1 to 2 Hours",TRUE,"More Than 2 Hours")</f>
        <v>More Than 2 Hours</v>
      </c>
      <c r="K848" s="9">
        <f>ROUND(Call_Table_Data[[#This Row],[Satisfaction Rating]],0)</f>
        <v>5</v>
      </c>
    </row>
    <row r="849" spans="1:11" x14ac:dyDescent="0.3">
      <c r="A849" s="9" t="s">
        <v>886</v>
      </c>
      <c r="B849" s="9" t="s">
        <v>30</v>
      </c>
      <c r="C849" s="9">
        <v>173</v>
      </c>
      <c r="D849" s="10" t="s">
        <v>33</v>
      </c>
      <c r="E849" s="11">
        <v>45217</v>
      </c>
      <c r="F849" s="9">
        <v>160</v>
      </c>
      <c r="G849" s="9">
        <v>2.8</v>
      </c>
      <c r="H849" s="9">
        <f>IF(MONTH(Call_Table_Data[[#This Row],[Date of Call]])&lt;=3,YEAR(Call_Table_Data[[#This Row],[Date of Call]]),YEAR(Call_Table_Data[[#This Row],[Date of Call]])+1)</f>
        <v>2024</v>
      </c>
      <c r="I849" s="9" t="str">
        <f>TEXT(Call_Table_Data[[#This Row],[Date of Call]],"DDDD")</f>
        <v>Wednesday</v>
      </c>
      <c r="J849" s="9" t="str" cm="1">
        <f t="array" ref="J849">_xlfn.IFS(Call_Table_Data[[#This Row],[Duration]]&lt;=10,"Under 10 Mins",Call_Table_Data[[#This Row],[Duration]]&lt;=30,"10 to 30 Mins",Call_Table_Data[[#This Row],[Duration]]&lt;=60,"30 to 60 Mins",Call_Table_Data[[#This Row],[Duration]]&lt;=120,"1 to 2 Hours",TRUE,"More Than 2 Hours")</f>
        <v>More Than 2 Hours</v>
      </c>
      <c r="K849" s="9">
        <f>ROUND(Call_Table_Data[[#This Row],[Satisfaction Rating]],0)</f>
        <v>3</v>
      </c>
    </row>
    <row r="850" spans="1:11" x14ac:dyDescent="0.3">
      <c r="A850" s="9" t="s">
        <v>887</v>
      </c>
      <c r="B850" s="9" t="s">
        <v>45</v>
      </c>
      <c r="C850" s="9">
        <v>127</v>
      </c>
      <c r="D850" s="10" t="s">
        <v>46</v>
      </c>
      <c r="E850" s="11">
        <v>45217</v>
      </c>
      <c r="F850" s="9">
        <v>165</v>
      </c>
      <c r="G850" s="9">
        <v>2.5</v>
      </c>
      <c r="H850" s="9">
        <f>IF(MONTH(Call_Table_Data[[#This Row],[Date of Call]])&lt;=3,YEAR(Call_Table_Data[[#This Row],[Date of Call]]),YEAR(Call_Table_Data[[#This Row],[Date of Call]])+1)</f>
        <v>2024</v>
      </c>
      <c r="I850" s="9" t="str">
        <f>TEXT(Call_Table_Data[[#This Row],[Date of Call]],"DDDD")</f>
        <v>Wednesday</v>
      </c>
      <c r="J850" s="9" t="str" cm="1">
        <f t="array" ref="J850">_xlfn.IFS(Call_Table_Data[[#This Row],[Duration]]&lt;=10,"Under 10 Mins",Call_Table_Data[[#This Row],[Duration]]&lt;=30,"10 to 30 Mins",Call_Table_Data[[#This Row],[Duration]]&lt;=60,"30 to 60 Mins",Call_Table_Data[[#This Row],[Duration]]&lt;=120,"1 to 2 Hours",TRUE,"More Than 2 Hours")</f>
        <v>More Than 2 Hours</v>
      </c>
      <c r="K850" s="9">
        <f>ROUND(Call_Table_Data[[#This Row],[Satisfaction Rating]],0)</f>
        <v>3</v>
      </c>
    </row>
    <row r="851" spans="1:11" x14ac:dyDescent="0.3">
      <c r="A851" s="9" t="s">
        <v>888</v>
      </c>
      <c r="B851" s="9" t="s">
        <v>22</v>
      </c>
      <c r="C851" s="9">
        <v>117</v>
      </c>
      <c r="D851" s="10" t="s">
        <v>33</v>
      </c>
      <c r="E851" s="11">
        <v>45217</v>
      </c>
      <c r="F851" s="9">
        <v>120</v>
      </c>
      <c r="G851" s="9">
        <v>3.4</v>
      </c>
      <c r="H851" s="9">
        <f>IF(MONTH(Call_Table_Data[[#This Row],[Date of Call]])&lt;=3,YEAR(Call_Table_Data[[#This Row],[Date of Call]]),YEAR(Call_Table_Data[[#This Row],[Date of Call]])+1)</f>
        <v>2024</v>
      </c>
      <c r="I851" s="9" t="str">
        <f>TEXT(Call_Table_Data[[#This Row],[Date of Call]],"DDDD")</f>
        <v>Wednesday</v>
      </c>
      <c r="J851" s="9" t="str" cm="1">
        <f t="array" ref="J851">_xlfn.IFS(Call_Table_Data[[#This Row],[Duration]]&lt;=10,"Under 10 Mins",Call_Table_Data[[#This Row],[Duration]]&lt;=30,"10 to 30 Mins",Call_Table_Data[[#This Row],[Duration]]&lt;=60,"30 to 60 Mins",Call_Table_Data[[#This Row],[Duration]]&lt;=120,"1 to 2 Hours",TRUE,"More Than 2 Hours")</f>
        <v>1 to 2 Hours</v>
      </c>
      <c r="K851" s="9">
        <f>ROUND(Call_Table_Data[[#This Row],[Satisfaction Rating]],0)</f>
        <v>3</v>
      </c>
    </row>
    <row r="852" spans="1:11" x14ac:dyDescent="0.3">
      <c r="A852" s="9" t="s">
        <v>889</v>
      </c>
      <c r="B852" s="9" t="s">
        <v>16</v>
      </c>
      <c r="C852" s="9">
        <v>133</v>
      </c>
      <c r="D852" s="10" t="s">
        <v>27</v>
      </c>
      <c r="E852" s="11">
        <v>45217</v>
      </c>
      <c r="F852" s="9">
        <v>117</v>
      </c>
      <c r="G852" s="9">
        <v>4.8</v>
      </c>
      <c r="H852" s="9">
        <f>IF(MONTH(Call_Table_Data[[#This Row],[Date of Call]])&lt;=3,YEAR(Call_Table_Data[[#This Row],[Date of Call]]),YEAR(Call_Table_Data[[#This Row],[Date of Call]])+1)</f>
        <v>2024</v>
      </c>
      <c r="I852" s="9" t="str">
        <f>TEXT(Call_Table_Data[[#This Row],[Date of Call]],"DDDD")</f>
        <v>Wednesday</v>
      </c>
      <c r="J852" s="9" t="str" cm="1">
        <f t="array" ref="J852">_xlfn.IFS(Call_Table_Data[[#This Row],[Duration]]&lt;=10,"Under 10 Mins",Call_Table_Data[[#This Row],[Duration]]&lt;=30,"10 to 30 Mins",Call_Table_Data[[#This Row],[Duration]]&lt;=60,"30 to 60 Mins",Call_Table_Data[[#This Row],[Duration]]&lt;=120,"1 to 2 Hours",TRUE,"More Than 2 Hours")</f>
        <v>More Than 2 Hours</v>
      </c>
      <c r="K852" s="9">
        <f>ROUND(Call_Table_Data[[#This Row],[Satisfaction Rating]],0)</f>
        <v>5</v>
      </c>
    </row>
    <row r="853" spans="1:11" x14ac:dyDescent="0.3">
      <c r="A853" s="9" t="s">
        <v>890</v>
      </c>
      <c r="B853" s="9" t="s">
        <v>23</v>
      </c>
      <c r="C853" s="9">
        <v>166</v>
      </c>
      <c r="D853" s="10" t="s">
        <v>40</v>
      </c>
      <c r="E853" s="11">
        <v>45218</v>
      </c>
      <c r="F853" s="9">
        <v>29</v>
      </c>
      <c r="G853" s="9">
        <v>4.3</v>
      </c>
      <c r="H853" s="9">
        <f>IF(MONTH(Call_Table_Data[[#This Row],[Date of Call]])&lt;=3,YEAR(Call_Table_Data[[#This Row],[Date of Call]]),YEAR(Call_Table_Data[[#This Row],[Date of Call]])+1)</f>
        <v>2024</v>
      </c>
      <c r="I853" s="9" t="str">
        <f>TEXT(Call_Table_Data[[#This Row],[Date of Call]],"DDDD")</f>
        <v>Thursday</v>
      </c>
      <c r="J853" s="9" t="str" cm="1">
        <f t="array" ref="J853">_xlfn.IFS(Call_Table_Data[[#This Row],[Duration]]&lt;=10,"Under 10 Mins",Call_Table_Data[[#This Row],[Duration]]&lt;=30,"10 to 30 Mins",Call_Table_Data[[#This Row],[Duration]]&lt;=60,"30 to 60 Mins",Call_Table_Data[[#This Row],[Duration]]&lt;=120,"1 to 2 Hours",TRUE,"More Than 2 Hours")</f>
        <v>More Than 2 Hours</v>
      </c>
      <c r="K853" s="9">
        <f>ROUND(Call_Table_Data[[#This Row],[Satisfaction Rating]],0)</f>
        <v>4</v>
      </c>
    </row>
    <row r="854" spans="1:11" x14ac:dyDescent="0.3">
      <c r="A854" s="9" t="s">
        <v>891</v>
      </c>
      <c r="B854" s="9" t="s">
        <v>16</v>
      </c>
      <c r="C854" s="9">
        <v>50</v>
      </c>
      <c r="D854" s="10" t="s">
        <v>33</v>
      </c>
      <c r="E854" s="11">
        <v>45218</v>
      </c>
      <c r="F854" s="9">
        <v>64</v>
      </c>
      <c r="G854" s="9">
        <v>4.5</v>
      </c>
      <c r="H854" s="9">
        <f>IF(MONTH(Call_Table_Data[[#This Row],[Date of Call]])&lt;=3,YEAR(Call_Table_Data[[#This Row],[Date of Call]]),YEAR(Call_Table_Data[[#This Row],[Date of Call]])+1)</f>
        <v>2024</v>
      </c>
      <c r="I854" s="9" t="str">
        <f>TEXT(Call_Table_Data[[#This Row],[Date of Call]],"DDDD")</f>
        <v>Thursday</v>
      </c>
      <c r="J854" s="9" t="str" cm="1">
        <f t="array" ref="J854">_xlfn.IFS(Call_Table_Data[[#This Row],[Duration]]&lt;=10,"Under 10 Mins",Call_Table_Data[[#This Row],[Duration]]&lt;=30,"10 to 30 Mins",Call_Table_Data[[#This Row],[Duration]]&lt;=60,"30 to 60 Mins",Call_Table_Data[[#This Row],[Duration]]&lt;=120,"1 to 2 Hours",TRUE,"More Than 2 Hours")</f>
        <v>30 to 60 Mins</v>
      </c>
      <c r="K854" s="9">
        <f>ROUND(Call_Table_Data[[#This Row],[Satisfaction Rating]],0)</f>
        <v>5</v>
      </c>
    </row>
    <row r="855" spans="1:11" x14ac:dyDescent="0.3">
      <c r="A855" s="9" t="s">
        <v>892</v>
      </c>
      <c r="B855" s="9" t="s">
        <v>54</v>
      </c>
      <c r="C855" s="9">
        <v>43</v>
      </c>
      <c r="D855" s="10" t="s">
        <v>27</v>
      </c>
      <c r="E855" s="11">
        <v>45218</v>
      </c>
      <c r="F855" s="9">
        <v>84</v>
      </c>
      <c r="G855" s="9">
        <v>3.6</v>
      </c>
      <c r="H855" s="9">
        <f>IF(MONTH(Call_Table_Data[[#This Row],[Date of Call]])&lt;=3,YEAR(Call_Table_Data[[#This Row],[Date of Call]]),YEAR(Call_Table_Data[[#This Row],[Date of Call]])+1)</f>
        <v>2024</v>
      </c>
      <c r="I855" s="9" t="str">
        <f>TEXT(Call_Table_Data[[#This Row],[Date of Call]],"DDDD")</f>
        <v>Thursday</v>
      </c>
      <c r="J855" s="9" t="str" cm="1">
        <f t="array" ref="J855">_xlfn.IFS(Call_Table_Data[[#This Row],[Duration]]&lt;=10,"Under 10 Mins",Call_Table_Data[[#This Row],[Duration]]&lt;=30,"10 to 30 Mins",Call_Table_Data[[#This Row],[Duration]]&lt;=60,"30 to 60 Mins",Call_Table_Data[[#This Row],[Duration]]&lt;=120,"1 to 2 Hours",TRUE,"More Than 2 Hours")</f>
        <v>30 to 60 Mins</v>
      </c>
      <c r="K855" s="9">
        <f>ROUND(Call_Table_Data[[#This Row],[Satisfaction Rating]],0)</f>
        <v>4</v>
      </c>
    </row>
    <row r="856" spans="1:11" x14ac:dyDescent="0.3">
      <c r="A856" s="9" t="s">
        <v>893</v>
      </c>
      <c r="B856" s="9" t="s">
        <v>49</v>
      </c>
      <c r="C856" s="9">
        <v>124</v>
      </c>
      <c r="D856" s="10" t="s">
        <v>46</v>
      </c>
      <c r="E856" s="11">
        <v>45218</v>
      </c>
      <c r="F856" s="9">
        <v>42</v>
      </c>
      <c r="G856" s="9">
        <v>3.7</v>
      </c>
      <c r="H856" s="9">
        <f>IF(MONTH(Call_Table_Data[[#This Row],[Date of Call]])&lt;=3,YEAR(Call_Table_Data[[#This Row],[Date of Call]]),YEAR(Call_Table_Data[[#This Row],[Date of Call]])+1)</f>
        <v>2024</v>
      </c>
      <c r="I856" s="9" t="str">
        <f>TEXT(Call_Table_Data[[#This Row],[Date of Call]],"DDDD")</f>
        <v>Thursday</v>
      </c>
      <c r="J856" s="9" t="str" cm="1">
        <f t="array" ref="J856">_xlfn.IFS(Call_Table_Data[[#This Row],[Duration]]&lt;=10,"Under 10 Mins",Call_Table_Data[[#This Row],[Duration]]&lt;=30,"10 to 30 Mins",Call_Table_Data[[#This Row],[Duration]]&lt;=60,"30 to 60 Mins",Call_Table_Data[[#This Row],[Duration]]&lt;=120,"1 to 2 Hours",TRUE,"More Than 2 Hours")</f>
        <v>More Than 2 Hours</v>
      </c>
      <c r="K856" s="9">
        <f>ROUND(Call_Table_Data[[#This Row],[Satisfaction Rating]],0)</f>
        <v>4</v>
      </c>
    </row>
    <row r="857" spans="1:11" x14ac:dyDescent="0.3">
      <c r="A857" s="9" t="s">
        <v>894</v>
      </c>
      <c r="B857" s="9" t="s">
        <v>30</v>
      </c>
      <c r="C857" s="9">
        <v>94</v>
      </c>
      <c r="D857" s="10" t="s">
        <v>46</v>
      </c>
      <c r="E857" s="11">
        <v>45218</v>
      </c>
      <c r="F857" s="9">
        <v>120</v>
      </c>
      <c r="G857" s="9">
        <v>3.5</v>
      </c>
      <c r="H857" s="9">
        <f>IF(MONTH(Call_Table_Data[[#This Row],[Date of Call]])&lt;=3,YEAR(Call_Table_Data[[#This Row],[Date of Call]]),YEAR(Call_Table_Data[[#This Row],[Date of Call]])+1)</f>
        <v>2024</v>
      </c>
      <c r="I857" s="9" t="str">
        <f>TEXT(Call_Table_Data[[#This Row],[Date of Call]],"DDDD")</f>
        <v>Thursday</v>
      </c>
      <c r="J857" s="9" t="str" cm="1">
        <f t="array" ref="J857">_xlfn.IFS(Call_Table_Data[[#This Row],[Duration]]&lt;=10,"Under 10 Mins",Call_Table_Data[[#This Row],[Duration]]&lt;=30,"10 to 30 Mins",Call_Table_Data[[#This Row],[Duration]]&lt;=60,"30 to 60 Mins",Call_Table_Data[[#This Row],[Duration]]&lt;=120,"1 to 2 Hours",TRUE,"More Than 2 Hours")</f>
        <v>1 to 2 Hours</v>
      </c>
      <c r="K857" s="9">
        <f>ROUND(Call_Table_Data[[#This Row],[Satisfaction Rating]],0)</f>
        <v>4</v>
      </c>
    </row>
    <row r="858" spans="1:11" x14ac:dyDescent="0.3">
      <c r="A858" s="9" t="s">
        <v>895</v>
      </c>
      <c r="B858" s="9" t="s">
        <v>54</v>
      </c>
      <c r="C858" s="9">
        <v>126</v>
      </c>
      <c r="D858" s="10" t="s">
        <v>40</v>
      </c>
      <c r="E858" s="11">
        <v>45219</v>
      </c>
      <c r="F858" s="9">
        <v>80</v>
      </c>
      <c r="G858" s="9">
        <v>4.7</v>
      </c>
      <c r="H858" s="9">
        <f>IF(MONTH(Call_Table_Data[[#This Row],[Date of Call]])&lt;=3,YEAR(Call_Table_Data[[#This Row],[Date of Call]]),YEAR(Call_Table_Data[[#This Row],[Date of Call]])+1)</f>
        <v>2024</v>
      </c>
      <c r="I858" s="9" t="str">
        <f>TEXT(Call_Table_Data[[#This Row],[Date of Call]],"DDDD")</f>
        <v>Friday</v>
      </c>
      <c r="J858" s="9" t="str" cm="1">
        <f t="array" ref="J858">_xlfn.IFS(Call_Table_Data[[#This Row],[Duration]]&lt;=10,"Under 10 Mins",Call_Table_Data[[#This Row],[Duration]]&lt;=30,"10 to 30 Mins",Call_Table_Data[[#This Row],[Duration]]&lt;=60,"30 to 60 Mins",Call_Table_Data[[#This Row],[Duration]]&lt;=120,"1 to 2 Hours",TRUE,"More Than 2 Hours")</f>
        <v>More Than 2 Hours</v>
      </c>
      <c r="K858" s="9">
        <f>ROUND(Call_Table_Data[[#This Row],[Satisfaction Rating]],0)</f>
        <v>5</v>
      </c>
    </row>
    <row r="859" spans="1:11" x14ac:dyDescent="0.3">
      <c r="A859" s="9" t="s">
        <v>896</v>
      </c>
      <c r="B859" s="9" t="s">
        <v>23</v>
      </c>
      <c r="C859" s="9">
        <v>105</v>
      </c>
      <c r="D859" s="10" t="s">
        <v>33</v>
      </c>
      <c r="E859" s="11">
        <v>45219</v>
      </c>
      <c r="F859" s="9">
        <v>185</v>
      </c>
      <c r="G859" s="9">
        <v>3.5</v>
      </c>
      <c r="H859" s="9">
        <f>IF(MONTH(Call_Table_Data[[#This Row],[Date of Call]])&lt;=3,YEAR(Call_Table_Data[[#This Row],[Date of Call]]),YEAR(Call_Table_Data[[#This Row],[Date of Call]])+1)</f>
        <v>2024</v>
      </c>
      <c r="I859" s="9" t="str">
        <f>TEXT(Call_Table_Data[[#This Row],[Date of Call]],"DDDD")</f>
        <v>Friday</v>
      </c>
      <c r="J859" s="9" t="str" cm="1">
        <f t="array" ref="J859">_xlfn.IFS(Call_Table_Data[[#This Row],[Duration]]&lt;=10,"Under 10 Mins",Call_Table_Data[[#This Row],[Duration]]&lt;=30,"10 to 30 Mins",Call_Table_Data[[#This Row],[Duration]]&lt;=60,"30 to 60 Mins",Call_Table_Data[[#This Row],[Duration]]&lt;=120,"1 to 2 Hours",TRUE,"More Than 2 Hours")</f>
        <v>1 to 2 Hours</v>
      </c>
      <c r="K859" s="9">
        <f>ROUND(Call_Table_Data[[#This Row],[Satisfaction Rating]],0)</f>
        <v>4</v>
      </c>
    </row>
    <row r="860" spans="1:11" x14ac:dyDescent="0.3">
      <c r="A860" s="9" t="s">
        <v>897</v>
      </c>
      <c r="B860" s="9" t="s">
        <v>32</v>
      </c>
      <c r="C860" s="9">
        <v>60</v>
      </c>
      <c r="D860" s="10" t="s">
        <v>17</v>
      </c>
      <c r="E860" s="11">
        <v>45220</v>
      </c>
      <c r="F860" s="9">
        <v>135</v>
      </c>
      <c r="G860" s="9">
        <v>3.9</v>
      </c>
      <c r="H860" s="9">
        <f>IF(MONTH(Call_Table_Data[[#This Row],[Date of Call]])&lt;=3,YEAR(Call_Table_Data[[#This Row],[Date of Call]]),YEAR(Call_Table_Data[[#This Row],[Date of Call]])+1)</f>
        <v>2024</v>
      </c>
      <c r="I860" s="9" t="str">
        <f>TEXT(Call_Table_Data[[#This Row],[Date of Call]],"DDDD")</f>
        <v>Saturday</v>
      </c>
      <c r="J860" s="9" t="str" cm="1">
        <f t="array" ref="J860">_xlfn.IFS(Call_Table_Data[[#This Row],[Duration]]&lt;=10,"Under 10 Mins",Call_Table_Data[[#This Row],[Duration]]&lt;=30,"10 to 30 Mins",Call_Table_Data[[#This Row],[Duration]]&lt;=60,"30 to 60 Mins",Call_Table_Data[[#This Row],[Duration]]&lt;=120,"1 to 2 Hours",TRUE,"More Than 2 Hours")</f>
        <v>30 to 60 Mins</v>
      </c>
      <c r="K860" s="9">
        <f>ROUND(Call_Table_Data[[#This Row],[Satisfaction Rating]],0)</f>
        <v>4</v>
      </c>
    </row>
    <row r="861" spans="1:11" x14ac:dyDescent="0.3">
      <c r="A861" s="9" t="s">
        <v>898</v>
      </c>
      <c r="B861" s="9" t="s">
        <v>32</v>
      </c>
      <c r="C861" s="9">
        <v>72</v>
      </c>
      <c r="D861" s="10" t="s">
        <v>33</v>
      </c>
      <c r="E861" s="11">
        <v>45220</v>
      </c>
      <c r="F861" s="9">
        <v>20</v>
      </c>
      <c r="G861" s="9">
        <v>4.8</v>
      </c>
      <c r="H861" s="9">
        <f>IF(MONTH(Call_Table_Data[[#This Row],[Date of Call]])&lt;=3,YEAR(Call_Table_Data[[#This Row],[Date of Call]]),YEAR(Call_Table_Data[[#This Row],[Date of Call]])+1)</f>
        <v>2024</v>
      </c>
      <c r="I861" s="9" t="str">
        <f>TEXT(Call_Table_Data[[#This Row],[Date of Call]],"DDDD")</f>
        <v>Saturday</v>
      </c>
      <c r="J861" s="9" t="str" cm="1">
        <f t="array" ref="J861">_xlfn.IFS(Call_Table_Data[[#This Row],[Duration]]&lt;=10,"Under 10 Mins",Call_Table_Data[[#This Row],[Duration]]&lt;=30,"10 to 30 Mins",Call_Table_Data[[#This Row],[Duration]]&lt;=60,"30 to 60 Mins",Call_Table_Data[[#This Row],[Duration]]&lt;=120,"1 to 2 Hours",TRUE,"More Than 2 Hours")</f>
        <v>1 to 2 Hours</v>
      </c>
      <c r="K861" s="9">
        <f>ROUND(Call_Table_Data[[#This Row],[Satisfaction Rating]],0)</f>
        <v>5</v>
      </c>
    </row>
    <row r="862" spans="1:11" x14ac:dyDescent="0.3">
      <c r="A862" s="9" t="s">
        <v>899</v>
      </c>
      <c r="B862" s="9" t="s">
        <v>50</v>
      </c>
      <c r="C862" s="9">
        <v>40</v>
      </c>
      <c r="D862" s="10" t="s">
        <v>33</v>
      </c>
      <c r="E862" s="11">
        <v>45220</v>
      </c>
      <c r="F862" s="9">
        <v>31</v>
      </c>
      <c r="G862" s="9">
        <v>4</v>
      </c>
      <c r="H862" s="9">
        <f>IF(MONTH(Call_Table_Data[[#This Row],[Date of Call]])&lt;=3,YEAR(Call_Table_Data[[#This Row],[Date of Call]]),YEAR(Call_Table_Data[[#This Row],[Date of Call]])+1)</f>
        <v>2024</v>
      </c>
      <c r="I862" s="9" t="str">
        <f>TEXT(Call_Table_Data[[#This Row],[Date of Call]],"DDDD")</f>
        <v>Saturday</v>
      </c>
      <c r="J862" s="9" t="str" cm="1">
        <f t="array" ref="J862">_xlfn.IFS(Call_Table_Data[[#This Row],[Duration]]&lt;=10,"Under 10 Mins",Call_Table_Data[[#This Row],[Duration]]&lt;=30,"10 to 30 Mins",Call_Table_Data[[#This Row],[Duration]]&lt;=60,"30 to 60 Mins",Call_Table_Data[[#This Row],[Duration]]&lt;=120,"1 to 2 Hours",TRUE,"More Than 2 Hours")</f>
        <v>30 to 60 Mins</v>
      </c>
      <c r="K862" s="9">
        <f>ROUND(Call_Table_Data[[#This Row],[Satisfaction Rating]],0)</f>
        <v>4</v>
      </c>
    </row>
    <row r="863" spans="1:11" x14ac:dyDescent="0.3">
      <c r="A863" s="9" t="s">
        <v>900</v>
      </c>
      <c r="B863" s="9" t="s">
        <v>41</v>
      </c>
      <c r="C863" s="9">
        <v>54</v>
      </c>
      <c r="D863" s="10" t="s">
        <v>40</v>
      </c>
      <c r="E863" s="11">
        <v>45221</v>
      </c>
      <c r="F863" s="9">
        <v>120</v>
      </c>
      <c r="G863" s="9">
        <v>4.7</v>
      </c>
      <c r="H863" s="9">
        <f>IF(MONTH(Call_Table_Data[[#This Row],[Date of Call]])&lt;=3,YEAR(Call_Table_Data[[#This Row],[Date of Call]]),YEAR(Call_Table_Data[[#This Row],[Date of Call]])+1)</f>
        <v>2024</v>
      </c>
      <c r="I863" s="9" t="str">
        <f>TEXT(Call_Table_Data[[#This Row],[Date of Call]],"DDDD")</f>
        <v>Sunday</v>
      </c>
      <c r="J863" s="9" t="str" cm="1">
        <f t="array" ref="J863">_xlfn.IFS(Call_Table_Data[[#This Row],[Duration]]&lt;=10,"Under 10 Mins",Call_Table_Data[[#This Row],[Duration]]&lt;=30,"10 to 30 Mins",Call_Table_Data[[#This Row],[Duration]]&lt;=60,"30 to 60 Mins",Call_Table_Data[[#This Row],[Duration]]&lt;=120,"1 to 2 Hours",TRUE,"More Than 2 Hours")</f>
        <v>30 to 60 Mins</v>
      </c>
      <c r="K863" s="9">
        <f>ROUND(Call_Table_Data[[#This Row],[Satisfaction Rating]],0)</f>
        <v>5</v>
      </c>
    </row>
    <row r="864" spans="1:11" x14ac:dyDescent="0.3">
      <c r="A864" s="9" t="s">
        <v>901</v>
      </c>
      <c r="B864" s="9" t="s">
        <v>22</v>
      </c>
      <c r="C864" s="9">
        <v>81</v>
      </c>
      <c r="D864" s="10" t="s">
        <v>27</v>
      </c>
      <c r="E864" s="11">
        <v>45221</v>
      </c>
      <c r="F864" s="9">
        <v>117</v>
      </c>
      <c r="G864" s="9">
        <v>3.6</v>
      </c>
      <c r="H864" s="9">
        <f>IF(MONTH(Call_Table_Data[[#This Row],[Date of Call]])&lt;=3,YEAR(Call_Table_Data[[#This Row],[Date of Call]]),YEAR(Call_Table_Data[[#This Row],[Date of Call]])+1)</f>
        <v>2024</v>
      </c>
      <c r="I864" s="9" t="str">
        <f>TEXT(Call_Table_Data[[#This Row],[Date of Call]],"DDDD")</f>
        <v>Sunday</v>
      </c>
      <c r="J864" s="9" t="str" cm="1">
        <f t="array" ref="J864">_xlfn.IFS(Call_Table_Data[[#This Row],[Duration]]&lt;=10,"Under 10 Mins",Call_Table_Data[[#This Row],[Duration]]&lt;=30,"10 to 30 Mins",Call_Table_Data[[#This Row],[Duration]]&lt;=60,"30 to 60 Mins",Call_Table_Data[[#This Row],[Duration]]&lt;=120,"1 to 2 Hours",TRUE,"More Than 2 Hours")</f>
        <v>1 to 2 Hours</v>
      </c>
      <c r="K864" s="9">
        <f>ROUND(Call_Table_Data[[#This Row],[Satisfaction Rating]],0)</f>
        <v>4</v>
      </c>
    </row>
    <row r="865" spans="1:11" x14ac:dyDescent="0.3">
      <c r="A865" s="9" t="s">
        <v>902</v>
      </c>
      <c r="B865" s="9" t="s">
        <v>41</v>
      </c>
      <c r="C865" s="9">
        <v>76</v>
      </c>
      <c r="D865" s="10" t="s">
        <v>46</v>
      </c>
      <c r="E865" s="11">
        <v>45221</v>
      </c>
      <c r="F865" s="9">
        <v>80</v>
      </c>
      <c r="G865" s="9">
        <v>4.5</v>
      </c>
      <c r="H865" s="9">
        <f>IF(MONTH(Call_Table_Data[[#This Row],[Date of Call]])&lt;=3,YEAR(Call_Table_Data[[#This Row],[Date of Call]]),YEAR(Call_Table_Data[[#This Row],[Date of Call]])+1)</f>
        <v>2024</v>
      </c>
      <c r="I865" s="9" t="str">
        <f>TEXT(Call_Table_Data[[#This Row],[Date of Call]],"DDDD")</f>
        <v>Sunday</v>
      </c>
      <c r="J865" s="9" t="str" cm="1">
        <f t="array" ref="J865">_xlfn.IFS(Call_Table_Data[[#This Row],[Duration]]&lt;=10,"Under 10 Mins",Call_Table_Data[[#This Row],[Duration]]&lt;=30,"10 to 30 Mins",Call_Table_Data[[#This Row],[Duration]]&lt;=60,"30 to 60 Mins",Call_Table_Data[[#This Row],[Duration]]&lt;=120,"1 to 2 Hours",TRUE,"More Than 2 Hours")</f>
        <v>1 to 2 Hours</v>
      </c>
      <c r="K865" s="9">
        <f>ROUND(Call_Table_Data[[#This Row],[Satisfaction Rating]],0)</f>
        <v>5</v>
      </c>
    </row>
    <row r="866" spans="1:11" x14ac:dyDescent="0.3">
      <c r="A866" s="9" t="s">
        <v>903</v>
      </c>
      <c r="B866" s="9" t="s">
        <v>41</v>
      </c>
      <c r="C866" s="9">
        <v>37</v>
      </c>
      <c r="D866" s="10" t="s">
        <v>17</v>
      </c>
      <c r="E866" s="11">
        <v>45222</v>
      </c>
      <c r="F866" s="9">
        <v>117</v>
      </c>
      <c r="G866" s="9">
        <v>4</v>
      </c>
      <c r="H866" s="9">
        <f>IF(MONTH(Call_Table_Data[[#This Row],[Date of Call]])&lt;=3,YEAR(Call_Table_Data[[#This Row],[Date of Call]]),YEAR(Call_Table_Data[[#This Row],[Date of Call]])+1)</f>
        <v>2024</v>
      </c>
      <c r="I866" s="9" t="str">
        <f>TEXT(Call_Table_Data[[#This Row],[Date of Call]],"DDDD")</f>
        <v>Monday</v>
      </c>
      <c r="J866" s="9" t="str" cm="1">
        <f t="array" ref="J866">_xlfn.IFS(Call_Table_Data[[#This Row],[Duration]]&lt;=10,"Under 10 Mins",Call_Table_Data[[#This Row],[Duration]]&lt;=30,"10 to 30 Mins",Call_Table_Data[[#This Row],[Duration]]&lt;=60,"30 to 60 Mins",Call_Table_Data[[#This Row],[Duration]]&lt;=120,"1 to 2 Hours",TRUE,"More Than 2 Hours")</f>
        <v>30 to 60 Mins</v>
      </c>
      <c r="K866" s="9">
        <f>ROUND(Call_Table_Data[[#This Row],[Satisfaction Rating]],0)</f>
        <v>4</v>
      </c>
    </row>
    <row r="867" spans="1:11" x14ac:dyDescent="0.3">
      <c r="A867" s="9" t="s">
        <v>904</v>
      </c>
      <c r="B867" s="9" t="s">
        <v>23</v>
      </c>
      <c r="C867" s="9">
        <v>96</v>
      </c>
      <c r="D867" s="10" t="s">
        <v>40</v>
      </c>
      <c r="E867" s="11">
        <v>45222</v>
      </c>
      <c r="F867" s="9">
        <v>60</v>
      </c>
      <c r="G867" s="9">
        <v>4.5</v>
      </c>
      <c r="H867" s="9">
        <f>IF(MONTH(Call_Table_Data[[#This Row],[Date of Call]])&lt;=3,YEAR(Call_Table_Data[[#This Row],[Date of Call]]),YEAR(Call_Table_Data[[#This Row],[Date of Call]])+1)</f>
        <v>2024</v>
      </c>
      <c r="I867" s="9" t="str">
        <f>TEXT(Call_Table_Data[[#This Row],[Date of Call]],"DDDD")</f>
        <v>Monday</v>
      </c>
      <c r="J867" s="9" t="str" cm="1">
        <f t="array" ref="J867">_xlfn.IFS(Call_Table_Data[[#This Row],[Duration]]&lt;=10,"Under 10 Mins",Call_Table_Data[[#This Row],[Duration]]&lt;=30,"10 to 30 Mins",Call_Table_Data[[#This Row],[Duration]]&lt;=60,"30 to 60 Mins",Call_Table_Data[[#This Row],[Duration]]&lt;=120,"1 to 2 Hours",TRUE,"More Than 2 Hours")</f>
        <v>1 to 2 Hours</v>
      </c>
      <c r="K867" s="9">
        <f>ROUND(Call_Table_Data[[#This Row],[Satisfaction Rating]],0)</f>
        <v>5</v>
      </c>
    </row>
    <row r="868" spans="1:11" x14ac:dyDescent="0.3">
      <c r="A868" s="9" t="s">
        <v>905</v>
      </c>
      <c r="B868" s="9" t="s">
        <v>32</v>
      </c>
      <c r="C868" s="9">
        <v>19</v>
      </c>
      <c r="D868" s="10" t="s">
        <v>46</v>
      </c>
      <c r="E868" s="11">
        <v>45223</v>
      </c>
      <c r="F868" s="9">
        <v>58</v>
      </c>
      <c r="G868" s="9">
        <v>3.9</v>
      </c>
      <c r="H868" s="9">
        <f>IF(MONTH(Call_Table_Data[[#This Row],[Date of Call]])&lt;=3,YEAR(Call_Table_Data[[#This Row],[Date of Call]]),YEAR(Call_Table_Data[[#This Row],[Date of Call]])+1)</f>
        <v>2024</v>
      </c>
      <c r="I868" s="9" t="str">
        <f>TEXT(Call_Table_Data[[#This Row],[Date of Call]],"DDDD")</f>
        <v>Tuesday</v>
      </c>
      <c r="J868" s="9" t="str" cm="1">
        <f t="array" ref="J868">_xlfn.IFS(Call_Table_Data[[#This Row],[Duration]]&lt;=10,"Under 10 Mins",Call_Table_Data[[#This Row],[Duration]]&lt;=30,"10 to 30 Mins",Call_Table_Data[[#This Row],[Duration]]&lt;=60,"30 to 60 Mins",Call_Table_Data[[#This Row],[Duration]]&lt;=120,"1 to 2 Hours",TRUE,"More Than 2 Hours")</f>
        <v>10 to 30 Mins</v>
      </c>
      <c r="K868" s="9">
        <f>ROUND(Call_Table_Data[[#This Row],[Satisfaction Rating]],0)</f>
        <v>4</v>
      </c>
    </row>
    <row r="869" spans="1:11" x14ac:dyDescent="0.3">
      <c r="A869" s="9" t="s">
        <v>906</v>
      </c>
      <c r="B869" s="9" t="s">
        <v>50</v>
      </c>
      <c r="C869" s="9">
        <v>72</v>
      </c>
      <c r="D869" s="10" t="s">
        <v>17</v>
      </c>
      <c r="E869" s="11">
        <v>45223</v>
      </c>
      <c r="F869" s="9">
        <v>41</v>
      </c>
      <c r="G869" s="9">
        <v>4.3</v>
      </c>
      <c r="H869" s="9">
        <f>IF(MONTH(Call_Table_Data[[#This Row],[Date of Call]])&lt;=3,YEAR(Call_Table_Data[[#This Row],[Date of Call]]),YEAR(Call_Table_Data[[#This Row],[Date of Call]])+1)</f>
        <v>2024</v>
      </c>
      <c r="I869" s="9" t="str">
        <f>TEXT(Call_Table_Data[[#This Row],[Date of Call]],"DDDD")</f>
        <v>Tuesday</v>
      </c>
      <c r="J869" s="9" t="str" cm="1">
        <f t="array" ref="J869">_xlfn.IFS(Call_Table_Data[[#This Row],[Duration]]&lt;=10,"Under 10 Mins",Call_Table_Data[[#This Row],[Duration]]&lt;=30,"10 to 30 Mins",Call_Table_Data[[#This Row],[Duration]]&lt;=60,"30 to 60 Mins",Call_Table_Data[[#This Row],[Duration]]&lt;=120,"1 to 2 Hours",TRUE,"More Than 2 Hours")</f>
        <v>1 to 2 Hours</v>
      </c>
      <c r="K869" s="9">
        <f>ROUND(Call_Table_Data[[#This Row],[Satisfaction Rating]],0)</f>
        <v>4</v>
      </c>
    </row>
    <row r="870" spans="1:11" x14ac:dyDescent="0.3">
      <c r="A870" s="9" t="s">
        <v>907</v>
      </c>
      <c r="B870" s="9" t="s">
        <v>30</v>
      </c>
      <c r="C870" s="9">
        <v>73</v>
      </c>
      <c r="D870" s="10" t="s">
        <v>27</v>
      </c>
      <c r="E870" s="11">
        <v>45223</v>
      </c>
      <c r="F870" s="9">
        <v>180</v>
      </c>
      <c r="G870" s="9">
        <v>3.6</v>
      </c>
      <c r="H870" s="9">
        <f>IF(MONTH(Call_Table_Data[[#This Row],[Date of Call]])&lt;=3,YEAR(Call_Table_Data[[#This Row],[Date of Call]]),YEAR(Call_Table_Data[[#This Row],[Date of Call]])+1)</f>
        <v>2024</v>
      </c>
      <c r="I870" s="9" t="str">
        <f>TEXT(Call_Table_Data[[#This Row],[Date of Call]],"DDDD")</f>
        <v>Tuesday</v>
      </c>
      <c r="J870" s="9" t="str" cm="1">
        <f t="array" ref="J870">_xlfn.IFS(Call_Table_Data[[#This Row],[Duration]]&lt;=10,"Under 10 Mins",Call_Table_Data[[#This Row],[Duration]]&lt;=30,"10 to 30 Mins",Call_Table_Data[[#This Row],[Duration]]&lt;=60,"30 to 60 Mins",Call_Table_Data[[#This Row],[Duration]]&lt;=120,"1 to 2 Hours",TRUE,"More Than 2 Hours")</f>
        <v>1 to 2 Hours</v>
      </c>
      <c r="K870" s="9">
        <f>ROUND(Call_Table_Data[[#This Row],[Satisfaction Rating]],0)</f>
        <v>4</v>
      </c>
    </row>
    <row r="871" spans="1:11" x14ac:dyDescent="0.3">
      <c r="A871" s="9" t="s">
        <v>908</v>
      </c>
      <c r="B871" s="9" t="s">
        <v>18</v>
      </c>
      <c r="C871" s="9">
        <v>87</v>
      </c>
      <c r="D871" s="10" t="s">
        <v>27</v>
      </c>
      <c r="E871" s="11">
        <v>45223</v>
      </c>
      <c r="F871" s="9">
        <v>42</v>
      </c>
      <c r="G871" s="9">
        <v>3.6</v>
      </c>
      <c r="H871" s="9">
        <f>IF(MONTH(Call_Table_Data[[#This Row],[Date of Call]])&lt;=3,YEAR(Call_Table_Data[[#This Row],[Date of Call]]),YEAR(Call_Table_Data[[#This Row],[Date of Call]])+1)</f>
        <v>2024</v>
      </c>
      <c r="I871" s="9" t="str">
        <f>TEXT(Call_Table_Data[[#This Row],[Date of Call]],"DDDD")</f>
        <v>Tuesday</v>
      </c>
      <c r="J871" s="9" t="str" cm="1">
        <f t="array" ref="J871">_xlfn.IFS(Call_Table_Data[[#This Row],[Duration]]&lt;=10,"Under 10 Mins",Call_Table_Data[[#This Row],[Duration]]&lt;=30,"10 to 30 Mins",Call_Table_Data[[#This Row],[Duration]]&lt;=60,"30 to 60 Mins",Call_Table_Data[[#This Row],[Duration]]&lt;=120,"1 to 2 Hours",TRUE,"More Than 2 Hours")</f>
        <v>1 to 2 Hours</v>
      </c>
      <c r="K871" s="9">
        <f>ROUND(Call_Table_Data[[#This Row],[Satisfaction Rating]],0)</f>
        <v>4</v>
      </c>
    </row>
    <row r="872" spans="1:11" x14ac:dyDescent="0.3">
      <c r="A872" s="9" t="s">
        <v>909</v>
      </c>
      <c r="B872" s="9" t="s">
        <v>18</v>
      </c>
      <c r="C872" s="9">
        <v>68</v>
      </c>
      <c r="D872" s="10" t="s">
        <v>27</v>
      </c>
      <c r="E872" s="11">
        <v>45224</v>
      </c>
      <c r="F872" s="9">
        <v>24</v>
      </c>
      <c r="G872" s="9">
        <v>4</v>
      </c>
      <c r="H872" s="9">
        <f>IF(MONTH(Call_Table_Data[[#This Row],[Date of Call]])&lt;=3,YEAR(Call_Table_Data[[#This Row],[Date of Call]]),YEAR(Call_Table_Data[[#This Row],[Date of Call]])+1)</f>
        <v>2024</v>
      </c>
      <c r="I872" s="9" t="str">
        <f>TEXT(Call_Table_Data[[#This Row],[Date of Call]],"DDDD")</f>
        <v>Wednesday</v>
      </c>
      <c r="J872" s="9" t="str" cm="1">
        <f t="array" ref="J872">_xlfn.IFS(Call_Table_Data[[#This Row],[Duration]]&lt;=10,"Under 10 Mins",Call_Table_Data[[#This Row],[Duration]]&lt;=30,"10 to 30 Mins",Call_Table_Data[[#This Row],[Duration]]&lt;=60,"30 to 60 Mins",Call_Table_Data[[#This Row],[Duration]]&lt;=120,"1 to 2 Hours",TRUE,"More Than 2 Hours")</f>
        <v>1 to 2 Hours</v>
      </c>
      <c r="K872" s="9">
        <f>ROUND(Call_Table_Data[[#This Row],[Satisfaction Rating]],0)</f>
        <v>4</v>
      </c>
    </row>
    <row r="873" spans="1:11" x14ac:dyDescent="0.3">
      <c r="A873" s="9" t="s">
        <v>910</v>
      </c>
      <c r="B873" s="9" t="s">
        <v>50</v>
      </c>
      <c r="C873" s="9">
        <v>101</v>
      </c>
      <c r="D873" s="10" t="s">
        <v>27</v>
      </c>
      <c r="E873" s="11">
        <v>45224</v>
      </c>
      <c r="F873" s="9">
        <v>125</v>
      </c>
      <c r="G873" s="9">
        <v>4.2</v>
      </c>
      <c r="H873" s="9">
        <f>IF(MONTH(Call_Table_Data[[#This Row],[Date of Call]])&lt;=3,YEAR(Call_Table_Data[[#This Row],[Date of Call]]),YEAR(Call_Table_Data[[#This Row],[Date of Call]])+1)</f>
        <v>2024</v>
      </c>
      <c r="I873" s="9" t="str">
        <f>TEXT(Call_Table_Data[[#This Row],[Date of Call]],"DDDD")</f>
        <v>Wednesday</v>
      </c>
      <c r="J873" s="9" t="str" cm="1">
        <f t="array" ref="J873">_xlfn.IFS(Call_Table_Data[[#This Row],[Duration]]&lt;=10,"Under 10 Mins",Call_Table_Data[[#This Row],[Duration]]&lt;=30,"10 to 30 Mins",Call_Table_Data[[#This Row],[Duration]]&lt;=60,"30 to 60 Mins",Call_Table_Data[[#This Row],[Duration]]&lt;=120,"1 to 2 Hours",TRUE,"More Than 2 Hours")</f>
        <v>1 to 2 Hours</v>
      </c>
      <c r="K873" s="9">
        <f>ROUND(Call_Table_Data[[#This Row],[Satisfaction Rating]],0)</f>
        <v>4</v>
      </c>
    </row>
    <row r="874" spans="1:11" x14ac:dyDescent="0.3">
      <c r="A874" s="9" t="s">
        <v>911</v>
      </c>
      <c r="B874" s="9" t="s">
        <v>50</v>
      </c>
      <c r="C874" s="9">
        <v>107</v>
      </c>
      <c r="D874" s="10" t="s">
        <v>17</v>
      </c>
      <c r="E874" s="11">
        <v>45225</v>
      </c>
      <c r="F874" s="9">
        <v>78</v>
      </c>
      <c r="G874" s="9">
        <v>4.3</v>
      </c>
      <c r="H874" s="9">
        <f>IF(MONTH(Call_Table_Data[[#This Row],[Date of Call]])&lt;=3,YEAR(Call_Table_Data[[#This Row],[Date of Call]]),YEAR(Call_Table_Data[[#This Row],[Date of Call]])+1)</f>
        <v>2024</v>
      </c>
      <c r="I874" s="9" t="str">
        <f>TEXT(Call_Table_Data[[#This Row],[Date of Call]],"DDDD")</f>
        <v>Thursday</v>
      </c>
      <c r="J874" s="9" t="str" cm="1">
        <f t="array" ref="J874">_xlfn.IFS(Call_Table_Data[[#This Row],[Duration]]&lt;=10,"Under 10 Mins",Call_Table_Data[[#This Row],[Duration]]&lt;=30,"10 to 30 Mins",Call_Table_Data[[#This Row],[Duration]]&lt;=60,"30 to 60 Mins",Call_Table_Data[[#This Row],[Duration]]&lt;=120,"1 to 2 Hours",TRUE,"More Than 2 Hours")</f>
        <v>1 to 2 Hours</v>
      </c>
      <c r="K874" s="9">
        <f>ROUND(Call_Table_Data[[#This Row],[Satisfaction Rating]],0)</f>
        <v>4</v>
      </c>
    </row>
    <row r="875" spans="1:11" x14ac:dyDescent="0.3">
      <c r="A875" s="9" t="s">
        <v>912</v>
      </c>
      <c r="B875" s="9" t="s">
        <v>43</v>
      </c>
      <c r="C875" s="9">
        <v>109</v>
      </c>
      <c r="D875" s="10" t="s">
        <v>33</v>
      </c>
      <c r="E875" s="11">
        <v>45225</v>
      </c>
      <c r="F875" s="9">
        <v>180</v>
      </c>
      <c r="G875" s="9">
        <v>3.8</v>
      </c>
      <c r="H875" s="9">
        <f>IF(MONTH(Call_Table_Data[[#This Row],[Date of Call]])&lt;=3,YEAR(Call_Table_Data[[#This Row],[Date of Call]]),YEAR(Call_Table_Data[[#This Row],[Date of Call]])+1)</f>
        <v>2024</v>
      </c>
      <c r="I875" s="9" t="str">
        <f>TEXT(Call_Table_Data[[#This Row],[Date of Call]],"DDDD")</f>
        <v>Thursday</v>
      </c>
      <c r="J875" s="9" t="str" cm="1">
        <f t="array" ref="J875">_xlfn.IFS(Call_Table_Data[[#This Row],[Duration]]&lt;=10,"Under 10 Mins",Call_Table_Data[[#This Row],[Duration]]&lt;=30,"10 to 30 Mins",Call_Table_Data[[#This Row],[Duration]]&lt;=60,"30 to 60 Mins",Call_Table_Data[[#This Row],[Duration]]&lt;=120,"1 to 2 Hours",TRUE,"More Than 2 Hours")</f>
        <v>1 to 2 Hours</v>
      </c>
      <c r="K875" s="9">
        <f>ROUND(Call_Table_Data[[#This Row],[Satisfaction Rating]],0)</f>
        <v>4</v>
      </c>
    </row>
    <row r="876" spans="1:11" x14ac:dyDescent="0.3">
      <c r="A876" s="9" t="s">
        <v>913</v>
      </c>
      <c r="B876" s="9" t="s">
        <v>49</v>
      </c>
      <c r="C876" s="9">
        <v>171</v>
      </c>
      <c r="D876" s="10" t="s">
        <v>17</v>
      </c>
      <c r="E876" s="11">
        <v>45225</v>
      </c>
      <c r="F876" s="9">
        <v>84</v>
      </c>
      <c r="G876" s="9">
        <v>4.4000000000000004</v>
      </c>
      <c r="H876" s="9">
        <f>IF(MONTH(Call_Table_Data[[#This Row],[Date of Call]])&lt;=3,YEAR(Call_Table_Data[[#This Row],[Date of Call]]),YEAR(Call_Table_Data[[#This Row],[Date of Call]])+1)</f>
        <v>2024</v>
      </c>
      <c r="I876" s="9" t="str">
        <f>TEXT(Call_Table_Data[[#This Row],[Date of Call]],"DDDD")</f>
        <v>Thursday</v>
      </c>
      <c r="J876" s="9" t="str" cm="1">
        <f t="array" ref="J876">_xlfn.IFS(Call_Table_Data[[#This Row],[Duration]]&lt;=10,"Under 10 Mins",Call_Table_Data[[#This Row],[Duration]]&lt;=30,"10 to 30 Mins",Call_Table_Data[[#This Row],[Duration]]&lt;=60,"30 to 60 Mins",Call_Table_Data[[#This Row],[Duration]]&lt;=120,"1 to 2 Hours",TRUE,"More Than 2 Hours")</f>
        <v>More Than 2 Hours</v>
      </c>
      <c r="K876" s="9">
        <f>ROUND(Call_Table_Data[[#This Row],[Satisfaction Rating]],0)</f>
        <v>4</v>
      </c>
    </row>
    <row r="877" spans="1:11" x14ac:dyDescent="0.3">
      <c r="A877" s="9" t="s">
        <v>914</v>
      </c>
      <c r="B877" s="9" t="s">
        <v>32</v>
      </c>
      <c r="C877" s="9">
        <v>21</v>
      </c>
      <c r="D877" s="10" t="s">
        <v>17</v>
      </c>
      <c r="E877" s="11">
        <v>45225</v>
      </c>
      <c r="F877" s="9">
        <v>26</v>
      </c>
      <c r="G877" s="9">
        <v>4.7</v>
      </c>
      <c r="H877" s="9">
        <f>IF(MONTH(Call_Table_Data[[#This Row],[Date of Call]])&lt;=3,YEAR(Call_Table_Data[[#This Row],[Date of Call]]),YEAR(Call_Table_Data[[#This Row],[Date of Call]])+1)</f>
        <v>2024</v>
      </c>
      <c r="I877" s="9" t="str">
        <f>TEXT(Call_Table_Data[[#This Row],[Date of Call]],"DDDD")</f>
        <v>Thursday</v>
      </c>
      <c r="J877" s="9" t="str" cm="1">
        <f t="array" ref="J877">_xlfn.IFS(Call_Table_Data[[#This Row],[Duration]]&lt;=10,"Under 10 Mins",Call_Table_Data[[#This Row],[Duration]]&lt;=30,"10 to 30 Mins",Call_Table_Data[[#This Row],[Duration]]&lt;=60,"30 to 60 Mins",Call_Table_Data[[#This Row],[Duration]]&lt;=120,"1 to 2 Hours",TRUE,"More Than 2 Hours")</f>
        <v>10 to 30 Mins</v>
      </c>
      <c r="K877" s="9">
        <f>ROUND(Call_Table_Data[[#This Row],[Satisfaction Rating]],0)</f>
        <v>5</v>
      </c>
    </row>
    <row r="878" spans="1:11" x14ac:dyDescent="0.3">
      <c r="A878" s="9" t="s">
        <v>915</v>
      </c>
      <c r="B878" s="9" t="s">
        <v>22</v>
      </c>
      <c r="C878" s="9">
        <v>94</v>
      </c>
      <c r="D878" s="10" t="s">
        <v>17</v>
      </c>
      <c r="E878" s="11">
        <v>45226</v>
      </c>
      <c r="F878" s="9">
        <v>140</v>
      </c>
      <c r="G878" s="9">
        <v>3.6</v>
      </c>
      <c r="H878" s="9">
        <f>IF(MONTH(Call_Table_Data[[#This Row],[Date of Call]])&lt;=3,YEAR(Call_Table_Data[[#This Row],[Date of Call]]),YEAR(Call_Table_Data[[#This Row],[Date of Call]])+1)</f>
        <v>2024</v>
      </c>
      <c r="I878" s="9" t="str">
        <f>TEXT(Call_Table_Data[[#This Row],[Date of Call]],"DDDD")</f>
        <v>Friday</v>
      </c>
      <c r="J878" s="9" t="str" cm="1">
        <f t="array" ref="J878">_xlfn.IFS(Call_Table_Data[[#This Row],[Duration]]&lt;=10,"Under 10 Mins",Call_Table_Data[[#This Row],[Duration]]&lt;=30,"10 to 30 Mins",Call_Table_Data[[#This Row],[Duration]]&lt;=60,"30 to 60 Mins",Call_Table_Data[[#This Row],[Duration]]&lt;=120,"1 to 2 Hours",TRUE,"More Than 2 Hours")</f>
        <v>1 to 2 Hours</v>
      </c>
      <c r="K878" s="9">
        <f>ROUND(Call_Table_Data[[#This Row],[Satisfaction Rating]],0)</f>
        <v>4</v>
      </c>
    </row>
    <row r="879" spans="1:11" x14ac:dyDescent="0.3">
      <c r="A879" s="9" t="s">
        <v>916</v>
      </c>
      <c r="B879" s="9" t="s">
        <v>30</v>
      </c>
      <c r="C879" s="9">
        <v>97</v>
      </c>
      <c r="D879" s="10" t="s">
        <v>33</v>
      </c>
      <c r="E879" s="11">
        <v>45226</v>
      </c>
      <c r="F879" s="9">
        <v>31</v>
      </c>
      <c r="G879" s="9">
        <v>2.2000000000000002</v>
      </c>
      <c r="H879" s="9">
        <f>IF(MONTH(Call_Table_Data[[#This Row],[Date of Call]])&lt;=3,YEAR(Call_Table_Data[[#This Row],[Date of Call]]),YEAR(Call_Table_Data[[#This Row],[Date of Call]])+1)</f>
        <v>2024</v>
      </c>
      <c r="I879" s="9" t="str">
        <f>TEXT(Call_Table_Data[[#This Row],[Date of Call]],"DDDD")</f>
        <v>Friday</v>
      </c>
      <c r="J879" s="9" t="str" cm="1">
        <f t="array" ref="J879">_xlfn.IFS(Call_Table_Data[[#This Row],[Duration]]&lt;=10,"Under 10 Mins",Call_Table_Data[[#This Row],[Duration]]&lt;=30,"10 to 30 Mins",Call_Table_Data[[#This Row],[Duration]]&lt;=60,"30 to 60 Mins",Call_Table_Data[[#This Row],[Duration]]&lt;=120,"1 to 2 Hours",TRUE,"More Than 2 Hours")</f>
        <v>1 to 2 Hours</v>
      </c>
      <c r="K879" s="9">
        <f>ROUND(Call_Table_Data[[#This Row],[Satisfaction Rating]],0)</f>
        <v>2</v>
      </c>
    </row>
    <row r="880" spans="1:11" x14ac:dyDescent="0.3">
      <c r="A880" s="9" t="s">
        <v>917</v>
      </c>
      <c r="B880" s="9" t="s">
        <v>23</v>
      </c>
      <c r="C880" s="9">
        <v>72</v>
      </c>
      <c r="D880" s="10" t="s">
        <v>33</v>
      </c>
      <c r="E880" s="11">
        <v>45226</v>
      </c>
      <c r="F880" s="9">
        <v>108</v>
      </c>
      <c r="G880" s="9">
        <v>4.8</v>
      </c>
      <c r="H880" s="9">
        <f>IF(MONTH(Call_Table_Data[[#This Row],[Date of Call]])&lt;=3,YEAR(Call_Table_Data[[#This Row],[Date of Call]]),YEAR(Call_Table_Data[[#This Row],[Date of Call]])+1)</f>
        <v>2024</v>
      </c>
      <c r="I880" s="9" t="str">
        <f>TEXT(Call_Table_Data[[#This Row],[Date of Call]],"DDDD")</f>
        <v>Friday</v>
      </c>
      <c r="J880" s="9" t="str" cm="1">
        <f t="array" ref="J880">_xlfn.IFS(Call_Table_Data[[#This Row],[Duration]]&lt;=10,"Under 10 Mins",Call_Table_Data[[#This Row],[Duration]]&lt;=30,"10 to 30 Mins",Call_Table_Data[[#This Row],[Duration]]&lt;=60,"30 to 60 Mins",Call_Table_Data[[#This Row],[Duration]]&lt;=120,"1 to 2 Hours",TRUE,"More Than 2 Hours")</f>
        <v>1 to 2 Hours</v>
      </c>
      <c r="K880" s="9">
        <f>ROUND(Call_Table_Data[[#This Row],[Satisfaction Rating]],0)</f>
        <v>5</v>
      </c>
    </row>
    <row r="881" spans="1:11" x14ac:dyDescent="0.3">
      <c r="A881" s="9" t="s">
        <v>918</v>
      </c>
      <c r="B881" s="9" t="s">
        <v>49</v>
      </c>
      <c r="C881" s="9">
        <v>143</v>
      </c>
      <c r="D881" s="10" t="s">
        <v>40</v>
      </c>
      <c r="E881" s="11">
        <v>45227</v>
      </c>
      <c r="F881" s="9">
        <v>58</v>
      </c>
      <c r="G881" s="9">
        <v>4.3</v>
      </c>
      <c r="H881" s="9">
        <f>IF(MONTH(Call_Table_Data[[#This Row],[Date of Call]])&lt;=3,YEAR(Call_Table_Data[[#This Row],[Date of Call]]),YEAR(Call_Table_Data[[#This Row],[Date of Call]])+1)</f>
        <v>2024</v>
      </c>
      <c r="I881" s="9" t="str">
        <f>TEXT(Call_Table_Data[[#This Row],[Date of Call]],"DDDD")</f>
        <v>Saturday</v>
      </c>
      <c r="J881" s="9" t="str" cm="1">
        <f t="array" ref="J881">_xlfn.IFS(Call_Table_Data[[#This Row],[Duration]]&lt;=10,"Under 10 Mins",Call_Table_Data[[#This Row],[Duration]]&lt;=30,"10 to 30 Mins",Call_Table_Data[[#This Row],[Duration]]&lt;=60,"30 to 60 Mins",Call_Table_Data[[#This Row],[Duration]]&lt;=120,"1 to 2 Hours",TRUE,"More Than 2 Hours")</f>
        <v>More Than 2 Hours</v>
      </c>
      <c r="K881" s="9">
        <f>ROUND(Call_Table_Data[[#This Row],[Satisfaction Rating]],0)</f>
        <v>4</v>
      </c>
    </row>
    <row r="882" spans="1:11" x14ac:dyDescent="0.3">
      <c r="A882" s="9" t="s">
        <v>919</v>
      </c>
      <c r="B882" s="9" t="s">
        <v>49</v>
      </c>
      <c r="C882" s="9">
        <v>64</v>
      </c>
      <c r="D882" s="10" t="s">
        <v>33</v>
      </c>
      <c r="E882" s="11">
        <v>45227</v>
      </c>
      <c r="F882" s="9">
        <v>185</v>
      </c>
      <c r="G882" s="9">
        <v>2.2000000000000002</v>
      </c>
      <c r="H882" s="9">
        <f>IF(MONTH(Call_Table_Data[[#This Row],[Date of Call]])&lt;=3,YEAR(Call_Table_Data[[#This Row],[Date of Call]]),YEAR(Call_Table_Data[[#This Row],[Date of Call]])+1)</f>
        <v>2024</v>
      </c>
      <c r="I882" s="9" t="str">
        <f>TEXT(Call_Table_Data[[#This Row],[Date of Call]],"DDDD")</f>
        <v>Saturday</v>
      </c>
      <c r="J882" s="9" t="str" cm="1">
        <f t="array" ref="J882">_xlfn.IFS(Call_Table_Data[[#This Row],[Duration]]&lt;=10,"Under 10 Mins",Call_Table_Data[[#This Row],[Duration]]&lt;=30,"10 to 30 Mins",Call_Table_Data[[#This Row],[Duration]]&lt;=60,"30 to 60 Mins",Call_Table_Data[[#This Row],[Duration]]&lt;=120,"1 to 2 Hours",TRUE,"More Than 2 Hours")</f>
        <v>1 to 2 Hours</v>
      </c>
      <c r="K882" s="9">
        <f>ROUND(Call_Table_Data[[#This Row],[Satisfaction Rating]],0)</f>
        <v>2</v>
      </c>
    </row>
    <row r="883" spans="1:11" x14ac:dyDescent="0.3">
      <c r="A883" s="9" t="s">
        <v>920</v>
      </c>
      <c r="B883" s="9" t="s">
        <v>49</v>
      </c>
      <c r="C883" s="9">
        <v>69</v>
      </c>
      <c r="D883" s="10" t="s">
        <v>33</v>
      </c>
      <c r="E883" s="11">
        <v>45227</v>
      </c>
      <c r="F883" s="9">
        <v>40</v>
      </c>
      <c r="G883" s="9">
        <v>4.8</v>
      </c>
      <c r="H883" s="9">
        <f>IF(MONTH(Call_Table_Data[[#This Row],[Date of Call]])&lt;=3,YEAR(Call_Table_Data[[#This Row],[Date of Call]]),YEAR(Call_Table_Data[[#This Row],[Date of Call]])+1)</f>
        <v>2024</v>
      </c>
      <c r="I883" s="9" t="str">
        <f>TEXT(Call_Table_Data[[#This Row],[Date of Call]],"DDDD")</f>
        <v>Saturday</v>
      </c>
      <c r="J883" s="9" t="str" cm="1">
        <f t="array" ref="J883">_xlfn.IFS(Call_Table_Data[[#This Row],[Duration]]&lt;=10,"Under 10 Mins",Call_Table_Data[[#This Row],[Duration]]&lt;=30,"10 to 30 Mins",Call_Table_Data[[#This Row],[Duration]]&lt;=60,"30 to 60 Mins",Call_Table_Data[[#This Row],[Duration]]&lt;=120,"1 to 2 Hours",TRUE,"More Than 2 Hours")</f>
        <v>1 to 2 Hours</v>
      </c>
      <c r="K883" s="9">
        <f>ROUND(Call_Table_Data[[#This Row],[Satisfaction Rating]],0)</f>
        <v>5</v>
      </c>
    </row>
    <row r="884" spans="1:11" x14ac:dyDescent="0.3">
      <c r="A884" s="9" t="s">
        <v>921</v>
      </c>
      <c r="B884" s="9" t="s">
        <v>49</v>
      </c>
      <c r="C884" s="9">
        <v>18</v>
      </c>
      <c r="D884" s="10" t="s">
        <v>46</v>
      </c>
      <c r="E884" s="11">
        <v>45227</v>
      </c>
      <c r="F884" s="9">
        <v>225</v>
      </c>
      <c r="G884" s="9">
        <v>2.6</v>
      </c>
      <c r="H884" s="9">
        <f>IF(MONTH(Call_Table_Data[[#This Row],[Date of Call]])&lt;=3,YEAR(Call_Table_Data[[#This Row],[Date of Call]]),YEAR(Call_Table_Data[[#This Row],[Date of Call]])+1)</f>
        <v>2024</v>
      </c>
      <c r="I884" s="9" t="str">
        <f>TEXT(Call_Table_Data[[#This Row],[Date of Call]],"DDDD")</f>
        <v>Saturday</v>
      </c>
      <c r="J884" s="9" t="str" cm="1">
        <f t="array" ref="J884">_xlfn.IFS(Call_Table_Data[[#This Row],[Duration]]&lt;=10,"Under 10 Mins",Call_Table_Data[[#This Row],[Duration]]&lt;=30,"10 to 30 Mins",Call_Table_Data[[#This Row],[Duration]]&lt;=60,"30 to 60 Mins",Call_Table_Data[[#This Row],[Duration]]&lt;=120,"1 to 2 Hours",TRUE,"More Than 2 Hours")</f>
        <v>10 to 30 Mins</v>
      </c>
      <c r="K884" s="9">
        <f>ROUND(Call_Table_Data[[#This Row],[Satisfaction Rating]],0)</f>
        <v>3</v>
      </c>
    </row>
    <row r="885" spans="1:11" x14ac:dyDescent="0.3">
      <c r="A885" s="9" t="s">
        <v>922</v>
      </c>
      <c r="B885" s="9" t="s">
        <v>30</v>
      </c>
      <c r="C885" s="9">
        <v>100</v>
      </c>
      <c r="D885" s="10" t="s">
        <v>40</v>
      </c>
      <c r="E885" s="11">
        <v>45227</v>
      </c>
      <c r="F885" s="9">
        <v>150</v>
      </c>
      <c r="G885" s="9">
        <v>2.6</v>
      </c>
      <c r="H885" s="9">
        <f>IF(MONTH(Call_Table_Data[[#This Row],[Date of Call]])&lt;=3,YEAR(Call_Table_Data[[#This Row],[Date of Call]]),YEAR(Call_Table_Data[[#This Row],[Date of Call]])+1)</f>
        <v>2024</v>
      </c>
      <c r="I885" s="9" t="str">
        <f>TEXT(Call_Table_Data[[#This Row],[Date of Call]],"DDDD")</f>
        <v>Saturday</v>
      </c>
      <c r="J885" s="9" t="str" cm="1">
        <f t="array" ref="J885">_xlfn.IFS(Call_Table_Data[[#This Row],[Duration]]&lt;=10,"Under 10 Mins",Call_Table_Data[[#This Row],[Duration]]&lt;=30,"10 to 30 Mins",Call_Table_Data[[#This Row],[Duration]]&lt;=60,"30 to 60 Mins",Call_Table_Data[[#This Row],[Duration]]&lt;=120,"1 to 2 Hours",TRUE,"More Than 2 Hours")</f>
        <v>1 to 2 Hours</v>
      </c>
      <c r="K885" s="9">
        <f>ROUND(Call_Table_Data[[#This Row],[Satisfaction Rating]],0)</f>
        <v>3</v>
      </c>
    </row>
    <row r="886" spans="1:11" x14ac:dyDescent="0.3">
      <c r="A886" s="9" t="s">
        <v>923</v>
      </c>
      <c r="B886" s="9" t="s">
        <v>45</v>
      </c>
      <c r="C886" s="9">
        <v>110</v>
      </c>
      <c r="D886" s="10" t="s">
        <v>27</v>
      </c>
      <c r="E886" s="11">
        <v>45228</v>
      </c>
      <c r="F886" s="9">
        <v>88</v>
      </c>
      <c r="G886" s="9">
        <v>3.4</v>
      </c>
      <c r="H886" s="9">
        <f>IF(MONTH(Call_Table_Data[[#This Row],[Date of Call]])&lt;=3,YEAR(Call_Table_Data[[#This Row],[Date of Call]]),YEAR(Call_Table_Data[[#This Row],[Date of Call]])+1)</f>
        <v>2024</v>
      </c>
      <c r="I886" s="9" t="str">
        <f>TEXT(Call_Table_Data[[#This Row],[Date of Call]],"DDDD")</f>
        <v>Sunday</v>
      </c>
      <c r="J886" s="9" t="str" cm="1">
        <f t="array" ref="J886">_xlfn.IFS(Call_Table_Data[[#This Row],[Duration]]&lt;=10,"Under 10 Mins",Call_Table_Data[[#This Row],[Duration]]&lt;=30,"10 to 30 Mins",Call_Table_Data[[#This Row],[Duration]]&lt;=60,"30 to 60 Mins",Call_Table_Data[[#This Row],[Duration]]&lt;=120,"1 to 2 Hours",TRUE,"More Than 2 Hours")</f>
        <v>1 to 2 Hours</v>
      </c>
      <c r="K886" s="9">
        <f>ROUND(Call_Table_Data[[#This Row],[Satisfaction Rating]],0)</f>
        <v>3</v>
      </c>
    </row>
    <row r="887" spans="1:11" x14ac:dyDescent="0.3">
      <c r="A887" s="9" t="s">
        <v>924</v>
      </c>
      <c r="B887" s="9" t="s">
        <v>35</v>
      </c>
      <c r="C887" s="9">
        <v>41</v>
      </c>
      <c r="D887" s="10" t="s">
        <v>17</v>
      </c>
      <c r="E887" s="11">
        <v>45228</v>
      </c>
      <c r="F887" s="9">
        <v>140</v>
      </c>
      <c r="G887" s="9">
        <v>3.7</v>
      </c>
      <c r="H887" s="9">
        <f>IF(MONTH(Call_Table_Data[[#This Row],[Date of Call]])&lt;=3,YEAR(Call_Table_Data[[#This Row],[Date of Call]]),YEAR(Call_Table_Data[[#This Row],[Date of Call]])+1)</f>
        <v>2024</v>
      </c>
      <c r="I887" s="9" t="str">
        <f>TEXT(Call_Table_Data[[#This Row],[Date of Call]],"DDDD")</f>
        <v>Sunday</v>
      </c>
      <c r="J887" s="9" t="str" cm="1">
        <f t="array" ref="J887">_xlfn.IFS(Call_Table_Data[[#This Row],[Duration]]&lt;=10,"Under 10 Mins",Call_Table_Data[[#This Row],[Duration]]&lt;=30,"10 to 30 Mins",Call_Table_Data[[#This Row],[Duration]]&lt;=60,"30 to 60 Mins",Call_Table_Data[[#This Row],[Duration]]&lt;=120,"1 to 2 Hours",TRUE,"More Than 2 Hours")</f>
        <v>30 to 60 Mins</v>
      </c>
      <c r="K887" s="9">
        <f>ROUND(Call_Table_Data[[#This Row],[Satisfaction Rating]],0)</f>
        <v>4</v>
      </c>
    </row>
    <row r="888" spans="1:11" x14ac:dyDescent="0.3">
      <c r="A888" s="9" t="s">
        <v>925</v>
      </c>
      <c r="B888" s="9" t="s">
        <v>45</v>
      </c>
      <c r="C888" s="9">
        <v>147</v>
      </c>
      <c r="D888" s="10" t="s">
        <v>27</v>
      </c>
      <c r="E888" s="11">
        <v>45228</v>
      </c>
      <c r="F888" s="9">
        <v>68</v>
      </c>
      <c r="G888" s="9">
        <v>2.1</v>
      </c>
      <c r="H888" s="9">
        <f>IF(MONTH(Call_Table_Data[[#This Row],[Date of Call]])&lt;=3,YEAR(Call_Table_Data[[#This Row],[Date of Call]]),YEAR(Call_Table_Data[[#This Row],[Date of Call]])+1)</f>
        <v>2024</v>
      </c>
      <c r="I888" s="9" t="str">
        <f>TEXT(Call_Table_Data[[#This Row],[Date of Call]],"DDDD")</f>
        <v>Sunday</v>
      </c>
      <c r="J888" s="9" t="str" cm="1">
        <f t="array" ref="J888">_xlfn.IFS(Call_Table_Data[[#This Row],[Duration]]&lt;=10,"Under 10 Mins",Call_Table_Data[[#This Row],[Duration]]&lt;=30,"10 to 30 Mins",Call_Table_Data[[#This Row],[Duration]]&lt;=60,"30 to 60 Mins",Call_Table_Data[[#This Row],[Duration]]&lt;=120,"1 to 2 Hours",TRUE,"More Than 2 Hours")</f>
        <v>More Than 2 Hours</v>
      </c>
      <c r="K888" s="9">
        <f>ROUND(Call_Table_Data[[#This Row],[Satisfaction Rating]],0)</f>
        <v>2</v>
      </c>
    </row>
    <row r="889" spans="1:11" x14ac:dyDescent="0.3">
      <c r="A889" s="9" t="s">
        <v>926</v>
      </c>
      <c r="B889" s="9" t="s">
        <v>22</v>
      </c>
      <c r="C889" s="9">
        <v>31</v>
      </c>
      <c r="D889" s="10" t="s">
        <v>46</v>
      </c>
      <c r="E889" s="11">
        <v>45229</v>
      </c>
      <c r="F889" s="9">
        <v>105</v>
      </c>
      <c r="G889" s="9">
        <v>3.6</v>
      </c>
      <c r="H889" s="9">
        <f>IF(MONTH(Call_Table_Data[[#This Row],[Date of Call]])&lt;=3,YEAR(Call_Table_Data[[#This Row],[Date of Call]]),YEAR(Call_Table_Data[[#This Row],[Date of Call]])+1)</f>
        <v>2024</v>
      </c>
      <c r="I889" s="9" t="str">
        <f>TEXT(Call_Table_Data[[#This Row],[Date of Call]],"DDDD")</f>
        <v>Monday</v>
      </c>
      <c r="J889" s="9" t="str" cm="1">
        <f t="array" ref="J889">_xlfn.IFS(Call_Table_Data[[#This Row],[Duration]]&lt;=10,"Under 10 Mins",Call_Table_Data[[#This Row],[Duration]]&lt;=30,"10 to 30 Mins",Call_Table_Data[[#This Row],[Duration]]&lt;=60,"30 to 60 Mins",Call_Table_Data[[#This Row],[Duration]]&lt;=120,"1 to 2 Hours",TRUE,"More Than 2 Hours")</f>
        <v>30 to 60 Mins</v>
      </c>
      <c r="K889" s="9">
        <f>ROUND(Call_Table_Data[[#This Row],[Satisfaction Rating]],0)</f>
        <v>4</v>
      </c>
    </row>
    <row r="890" spans="1:11" x14ac:dyDescent="0.3">
      <c r="A890" s="9" t="s">
        <v>927</v>
      </c>
      <c r="B890" s="9" t="s">
        <v>18</v>
      </c>
      <c r="C890" s="9">
        <v>142</v>
      </c>
      <c r="D890" s="10" t="s">
        <v>17</v>
      </c>
      <c r="E890" s="11">
        <v>45229</v>
      </c>
      <c r="F890" s="9">
        <v>40</v>
      </c>
      <c r="G890" s="9">
        <v>3.8</v>
      </c>
      <c r="H890" s="9">
        <f>IF(MONTH(Call_Table_Data[[#This Row],[Date of Call]])&lt;=3,YEAR(Call_Table_Data[[#This Row],[Date of Call]]),YEAR(Call_Table_Data[[#This Row],[Date of Call]])+1)</f>
        <v>2024</v>
      </c>
      <c r="I890" s="9" t="str">
        <f>TEXT(Call_Table_Data[[#This Row],[Date of Call]],"DDDD")</f>
        <v>Monday</v>
      </c>
      <c r="J890" s="9" t="str" cm="1">
        <f t="array" ref="J890">_xlfn.IFS(Call_Table_Data[[#This Row],[Duration]]&lt;=10,"Under 10 Mins",Call_Table_Data[[#This Row],[Duration]]&lt;=30,"10 to 30 Mins",Call_Table_Data[[#This Row],[Duration]]&lt;=60,"30 to 60 Mins",Call_Table_Data[[#This Row],[Duration]]&lt;=120,"1 to 2 Hours",TRUE,"More Than 2 Hours")</f>
        <v>More Than 2 Hours</v>
      </c>
      <c r="K890" s="9">
        <f>ROUND(Call_Table_Data[[#This Row],[Satisfaction Rating]],0)</f>
        <v>4</v>
      </c>
    </row>
    <row r="891" spans="1:11" x14ac:dyDescent="0.3">
      <c r="A891" s="9" t="s">
        <v>928</v>
      </c>
      <c r="B891" s="9" t="s">
        <v>43</v>
      </c>
      <c r="C891" s="9">
        <v>61</v>
      </c>
      <c r="D891" s="10" t="s">
        <v>17</v>
      </c>
      <c r="E891" s="11">
        <v>45229</v>
      </c>
      <c r="F891" s="9">
        <v>82</v>
      </c>
      <c r="G891" s="9">
        <v>3.1</v>
      </c>
      <c r="H891" s="9">
        <f>IF(MONTH(Call_Table_Data[[#This Row],[Date of Call]])&lt;=3,YEAR(Call_Table_Data[[#This Row],[Date of Call]]),YEAR(Call_Table_Data[[#This Row],[Date of Call]])+1)</f>
        <v>2024</v>
      </c>
      <c r="I891" s="9" t="str">
        <f>TEXT(Call_Table_Data[[#This Row],[Date of Call]],"DDDD")</f>
        <v>Monday</v>
      </c>
      <c r="J891" s="9" t="str" cm="1">
        <f t="array" ref="J891">_xlfn.IFS(Call_Table_Data[[#This Row],[Duration]]&lt;=10,"Under 10 Mins",Call_Table_Data[[#This Row],[Duration]]&lt;=30,"10 to 30 Mins",Call_Table_Data[[#This Row],[Duration]]&lt;=60,"30 to 60 Mins",Call_Table_Data[[#This Row],[Duration]]&lt;=120,"1 to 2 Hours",TRUE,"More Than 2 Hours")</f>
        <v>1 to 2 Hours</v>
      </c>
      <c r="K891" s="9">
        <f>ROUND(Call_Table_Data[[#This Row],[Satisfaction Rating]],0)</f>
        <v>3</v>
      </c>
    </row>
    <row r="892" spans="1:11" x14ac:dyDescent="0.3">
      <c r="A892" s="9" t="s">
        <v>929</v>
      </c>
      <c r="B892" s="9" t="s">
        <v>16</v>
      </c>
      <c r="C892" s="9">
        <v>86</v>
      </c>
      <c r="D892" s="10" t="s">
        <v>46</v>
      </c>
      <c r="E892" s="11">
        <v>45230</v>
      </c>
      <c r="F892" s="9">
        <v>90</v>
      </c>
      <c r="G892" s="9">
        <v>4.4000000000000004</v>
      </c>
      <c r="H892" s="9">
        <f>IF(MONTH(Call_Table_Data[[#This Row],[Date of Call]])&lt;=3,YEAR(Call_Table_Data[[#This Row],[Date of Call]]),YEAR(Call_Table_Data[[#This Row],[Date of Call]])+1)</f>
        <v>2024</v>
      </c>
      <c r="I892" s="9" t="str">
        <f>TEXT(Call_Table_Data[[#This Row],[Date of Call]],"DDDD")</f>
        <v>Tuesday</v>
      </c>
      <c r="J892" s="9" t="str" cm="1">
        <f t="array" ref="J892">_xlfn.IFS(Call_Table_Data[[#This Row],[Duration]]&lt;=10,"Under 10 Mins",Call_Table_Data[[#This Row],[Duration]]&lt;=30,"10 to 30 Mins",Call_Table_Data[[#This Row],[Duration]]&lt;=60,"30 to 60 Mins",Call_Table_Data[[#This Row],[Duration]]&lt;=120,"1 to 2 Hours",TRUE,"More Than 2 Hours")</f>
        <v>1 to 2 Hours</v>
      </c>
      <c r="K892" s="9">
        <f>ROUND(Call_Table_Data[[#This Row],[Satisfaction Rating]],0)</f>
        <v>4</v>
      </c>
    </row>
    <row r="893" spans="1:11" x14ac:dyDescent="0.3">
      <c r="A893" s="9" t="s">
        <v>930</v>
      </c>
      <c r="B893" s="9" t="s">
        <v>26</v>
      </c>
      <c r="C893" s="9">
        <v>165</v>
      </c>
      <c r="D893" s="10" t="s">
        <v>40</v>
      </c>
      <c r="E893" s="11">
        <v>45231</v>
      </c>
      <c r="F893" s="9">
        <v>66</v>
      </c>
      <c r="G893" s="9">
        <v>4.8</v>
      </c>
      <c r="H893" s="9">
        <f>IF(MONTH(Call_Table_Data[[#This Row],[Date of Call]])&lt;=3,YEAR(Call_Table_Data[[#This Row],[Date of Call]]),YEAR(Call_Table_Data[[#This Row],[Date of Call]])+1)</f>
        <v>2024</v>
      </c>
      <c r="I893" s="9" t="str">
        <f>TEXT(Call_Table_Data[[#This Row],[Date of Call]],"DDDD")</f>
        <v>Wednesday</v>
      </c>
      <c r="J893" s="9" t="str" cm="1">
        <f t="array" ref="J893">_xlfn.IFS(Call_Table_Data[[#This Row],[Duration]]&lt;=10,"Under 10 Mins",Call_Table_Data[[#This Row],[Duration]]&lt;=30,"10 to 30 Mins",Call_Table_Data[[#This Row],[Duration]]&lt;=60,"30 to 60 Mins",Call_Table_Data[[#This Row],[Duration]]&lt;=120,"1 to 2 Hours",TRUE,"More Than 2 Hours")</f>
        <v>More Than 2 Hours</v>
      </c>
      <c r="K893" s="9">
        <f>ROUND(Call_Table_Data[[#This Row],[Satisfaction Rating]],0)</f>
        <v>5</v>
      </c>
    </row>
    <row r="894" spans="1:11" x14ac:dyDescent="0.3">
      <c r="A894" s="9" t="s">
        <v>931</v>
      </c>
      <c r="B894" s="9" t="s">
        <v>41</v>
      </c>
      <c r="C894" s="9">
        <v>62</v>
      </c>
      <c r="D894" s="10" t="s">
        <v>27</v>
      </c>
      <c r="E894" s="11">
        <v>45231</v>
      </c>
      <c r="F894" s="9">
        <v>78</v>
      </c>
      <c r="G894" s="9">
        <v>3.5</v>
      </c>
      <c r="H894" s="9">
        <f>IF(MONTH(Call_Table_Data[[#This Row],[Date of Call]])&lt;=3,YEAR(Call_Table_Data[[#This Row],[Date of Call]]),YEAR(Call_Table_Data[[#This Row],[Date of Call]])+1)</f>
        <v>2024</v>
      </c>
      <c r="I894" s="9" t="str">
        <f>TEXT(Call_Table_Data[[#This Row],[Date of Call]],"DDDD")</f>
        <v>Wednesday</v>
      </c>
      <c r="J894" s="9" t="str" cm="1">
        <f t="array" ref="J894">_xlfn.IFS(Call_Table_Data[[#This Row],[Duration]]&lt;=10,"Under 10 Mins",Call_Table_Data[[#This Row],[Duration]]&lt;=30,"10 to 30 Mins",Call_Table_Data[[#This Row],[Duration]]&lt;=60,"30 to 60 Mins",Call_Table_Data[[#This Row],[Duration]]&lt;=120,"1 to 2 Hours",TRUE,"More Than 2 Hours")</f>
        <v>1 to 2 Hours</v>
      </c>
      <c r="K894" s="9">
        <f>ROUND(Call_Table_Data[[#This Row],[Satisfaction Rating]],0)</f>
        <v>4</v>
      </c>
    </row>
    <row r="895" spans="1:11" x14ac:dyDescent="0.3">
      <c r="A895" s="9" t="s">
        <v>932</v>
      </c>
      <c r="B895" s="9" t="s">
        <v>30</v>
      </c>
      <c r="C895" s="9">
        <v>103</v>
      </c>
      <c r="D895" s="10" t="s">
        <v>40</v>
      </c>
      <c r="E895" s="11">
        <v>45232</v>
      </c>
      <c r="F895" s="9">
        <v>66</v>
      </c>
      <c r="G895" s="9">
        <v>4.4000000000000004</v>
      </c>
      <c r="H895" s="9">
        <f>IF(MONTH(Call_Table_Data[[#This Row],[Date of Call]])&lt;=3,YEAR(Call_Table_Data[[#This Row],[Date of Call]]),YEAR(Call_Table_Data[[#This Row],[Date of Call]])+1)</f>
        <v>2024</v>
      </c>
      <c r="I895" s="9" t="str">
        <f>TEXT(Call_Table_Data[[#This Row],[Date of Call]],"DDDD")</f>
        <v>Thursday</v>
      </c>
      <c r="J895" s="9" t="str" cm="1">
        <f t="array" ref="J895">_xlfn.IFS(Call_Table_Data[[#This Row],[Duration]]&lt;=10,"Under 10 Mins",Call_Table_Data[[#This Row],[Duration]]&lt;=30,"10 to 30 Mins",Call_Table_Data[[#This Row],[Duration]]&lt;=60,"30 to 60 Mins",Call_Table_Data[[#This Row],[Duration]]&lt;=120,"1 to 2 Hours",TRUE,"More Than 2 Hours")</f>
        <v>1 to 2 Hours</v>
      </c>
      <c r="K895" s="9">
        <f>ROUND(Call_Table_Data[[#This Row],[Satisfaction Rating]],0)</f>
        <v>4</v>
      </c>
    </row>
    <row r="896" spans="1:11" x14ac:dyDescent="0.3">
      <c r="A896" s="9" t="s">
        <v>933</v>
      </c>
      <c r="B896" s="9" t="s">
        <v>18</v>
      </c>
      <c r="C896" s="9">
        <v>56</v>
      </c>
      <c r="D896" s="10" t="s">
        <v>46</v>
      </c>
      <c r="E896" s="11">
        <v>45233</v>
      </c>
      <c r="F896" s="9">
        <v>160</v>
      </c>
      <c r="G896" s="9">
        <v>3.8</v>
      </c>
      <c r="H896" s="9">
        <f>IF(MONTH(Call_Table_Data[[#This Row],[Date of Call]])&lt;=3,YEAR(Call_Table_Data[[#This Row],[Date of Call]]),YEAR(Call_Table_Data[[#This Row],[Date of Call]])+1)</f>
        <v>2024</v>
      </c>
      <c r="I896" s="9" t="str">
        <f>TEXT(Call_Table_Data[[#This Row],[Date of Call]],"DDDD")</f>
        <v>Friday</v>
      </c>
      <c r="J896" s="9" t="str" cm="1">
        <f t="array" ref="J896">_xlfn.IFS(Call_Table_Data[[#This Row],[Duration]]&lt;=10,"Under 10 Mins",Call_Table_Data[[#This Row],[Duration]]&lt;=30,"10 to 30 Mins",Call_Table_Data[[#This Row],[Duration]]&lt;=60,"30 to 60 Mins",Call_Table_Data[[#This Row],[Duration]]&lt;=120,"1 to 2 Hours",TRUE,"More Than 2 Hours")</f>
        <v>30 to 60 Mins</v>
      </c>
      <c r="K896" s="9">
        <f>ROUND(Call_Table_Data[[#This Row],[Satisfaction Rating]],0)</f>
        <v>4</v>
      </c>
    </row>
    <row r="897" spans="1:11" x14ac:dyDescent="0.3">
      <c r="A897" s="9" t="s">
        <v>934</v>
      </c>
      <c r="B897" s="9" t="s">
        <v>50</v>
      </c>
      <c r="C897" s="9">
        <v>114</v>
      </c>
      <c r="D897" s="10" t="s">
        <v>17</v>
      </c>
      <c r="E897" s="11">
        <v>45234</v>
      </c>
      <c r="F897" s="9">
        <v>144</v>
      </c>
      <c r="G897" s="9">
        <v>3.8</v>
      </c>
      <c r="H897" s="9">
        <f>IF(MONTH(Call_Table_Data[[#This Row],[Date of Call]])&lt;=3,YEAR(Call_Table_Data[[#This Row],[Date of Call]]),YEAR(Call_Table_Data[[#This Row],[Date of Call]])+1)</f>
        <v>2024</v>
      </c>
      <c r="I897" s="9" t="str">
        <f>TEXT(Call_Table_Data[[#This Row],[Date of Call]],"DDDD")</f>
        <v>Saturday</v>
      </c>
      <c r="J897" s="9" t="str" cm="1">
        <f t="array" ref="J897">_xlfn.IFS(Call_Table_Data[[#This Row],[Duration]]&lt;=10,"Under 10 Mins",Call_Table_Data[[#This Row],[Duration]]&lt;=30,"10 to 30 Mins",Call_Table_Data[[#This Row],[Duration]]&lt;=60,"30 to 60 Mins",Call_Table_Data[[#This Row],[Duration]]&lt;=120,"1 to 2 Hours",TRUE,"More Than 2 Hours")</f>
        <v>1 to 2 Hours</v>
      </c>
      <c r="K897" s="9">
        <f>ROUND(Call_Table_Data[[#This Row],[Satisfaction Rating]],0)</f>
        <v>4</v>
      </c>
    </row>
    <row r="898" spans="1:11" x14ac:dyDescent="0.3">
      <c r="A898" s="9" t="s">
        <v>935</v>
      </c>
      <c r="B898" s="9" t="s">
        <v>18</v>
      </c>
      <c r="C898" s="9">
        <v>112</v>
      </c>
      <c r="D898" s="10" t="s">
        <v>33</v>
      </c>
      <c r="E898" s="11">
        <v>45234</v>
      </c>
      <c r="F898" s="9">
        <v>200</v>
      </c>
      <c r="G898" s="9">
        <v>4.5999999999999996</v>
      </c>
      <c r="H898" s="9">
        <f>IF(MONTH(Call_Table_Data[[#This Row],[Date of Call]])&lt;=3,YEAR(Call_Table_Data[[#This Row],[Date of Call]]),YEAR(Call_Table_Data[[#This Row],[Date of Call]])+1)</f>
        <v>2024</v>
      </c>
      <c r="I898" s="9" t="str">
        <f>TEXT(Call_Table_Data[[#This Row],[Date of Call]],"DDDD")</f>
        <v>Saturday</v>
      </c>
      <c r="J898" s="9" t="str" cm="1">
        <f t="array" ref="J898">_xlfn.IFS(Call_Table_Data[[#This Row],[Duration]]&lt;=10,"Under 10 Mins",Call_Table_Data[[#This Row],[Duration]]&lt;=30,"10 to 30 Mins",Call_Table_Data[[#This Row],[Duration]]&lt;=60,"30 to 60 Mins",Call_Table_Data[[#This Row],[Duration]]&lt;=120,"1 to 2 Hours",TRUE,"More Than 2 Hours")</f>
        <v>1 to 2 Hours</v>
      </c>
      <c r="K898" s="9">
        <f>ROUND(Call_Table_Data[[#This Row],[Satisfaction Rating]],0)</f>
        <v>5</v>
      </c>
    </row>
    <row r="899" spans="1:11" x14ac:dyDescent="0.3">
      <c r="A899" s="9" t="s">
        <v>936</v>
      </c>
      <c r="B899" s="9" t="s">
        <v>37</v>
      </c>
      <c r="C899" s="9">
        <v>52</v>
      </c>
      <c r="D899" s="10" t="s">
        <v>27</v>
      </c>
      <c r="E899" s="11">
        <v>45236</v>
      </c>
      <c r="F899" s="9">
        <v>220</v>
      </c>
      <c r="G899" s="9">
        <v>5</v>
      </c>
      <c r="H899" s="9">
        <f>IF(MONTH(Call_Table_Data[[#This Row],[Date of Call]])&lt;=3,YEAR(Call_Table_Data[[#This Row],[Date of Call]]),YEAR(Call_Table_Data[[#This Row],[Date of Call]])+1)</f>
        <v>2024</v>
      </c>
      <c r="I899" s="9" t="str">
        <f>TEXT(Call_Table_Data[[#This Row],[Date of Call]],"DDDD")</f>
        <v>Monday</v>
      </c>
      <c r="J899" s="9" t="str" cm="1">
        <f t="array" ref="J899">_xlfn.IFS(Call_Table_Data[[#This Row],[Duration]]&lt;=10,"Under 10 Mins",Call_Table_Data[[#This Row],[Duration]]&lt;=30,"10 to 30 Mins",Call_Table_Data[[#This Row],[Duration]]&lt;=60,"30 to 60 Mins",Call_Table_Data[[#This Row],[Duration]]&lt;=120,"1 to 2 Hours",TRUE,"More Than 2 Hours")</f>
        <v>30 to 60 Mins</v>
      </c>
      <c r="K899" s="9">
        <f>ROUND(Call_Table_Data[[#This Row],[Satisfaction Rating]],0)</f>
        <v>5</v>
      </c>
    </row>
    <row r="900" spans="1:11" x14ac:dyDescent="0.3">
      <c r="A900" s="9" t="s">
        <v>937</v>
      </c>
      <c r="B900" s="9" t="s">
        <v>30</v>
      </c>
      <c r="C900" s="9">
        <v>105</v>
      </c>
      <c r="D900" s="10" t="s">
        <v>40</v>
      </c>
      <c r="E900" s="11">
        <v>45237</v>
      </c>
      <c r="F900" s="9">
        <v>112</v>
      </c>
      <c r="G900" s="9">
        <v>3.2</v>
      </c>
      <c r="H900" s="9">
        <f>IF(MONTH(Call_Table_Data[[#This Row],[Date of Call]])&lt;=3,YEAR(Call_Table_Data[[#This Row],[Date of Call]]),YEAR(Call_Table_Data[[#This Row],[Date of Call]])+1)</f>
        <v>2024</v>
      </c>
      <c r="I900" s="9" t="str">
        <f>TEXT(Call_Table_Data[[#This Row],[Date of Call]],"DDDD")</f>
        <v>Tuesday</v>
      </c>
      <c r="J900" s="9" t="str" cm="1">
        <f t="array" ref="J900">_xlfn.IFS(Call_Table_Data[[#This Row],[Duration]]&lt;=10,"Under 10 Mins",Call_Table_Data[[#This Row],[Duration]]&lt;=30,"10 to 30 Mins",Call_Table_Data[[#This Row],[Duration]]&lt;=60,"30 to 60 Mins",Call_Table_Data[[#This Row],[Duration]]&lt;=120,"1 to 2 Hours",TRUE,"More Than 2 Hours")</f>
        <v>1 to 2 Hours</v>
      </c>
      <c r="K900" s="9">
        <f>ROUND(Call_Table_Data[[#This Row],[Satisfaction Rating]],0)</f>
        <v>3</v>
      </c>
    </row>
    <row r="901" spans="1:11" x14ac:dyDescent="0.3">
      <c r="A901" s="9" t="s">
        <v>938</v>
      </c>
      <c r="B901" s="9" t="s">
        <v>26</v>
      </c>
      <c r="C901" s="9">
        <v>91</v>
      </c>
      <c r="D901" s="10" t="s">
        <v>46</v>
      </c>
      <c r="E901" s="11">
        <v>45237</v>
      </c>
      <c r="F901" s="9">
        <v>110</v>
      </c>
      <c r="G901" s="9">
        <v>3.7</v>
      </c>
      <c r="H901" s="9">
        <f>IF(MONTH(Call_Table_Data[[#This Row],[Date of Call]])&lt;=3,YEAR(Call_Table_Data[[#This Row],[Date of Call]]),YEAR(Call_Table_Data[[#This Row],[Date of Call]])+1)</f>
        <v>2024</v>
      </c>
      <c r="I901" s="9" t="str">
        <f>TEXT(Call_Table_Data[[#This Row],[Date of Call]],"DDDD")</f>
        <v>Tuesday</v>
      </c>
      <c r="J901" s="9" t="str" cm="1">
        <f t="array" ref="J901">_xlfn.IFS(Call_Table_Data[[#This Row],[Duration]]&lt;=10,"Under 10 Mins",Call_Table_Data[[#This Row],[Duration]]&lt;=30,"10 to 30 Mins",Call_Table_Data[[#This Row],[Duration]]&lt;=60,"30 to 60 Mins",Call_Table_Data[[#This Row],[Duration]]&lt;=120,"1 to 2 Hours",TRUE,"More Than 2 Hours")</f>
        <v>1 to 2 Hours</v>
      </c>
      <c r="K901" s="9">
        <f>ROUND(Call_Table_Data[[#This Row],[Satisfaction Rating]],0)</f>
        <v>4</v>
      </c>
    </row>
    <row r="902" spans="1:11" x14ac:dyDescent="0.3">
      <c r="A902" s="9" t="s">
        <v>939</v>
      </c>
      <c r="B902" s="9" t="s">
        <v>54</v>
      </c>
      <c r="C902" s="9">
        <v>74</v>
      </c>
      <c r="D902" s="10" t="s">
        <v>17</v>
      </c>
      <c r="E902" s="11">
        <v>45238</v>
      </c>
      <c r="F902" s="9">
        <v>160</v>
      </c>
      <c r="G902" s="9">
        <v>2.7</v>
      </c>
      <c r="H902" s="9">
        <f>IF(MONTH(Call_Table_Data[[#This Row],[Date of Call]])&lt;=3,YEAR(Call_Table_Data[[#This Row],[Date of Call]]),YEAR(Call_Table_Data[[#This Row],[Date of Call]])+1)</f>
        <v>2024</v>
      </c>
      <c r="I902" s="9" t="str">
        <f>TEXT(Call_Table_Data[[#This Row],[Date of Call]],"DDDD")</f>
        <v>Wednesday</v>
      </c>
      <c r="J902" s="9" t="str" cm="1">
        <f t="array" ref="J902">_xlfn.IFS(Call_Table_Data[[#This Row],[Duration]]&lt;=10,"Under 10 Mins",Call_Table_Data[[#This Row],[Duration]]&lt;=30,"10 to 30 Mins",Call_Table_Data[[#This Row],[Duration]]&lt;=60,"30 to 60 Mins",Call_Table_Data[[#This Row],[Duration]]&lt;=120,"1 to 2 Hours",TRUE,"More Than 2 Hours")</f>
        <v>1 to 2 Hours</v>
      </c>
      <c r="K902" s="9">
        <f>ROUND(Call_Table_Data[[#This Row],[Satisfaction Rating]],0)</f>
        <v>3</v>
      </c>
    </row>
    <row r="903" spans="1:11" x14ac:dyDescent="0.3">
      <c r="A903" s="9" t="s">
        <v>940</v>
      </c>
      <c r="B903" s="9" t="s">
        <v>54</v>
      </c>
      <c r="C903" s="9">
        <v>30</v>
      </c>
      <c r="D903" s="10" t="s">
        <v>46</v>
      </c>
      <c r="E903" s="11">
        <v>45238</v>
      </c>
      <c r="F903" s="9">
        <v>84</v>
      </c>
      <c r="G903" s="9">
        <v>4</v>
      </c>
      <c r="H903" s="9">
        <f>IF(MONTH(Call_Table_Data[[#This Row],[Date of Call]])&lt;=3,YEAR(Call_Table_Data[[#This Row],[Date of Call]]),YEAR(Call_Table_Data[[#This Row],[Date of Call]])+1)</f>
        <v>2024</v>
      </c>
      <c r="I903" s="9" t="str">
        <f>TEXT(Call_Table_Data[[#This Row],[Date of Call]],"DDDD")</f>
        <v>Wednesday</v>
      </c>
      <c r="J903" s="9" t="str" cm="1">
        <f t="array" ref="J903">_xlfn.IFS(Call_Table_Data[[#This Row],[Duration]]&lt;=10,"Under 10 Mins",Call_Table_Data[[#This Row],[Duration]]&lt;=30,"10 to 30 Mins",Call_Table_Data[[#This Row],[Duration]]&lt;=60,"30 to 60 Mins",Call_Table_Data[[#This Row],[Duration]]&lt;=120,"1 to 2 Hours",TRUE,"More Than 2 Hours")</f>
        <v>10 to 30 Mins</v>
      </c>
      <c r="K903" s="9">
        <f>ROUND(Call_Table_Data[[#This Row],[Satisfaction Rating]],0)</f>
        <v>4</v>
      </c>
    </row>
    <row r="904" spans="1:11" x14ac:dyDescent="0.3">
      <c r="A904" s="9" t="s">
        <v>941</v>
      </c>
      <c r="B904" s="9" t="s">
        <v>26</v>
      </c>
      <c r="C904" s="9">
        <v>56</v>
      </c>
      <c r="D904" s="10" t="s">
        <v>27</v>
      </c>
      <c r="E904" s="11">
        <v>45238</v>
      </c>
      <c r="F904" s="9">
        <v>124</v>
      </c>
      <c r="G904" s="9">
        <v>2.6</v>
      </c>
      <c r="H904" s="9">
        <f>IF(MONTH(Call_Table_Data[[#This Row],[Date of Call]])&lt;=3,YEAR(Call_Table_Data[[#This Row],[Date of Call]]),YEAR(Call_Table_Data[[#This Row],[Date of Call]])+1)</f>
        <v>2024</v>
      </c>
      <c r="I904" s="9" t="str">
        <f>TEXT(Call_Table_Data[[#This Row],[Date of Call]],"DDDD")</f>
        <v>Wednesday</v>
      </c>
      <c r="J904" s="9" t="str" cm="1">
        <f t="array" ref="J904">_xlfn.IFS(Call_Table_Data[[#This Row],[Duration]]&lt;=10,"Under 10 Mins",Call_Table_Data[[#This Row],[Duration]]&lt;=30,"10 to 30 Mins",Call_Table_Data[[#This Row],[Duration]]&lt;=60,"30 to 60 Mins",Call_Table_Data[[#This Row],[Duration]]&lt;=120,"1 to 2 Hours",TRUE,"More Than 2 Hours")</f>
        <v>30 to 60 Mins</v>
      </c>
      <c r="K904" s="9">
        <f>ROUND(Call_Table_Data[[#This Row],[Satisfaction Rating]],0)</f>
        <v>3</v>
      </c>
    </row>
    <row r="905" spans="1:11" x14ac:dyDescent="0.3">
      <c r="A905" s="9" t="s">
        <v>942</v>
      </c>
      <c r="B905" s="9" t="s">
        <v>54</v>
      </c>
      <c r="C905" s="9">
        <v>151</v>
      </c>
      <c r="D905" s="10" t="s">
        <v>33</v>
      </c>
      <c r="E905" s="11">
        <v>45238</v>
      </c>
      <c r="F905" s="9">
        <v>84</v>
      </c>
      <c r="G905" s="9">
        <v>4.5999999999999996</v>
      </c>
      <c r="H905" s="9">
        <f>IF(MONTH(Call_Table_Data[[#This Row],[Date of Call]])&lt;=3,YEAR(Call_Table_Data[[#This Row],[Date of Call]]),YEAR(Call_Table_Data[[#This Row],[Date of Call]])+1)</f>
        <v>2024</v>
      </c>
      <c r="I905" s="9" t="str">
        <f>TEXT(Call_Table_Data[[#This Row],[Date of Call]],"DDDD")</f>
        <v>Wednesday</v>
      </c>
      <c r="J905" s="9" t="str" cm="1">
        <f t="array" ref="J905">_xlfn.IFS(Call_Table_Data[[#This Row],[Duration]]&lt;=10,"Under 10 Mins",Call_Table_Data[[#This Row],[Duration]]&lt;=30,"10 to 30 Mins",Call_Table_Data[[#This Row],[Duration]]&lt;=60,"30 to 60 Mins",Call_Table_Data[[#This Row],[Duration]]&lt;=120,"1 to 2 Hours",TRUE,"More Than 2 Hours")</f>
        <v>More Than 2 Hours</v>
      </c>
      <c r="K905" s="9">
        <f>ROUND(Call_Table_Data[[#This Row],[Satisfaction Rating]],0)</f>
        <v>5</v>
      </c>
    </row>
    <row r="906" spans="1:11" x14ac:dyDescent="0.3">
      <c r="A906" s="9" t="s">
        <v>943</v>
      </c>
      <c r="B906" s="9" t="s">
        <v>22</v>
      </c>
      <c r="C906" s="9">
        <v>108</v>
      </c>
      <c r="D906" s="10" t="s">
        <v>40</v>
      </c>
      <c r="E906" s="11">
        <v>45239</v>
      </c>
      <c r="F906" s="9">
        <v>130</v>
      </c>
      <c r="G906" s="9">
        <v>2.7</v>
      </c>
      <c r="H906" s="9">
        <f>IF(MONTH(Call_Table_Data[[#This Row],[Date of Call]])&lt;=3,YEAR(Call_Table_Data[[#This Row],[Date of Call]]),YEAR(Call_Table_Data[[#This Row],[Date of Call]])+1)</f>
        <v>2024</v>
      </c>
      <c r="I906" s="9" t="str">
        <f>TEXT(Call_Table_Data[[#This Row],[Date of Call]],"DDDD")</f>
        <v>Thursday</v>
      </c>
      <c r="J906" s="9" t="str" cm="1">
        <f t="array" ref="J906">_xlfn.IFS(Call_Table_Data[[#This Row],[Duration]]&lt;=10,"Under 10 Mins",Call_Table_Data[[#This Row],[Duration]]&lt;=30,"10 to 30 Mins",Call_Table_Data[[#This Row],[Duration]]&lt;=60,"30 to 60 Mins",Call_Table_Data[[#This Row],[Duration]]&lt;=120,"1 to 2 Hours",TRUE,"More Than 2 Hours")</f>
        <v>1 to 2 Hours</v>
      </c>
      <c r="K906" s="9">
        <f>ROUND(Call_Table_Data[[#This Row],[Satisfaction Rating]],0)</f>
        <v>3</v>
      </c>
    </row>
    <row r="907" spans="1:11" x14ac:dyDescent="0.3">
      <c r="A907" s="9" t="s">
        <v>944</v>
      </c>
      <c r="B907" s="9" t="s">
        <v>50</v>
      </c>
      <c r="C907" s="9">
        <v>124</v>
      </c>
      <c r="D907" s="10" t="s">
        <v>17</v>
      </c>
      <c r="E907" s="11">
        <v>45239</v>
      </c>
      <c r="F907" s="9">
        <v>215</v>
      </c>
      <c r="G907" s="9">
        <v>3.5</v>
      </c>
      <c r="H907" s="9">
        <f>IF(MONTH(Call_Table_Data[[#This Row],[Date of Call]])&lt;=3,YEAR(Call_Table_Data[[#This Row],[Date of Call]]),YEAR(Call_Table_Data[[#This Row],[Date of Call]])+1)</f>
        <v>2024</v>
      </c>
      <c r="I907" s="9" t="str">
        <f>TEXT(Call_Table_Data[[#This Row],[Date of Call]],"DDDD")</f>
        <v>Thursday</v>
      </c>
      <c r="J907" s="9" t="str" cm="1">
        <f t="array" ref="J907">_xlfn.IFS(Call_Table_Data[[#This Row],[Duration]]&lt;=10,"Under 10 Mins",Call_Table_Data[[#This Row],[Duration]]&lt;=30,"10 to 30 Mins",Call_Table_Data[[#This Row],[Duration]]&lt;=60,"30 to 60 Mins",Call_Table_Data[[#This Row],[Duration]]&lt;=120,"1 to 2 Hours",TRUE,"More Than 2 Hours")</f>
        <v>More Than 2 Hours</v>
      </c>
      <c r="K907" s="9">
        <f>ROUND(Call_Table_Data[[#This Row],[Satisfaction Rating]],0)</f>
        <v>4</v>
      </c>
    </row>
    <row r="908" spans="1:11" x14ac:dyDescent="0.3">
      <c r="A908" s="9" t="s">
        <v>945</v>
      </c>
      <c r="B908" s="9" t="s">
        <v>30</v>
      </c>
      <c r="C908" s="9">
        <v>110</v>
      </c>
      <c r="D908" s="10" t="s">
        <v>27</v>
      </c>
      <c r="E908" s="11">
        <v>45240</v>
      </c>
      <c r="F908" s="9">
        <v>132</v>
      </c>
      <c r="G908" s="9">
        <v>3.6</v>
      </c>
      <c r="H908" s="9">
        <f>IF(MONTH(Call_Table_Data[[#This Row],[Date of Call]])&lt;=3,YEAR(Call_Table_Data[[#This Row],[Date of Call]]),YEAR(Call_Table_Data[[#This Row],[Date of Call]])+1)</f>
        <v>2024</v>
      </c>
      <c r="I908" s="9" t="str">
        <f>TEXT(Call_Table_Data[[#This Row],[Date of Call]],"DDDD")</f>
        <v>Friday</v>
      </c>
      <c r="J908" s="9" t="str" cm="1">
        <f t="array" ref="J908">_xlfn.IFS(Call_Table_Data[[#This Row],[Duration]]&lt;=10,"Under 10 Mins",Call_Table_Data[[#This Row],[Duration]]&lt;=30,"10 to 30 Mins",Call_Table_Data[[#This Row],[Duration]]&lt;=60,"30 to 60 Mins",Call_Table_Data[[#This Row],[Duration]]&lt;=120,"1 to 2 Hours",TRUE,"More Than 2 Hours")</f>
        <v>1 to 2 Hours</v>
      </c>
      <c r="K908" s="9">
        <f>ROUND(Call_Table_Data[[#This Row],[Satisfaction Rating]],0)</f>
        <v>4</v>
      </c>
    </row>
    <row r="909" spans="1:11" x14ac:dyDescent="0.3">
      <c r="A909" s="9" t="s">
        <v>946</v>
      </c>
      <c r="B909" s="9" t="s">
        <v>45</v>
      </c>
      <c r="C909" s="9">
        <v>89</v>
      </c>
      <c r="D909" s="10" t="s">
        <v>40</v>
      </c>
      <c r="E909" s="11">
        <v>45240</v>
      </c>
      <c r="F909" s="9">
        <v>88</v>
      </c>
      <c r="G909" s="9">
        <v>4.9000000000000004</v>
      </c>
      <c r="H909" s="9">
        <f>IF(MONTH(Call_Table_Data[[#This Row],[Date of Call]])&lt;=3,YEAR(Call_Table_Data[[#This Row],[Date of Call]]),YEAR(Call_Table_Data[[#This Row],[Date of Call]])+1)</f>
        <v>2024</v>
      </c>
      <c r="I909" s="9" t="str">
        <f>TEXT(Call_Table_Data[[#This Row],[Date of Call]],"DDDD")</f>
        <v>Friday</v>
      </c>
      <c r="J909" s="9" t="str" cm="1">
        <f t="array" ref="J909">_xlfn.IFS(Call_Table_Data[[#This Row],[Duration]]&lt;=10,"Under 10 Mins",Call_Table_Data[[#This Row],[Duration]]&lt;=30,"10 to 30 Mins",Call_Table_Data[[#This Row],[Duration]]&lt;=60,"30 to 60 Mins",Call_Table_Data[[#This Row],[Duration]]&lt;=120,"1 to 2 Hours",TRUE,"More Than 2 Hours")</f>
        <v>1 to 2 Hours</v>
      </c>
      <c r="K909" s="9">
        <f>ROUND(Call_Table_Data[[#This Row],[Satisfaction Rating]],0)</f>
        <v>5</v>
      </c>
    </row>
    <row r="910" spans="1:11" x14ac:dyDescent="0.3">
      <c r="A910" s="9" t="s">
        <v>947</v>
      </c>
      <c r="B910" s="9" t="s">
        <v>16</v>
      </c>
      <c r="C910" s="9">
        <v>95</v>
      </c>
      <c r="D910" s="10" t="s">
        <v>27</v>
      </c>
      <c r="E910" s="11">
        <v>45240</v>
      </c>
      <c r="F910" s="9">
        <v>140</v>
      </c>
      <c r="G910" s="9">
        <v>3.9</v>
      </c>
      <c r="H910" s="9">
        <f>IF(MONTH(Call_Table_Data[[#This Row],[Date of Call]])&lt;=3,YEAR(Call_Table_Data[[#This Row],[Date of Call]]),YEAR(Call_Table_Data[[#This Row],[Date of Call]])+1)</f>
        <v>2024</v>
      </c>
      <c r="I910" s="9" t="str">
        <f>TEXT(Call_Table_Data[[#This Row],[Date of Call]],"DDDD")</f>
        <v>Friday</v>
      </c>
      <c r="J910" s="9" t="str" cm="1">
        <f t="array" ref="J910">_xlfn.IFS(Call_Table_Data[[#This Row],[Duration]]&lt;=10,"Under 10 Mins",Call_Table_Data[[#This Row],[Duration]]&lt;=30,"10 to 30 Mins",Call_Table_Data[[#This Row],[Duration]]&lt;=60,"30 to 60 Mins",Call_Table_Data[[#This Row],[Duration]]&lt;=120,"1 to 2 Hours",TRUE,"More Than 2 Hours")</f>
        <v>1 to 2 Hours</v>
      </c>
      <c r="K910" s="9">
        <f>ROUND(Call_Table_Data[[#This Row],[Satisfaction Rating]],0)</f>
        <v>4</v>
      </c>
    </row>
    <row r="911" spans="1:11" x14ac:dyDescent="0.3">
      <c r="A911" s="9" t="s">
        <v>948</v>
      </c>
      <c r="B911" s="9" t="s">
        <v>54</v>
      </c>
      <c r="C911" s="9">
        <v>84</v>
      </c>
      <c r="D911" s="10" t="s">
        <v>40</v>
      </c>
      <c r="E911" s="11">
        <v>45241</v>
      </c>
      <c r="F911" s="9">
        <v>66</v>
      </c>
      <c r="G911" s="9">
        <v>4.7</v>
      </c>
      <c r="H911" s="9">
        <f>IF(MONTH(Call_Table_Data[[#This Row],[Date of Call]])&lt;=3,YEAR(Call_Table_Data[[#This Row],[Date of Call]]),YEAR(Call_Table_Data[[#This Row],[Date of Call]])+1)</f>
        <v>2024</v>
      </c>
      <c r="I911" s="9" t="str">
        <f>TEXT(Call_Table_Data[[#This Row],[Date of Call]],"DDDD")</f>
        <v>Saturday</v>
      </c>
      <c r="J911" s="9" t="str" cm="1">
        <f t="array" ref="J911">_xlfn.IFS(Call_Table_Data[[#This Row],[Duration]]&lt;=10,"Under 10 Mins",Call_Table_Data[[#This Row],[Duration]]&lt;=30,"10 to 30 Mins",Call_Table_Data[[#This Row],[Duration]]&lt;=60,"30 to 60 Mins",Call_Table_Data[[#This Row],[Duration]]&lt;=120,"1 to 2 Hours",TRUE,"More Than 2 Hours")</f>
        <v>1 to 2 Hours</v>
      </c>
      <c r="K911" s="9">
        <f>ROUND(Call_Table_Data[[#This Row],[Satisfaction Rating]],0)</f>
        <v>5</v>
      </c>
    </row>
    <row r="912" spans="1:11" x14ac:dyDescent="0.3">
      <c r="A912" s="9" t="s">
        <v>949</v>
      </c>
      <c r="B912" s="9" t="s">
        <v>23</v>
      </c>
      <c r="C912" s="9">
        <v>89</v>
      </c>
      <c r="D912" s="10" t="s">
        <v>17</v>
      </c>
      <c r="E912" s="11">
        <v>45241</v>
      </c>
      <c r="F912" s="9">
        <v>23</v>
      </c>
      <c r="G912" s="9">
        <v>4.5</v>
      </c>
      <c r="H912" s="9">
        <f>IF(MONTH(Call_Table_Data[[#This Row],[Date of Call]])&lt;=3,YEAR(Call_Table_Data[[#This Row],[Date of Call]]),YEAR(Call_Table_Data[[#This Row],[Date of Call]])+1)</f>
        <v>2024</v>
      </c>
      <c r="I912" s="9" t="str">
        <f>TEXT(Call_Table_Data[[#This Row],[Date of Call]],"DDDD")</f>
        <v>Saturday</v>
      </c>
      <c r="J912" s="9" t="str" cm="1">
        <f t="array" ref="J912">_xlfn.IFS(Call_Table_Data[[#This Row],[Duration]]&lt;=10,"Under 10 Mins",Call_Table_Data[[#This Row],[Duration]]&lt;=30,"10 to 30 Mins",Call_Table_Data[[#This Row],[Duration]]&lt;=60,"30 to 60 Mins",Call_Table_Data[[#This Row],[Duration]]&lt;=120,"1 to 2 Hours",TRUE,"More Than 2 Hours")</f>
        <v>1 to 2 Hours</v>
      </c>
      <c r="K912" s="9">
        <f>ROUND(Call_Table_Data[[#This Row],[Satisfaction Rating]],0)</f>
        <v>5</v>
      </c>
    </row>
    <row r="913" spans="1:11" x14ac:dyDescent="0.3">
      <c r="A913" s="9" t="s">
        <v>950</v>
      </c>
      <c r="B913" s="9" t="s">
        <v>45</v>
      </c>
      <c r="C913" s="9">
        <v>146</v>
      </c>
      <c r="D913" s="10" t="s">
        <v>17</v>
      </c>
      <c r="E913" s="11">
        <v>45242</v>
      </c>
      <c r="F913" s="9">
        <v>220</v>
      </c>
      <c r="G913" s="9">
        <v>4.5</v>
      </c>
      <c r="H913" s="9">
        <f>IF(MONTH(Call_Table_Data[[#This Row],[Date of Call]])&lt;=3,YEAR(Call_Table_Data[[#This Row],[Date of Call]]),YEAR(Call_Table_Data[[#This Row],[Date of Call]])+1)</f>
        <v>2024</v>
      </c>
      <c r="I913" s="9" t="str">
        <f>TEXT(Call_Table_Data[[#This Row],[Date of Call]],"DDDD")</f>
        <v>Sunday</v>
      </c>
      <c r="J913" s="9" t="str" cm="1">
        <f t="array" ref="J913">_xlfn.IFS(Call_Table_Data[[#This Row],[Duration]]&lt;=10,"Under 10 Mins",Call_Table_Data[[#This Row],[Duration]]&lt;=30,"10 to 30 Mins",Call_Table_Data[[#This Row],[Duration]]&lt;=60,"30 to 60 Mins",Call_Table_Data[[#This Row],[Duration]]&lt;=120,"1 to 2 Hours",TRUE,"More Than 2 Hours")</f>
        <v>More Than 2 Hours</v>
      </c>
      <c r="K913" s="9">
        <f>ROUND(Call_Table_Data[[#This Row],[Satisfaction Rating]],0)</f>
        <v>5</v>
      </c>
    </row>
    <row r="914" spans="1:11" x14ac:dyDescent="0.3">
      <c r="A914" s="9" t="s">
        <v>951</v>
      </c>
      <c r="B914" s="9" t="s">
        <v>49</v>
      </c>
      <c r="C914" s="9">
        <v>62</v>
      </c>
      <c r="D914" s="10" t="s">
        <v>46</v>
      </c>
      <c r="E914" s="11">
        <v>45243</v>
      </c>
      <c r="F914" s="9">
        <v>175</v>
      </c>
      <c r="G914" s="9">
        <v>4.4000000000000004</v>
      </c>
      <c r="H914" s="9">
        <f>IF(MONTH(Call_Table_Data[[#This Row],[Date of Call]])&lt;=3,YEAR(Call_Table_Data[[#This Row],[Date of Call]]),YEAR(Call_Table_Data[[#This Row],[Date of Call]])+1)</f>
        <v>2024</v>
      </c>
      <c r="I914" s="9" t="str">
        <f>TEXT(Call_Table_Data[[#This Row],[Date of Call]],"DDDD")</f>
        <v>Monday</v>
      </c>
      <c r="J914" s="9" t="str" cm="1">
        <f t="array" ref="J914">_xlfn.IFS(Call_Table_Data[[#This Row],[Duration]]&lt;=10,"Under 10 Mins",Call_Table_Data[[#This Row],[Duration]]&lt;=30,"10 to 30 Mins",Call_Table_Data[[#This Row],[Duration]]&lt;=60,"30 to 60 Mins",Call_Table_Data[[#This Row],[Duration]]&lt;=120,"1 to 2 Hours",TRUE,"More Than 2 Hours")</f>
        <v>1 to 2 Hours</v>
      </c>
      <c r="K914" s="9">
        <f>ROUND(Call_Table_Data[[#This Row],[Satisfaction Rating]],0)</f>
        <v>4</v>
      </c>
    </row>
    <row r="915" spans="1:11" x14ac:dyDescent="0.3">
      <c r="A915" s="9" t="s">
        <v>952</v>
      </c>
      <c r="B915" s="9" t="s">
        <v>18</v>
      </c>
      <c r="C915" s="9">
        <v>82</v>
      </c>
      <c r="D915" s="10" t="s">
        <v>17</v>
      </c>
      <c r="E915" s="11">
        <v>45243</v>
      </c>
      <c r="F915" s="9">
        <v>172</v>
      </c>
      <c r="G915" s="9">
        <v>4.0999999999999996</v>
      </c>
      <c r="H915" s="9">
        <f>IF(MONTH(Call_Table_Data[[#This Row],[Date of Call]])&lt;=3,YEAR(Call_Table_Data[[#This Row],[Date of Call]]),YEAR(Call_Table_Data[[#This Row],[Date of Call]])+1)</f>
        <v>2024</v>
      </c>
      <c r="I915" s="9" t="str">
        <f>TEXT(Call_Table_Data[[#This Row],[Date of Call]],"DDDD")</f>
        <v>Monday</v>
      </c>
      <c r="J915" s="9" t="str" cm="1">
        <f t="array" ref="J915">_xlfn.IFS(Call_Table_Data[[#This Row],[Duration]]&lt;=10,"Under 10 Mins",Call_Table_Data[[#This Row],[Duration]]&lt;=30,"10 to 30 Mins",Call_Table_Data[[#This Row],[Duration]]&lt;=60,"30 to 60 Mins",Call_Table_Data[[#This Row],[Duration]]&lt;=120,"1 to 2 Hours",TRUE,"More Than 2 Hours")</f>
        <v>1 to 2 Hours</v>
      </c>
      <c r="K915" s="9">
        <f>ROUND(Call_Table_Data[[#This Row],[Satisfaction Rating]],0)</f>
        <v>4</v>
      </c>
    </row>
    <row r="916" spans="1:11" x14ac:dyDescent="0.3">
      <c r="A916" s="9" t="s">
        <v>953</v>
      </c>
      <c r="B916" s="9" t="s">
        <v>43</v>
      </c>
      <c r="C916" s="9">
        <v>91</v>
      </c>
      <c r="D916" s="10" t="s">
        <v>33</v>
      </c>
      <c r="E916" s="11">
        <v>45243</v>
      </c>
      <c r="F916" s="9">
        <v>108</v>
      </c>
      <c r="G916" s="9">
        <v>3.8</v>
      </c>
      <c r="H916" s="9">
        <f>IF(MONTH(Call_Table_Data[[#This Row],[Date of Call]])&lt;=3,YEAR(Call_Table_Data[[#This Row],[Date of Call]]),YEAR(Call_Table_Data[[#This Row],[Date of Call]])+1)</f>
        <v>2024</v>
      </c>
      <c r="I916" s="9" t="str">
        <f>TEXT(Call_Table_Data[[#This Row],[Date of Call]],"DDDD")</f>
        <v>Monday</v>
      </c>
      <c r="J916" s="9" t="str" cm="1">
        <f t="array" ref="J916">_xlfn.IFS(Call_Table_Data[[#This Row],[Duration]]&lt;=10,"Under 10 Mins",Call_Table_Data[[#This Row],[Duration]]&lt;=30,"10 to 30 Mins",Call_Table_Data[[#This Row],[Duration]]&lt;=60,"30 to 60 Mins",Call_Table_Data[[#This Row],[Duration]]&lt;=120,"1 to 2 Hours",TRUE,"More Than 2 Hours")</f>
        <v>1 to 2 Hours</v>
      </c>
      <c r="K916" s="9">
        <f>ROUND(Call_Table_Data[[#This Row],[Satisfaction Rating]],0)</f>
        <v>4</v>
      </c>
    </row>
    <row r="917" spans="1:11" x14ac:dyDescent="0.3">
      <c r="A917" s="9" t="s">
        <v>954</v>
      </c>
      <c r="B917" s="9" t="s">
        <v>23</v>
      </c>
      <c r="C917" s="9">
        <v>39</v>
      </c>
      <c r="D917" s="10" t="s">
        <v>17</v>
      </c>
      <c r="E917" s="11">
        <v>45244</v>
      </c>
      <c r="F917" s="9">
        <v>43</v>
      </c>
      <c r="G917" s="9">
        <v>4.2</v>
      </c>
      <c r="H917" s="9">
        <f>IF(MONTH(Call_Table_Data[[#This Row],[Date of Call]])&lt;=3,YEAR(Call_Table_Data[[#This Row],[Date of Call]]),YEAR(Call_Table_Data[[#This Row],[Date of Call]])+1)</f>
        <v>2024</v>
      </c>
      <c r="I917" s="9" t="str">
        <f>TEXT(Call_Table_Data[[#This Row],[Date of Call]],"DDDD")</f>
        <v>Tuesday</v>
      </c>
      <c r="J917" s="9" t="str" cm="1">
        <f t="array" ref="J917">_xlfn.IFS(Call_Table_Data[[#This Row],[Duration]]&lt;=10,"Under 10 Mins",Call_Table_Data[[#This Row],[Duration]]&lt;=30,"10 to 30 Mins",Call_Table_Data[[#This Row],[Duration]]&lt;=60,"30 to 60 Mins",Call_Table_Data[[#This Row],[Duration]]&lt;=120,"1 to 2 Hours",TRUE,"More Than 2 Hours")</f>
        <v>30 to 60 Mins</v>
      </c>
      <c r="K917" s="9">
        <f>ROUND(Call_Table_Data[[#This Row],[Satisfaction Rating]],0)</f>
        <v>4</v>
      </c>
    </row>
    <row r="918" spans="1:11" x14ac:dyDescent="0.3">
      <c r="A918" s="9" t="s">
        <v>955</v>
      </c>
      <c r="B918" s="9" t="s">
        <v>45</v>
      </c>
      <c r="C918" s="9">
        <v>149</v>
      </c>
      <c r="D918" s="10" t="s">
        <v>27</v>
      </c>
      <c r="E918" s="11">
        <v>45244</v>
      </c>
      <c r="F918" s="9">
        <v>44</v>
      </c>
      <c r="G918" s="9">
        <v>2.2000000000000002</v>
      </c>
      <c r="H918" s="9">
        <f>IF(MONTH(Call_Table_Data[[#This Row],[Date of Call]])&lt;=3,YEAR(Call_Table_Data[[#This Row],[Date of Call]]),YEAR(Call_Table_Data[[#This Row],[Date of Call]])+1)</f>
        <v>2024</v>
      </c>
      <c r="I918" s="9" t="str">
        <f>TEXT(Call_Table_Data[[#This Row],[Date of Call]],"DDDD")</f>
        <v>Tuesday</v>
      </c>
      <c r="J918" s="9" t="str" cm="1">
        <f t="array" ref="J918">_xlfn.IFS(Call_Table_Data[[#This Row],[Duration]]&lt;=10,"Under 10 Mins",Call_Table_Data[[#This Row],[Duration]]&lt;=30,"10 to 30 Mins",Call_Table_Data[[#This Row],[Duration]]&lt;=60,"30 to 60 Mins",Call_Table_Data[[#This Row],[Duration]]&lt;=120,"1 to 2 Hours",TRUE,"More Than 2 Hours")</f>
        <v>More Than 2 Hours</v>
      </c>
      <c r="K918" s="9">
        <f>ROUND(Call_Table_Data[[#This Row],[Satisfaction Rating]],0)</f>
        <v>2</v>
      </c>
    </row>
    <row r="919" spans="1:11" x14ac:dyDescent="0.3">
      <c r="A919" s="9" t="s">
        <v>956</v>
      </c>
      <c r="B919" s="9" t="s">
        <v>18</v>
      </c>
      <c r="C919" s="9">
        <v>138</v>
      </c>
      <c r="D919" s="10" t="s">
        <v>46</v>
      </c>
      <c r="E919" s="11">
        <v>45244</v>
      </c>
      <c r="F919" s="9">
        <v>105</v>
      </c>
      <c r="G919" s="9">
        <v>3.9</v>
      </c>
      <c r="H919" s="9">
        <f>IF(MONTH(Call_Table_Data[[#This Row],[Date of Call]])&lt;=3,YEAR(Call_Table_Data[[#This Row],[Date of Call]]),YEAR(Call_Table_Data[[#This Row],[Date of Call]])+1)</f>
        <v>2024</v>
      </c>
      <c r="I919" s="9" t="str">
        <f>TEXT(Call_Table_Data[[#This Row],[Date of Call]],"DDDD")</f>
        <v>Tuesday</v>
      </c>
      <c r="J919" s="9" t="str" cm="1">
        <f t="array" ref="J919">_xlfn.IFS(Call_Table_Data[[#This Row],[Duration]]&lt;=10,"Under 10 Mins",Call_Table_Data[[#This Row],[Duration]]&lt;=30,"10 to 30 Mins",Call_Table_Data[[#This Row],[Duration]]&lt;=60,"30 to 60 Mins",Call_Table_Data[[#This Row],[Duration]]&lt;=120,"1 to 2 Hours",TRUE,"More Than 2 Hours")</f>
        <v>More Than 2 Hours</v>
      </c>
      <c r="K919" s="9">
        <f>ROUND(Call_Table_Data[[#This Row],[Satisfaction Rating]],0)</f>
        <v>4</v>
      </c>
    </row>
    <row r="920" spans="1:11" x14ac:dyDescent="0.3">
      <c r="A920" s="9" t="s">
        <v>957</v>
      </c>
      <c r="B920" s="9" t="s">
        <v>49</v>
      </c>
      <c r="C920" s="9">
        <v>113</v>
      </c>
      <c r="D920" s="10" t="s">
        <v>27</v>
      </c>
      <c r="E920" s="11">
        <v>45245</v>
      </c>
      <c r="F920" s="9">
        <v>34</v>
      </c>
      <c r="G920" s="9">
        <v>3.9</v>
      </c>
      <c r="H920" s="9">
        <f>IF(MONTH(Call_Table_Data[[#This Row],[Date of Call]])&lt;=3,YEAR(Call_Table_Data[[#This Row],[Date of Call]]),YEAR(Call_Table_Data[[#This Row],[Date of Call]])+1)</f>
        <v>2024</v>
      </c>
      <c r="I920" s="9" t="str">
        <f>TEXT(Call_Table_Data[[#This Row],[Date of Call]],"DDDD")</f>
        <v>Wednesday</v>
      </c>
      <c r="J920" s="9" t="str" cm="1">
        <f t="array" ref="J920">_xlfn.IFS(Call_Table_Data[[#This Row],[Duration]]&lt;=10,"Under 10 Mins",Call_Table_Data[[#This Row],[Duration]]&lt;=30,"10 to 30 Mins",Call_Table_Data[[#This Row],[Duration]]&lt;=60,"30 to 60 Mins",Call_Table_Data[[#This Row],[Duration]]&lt;=120,"1 to 2 Hours",TRUE,"More Than 2 Hours")</f>
        <v>1 to 2 Hours</v>
      </c>
      <c r="K920" s="9">
        <f>ROUND(Call_Table_Data[[#This Row],[Satisfaction Rating]],0)</f>
        <v>4</v>
      </c>
    </row>
    <row r="921" spans="1:11" x14ac:dyDescent="0.3">
      <c r="A921" s="9" t="s">
        <v>958</v>
      </c>
      <c r="B921" s="9" t="s">
        <v>32</v>
      </c>
      <c r="C921" s="9">
        <v>88</v>
      </c>
      <c r="D921" s="10" t="s">
        <v>17</v>
      </c>
      <c r="E921" s="11">
        <v>45245</v>
      </c>
      <c r="F921" s="9">
        <v>220</v>
      </c>
      <c r="G921" s="9">
        <v>4.0999999999999996</v>
      </c>
      <c r="H921" s="9">
        <f>IF(MONTH(Call_Table_Data[[#This Row],[Date of Call]])&lt;=3,YEAR(Call_Table_Data[[#This Row],[Date of Call]]),YEAR(Call_Table_Data[[#This Row],[Date of Call]])+1)</f>
        <v>2024</v>
      </c>
      <c r="I921" s="9" t="str">
        <f>TEXT(Call_Table_Data[[#This Row],[Date of Call]],"DDDD")</f>
        <v>Wednesday</v>
      </c>
      <c r="J921" s="9" t="str" cm="1">
        <f t="array" ref="J921">_xlfn.IFS(Call_Table_Data[[#This Row],[Duration]]&lt;=10,"Under 10 Mins",Call_Table_Data[[#This Row],[Duration]]&lt;=30,"10 to 30 Mins",Call_Table_Data[[#This Row],[Duration]]&lt;=60,"30 to 60 Mins",Call_Table_Data[[#This Row],[Duration]]&lt;=120,"1 to 2 Hours",TRUE,"More Than 2 Hours")</f>
        <v>1 to 2 Hours</v>
      </c>
      <c r="K921" s="9">
        <f>ROUND(Call_Table_Data[[#This Row],[Satisfaction Rating]],0)</f>
        <v>4</v>
      </c>
    </row>
    <row r="922" spans="1:11" x14ac:dyDescent="0.3">
      <c r="A922" s="9" t="s">
        <v>959</v>
      </c>
      <c r="B922" s="9" t="s">
        <v>16</v>
      </c>
      <c r="C922" s="9">
        <v>64</v>
      </c>
      <c r="D922" s="10" t="s">
        <v>46</v>
      </c>
      <c r="E922" s="11">
        <v>45245</v>
      </c>
      <c r="F922" s="9">
        <v>225</v>
      </c>
      <c r="G922" s="9">
        <v>4.5999999999999996</v>
      </c>
      <c r="H922" s="9">
        <f>IF(MONTH(Call_Table_Data[[#This Row],[Date of Call]])&lt;=3,YEAR(Call_Table_Data[[#This Row],[Date of Call]]),YEAR(Call_Table_Data[[#This Row],[Date of Call]])+1)</f>
        <v>2024</v>
      </c>
      <c r="I922" s="9" t="str">
        <f>TEXT(Call_Table_Data[[#This Row],[Date of Call]],"DDDD")</f>
        <v>Wednesday</v>
      </c>
      <c r="J922" s="9" t="str" cm="1">
        <f t="array" ref="J922">_xlfn.IFS(Call_Table_Data[[#This Row],[Duration]]&lt;=10,"Under 10 Mins",Call_Table_Data[[#This Row],[Duration]]&lt;=30,"10 to 30 Mins",Call_Table_Data[[#This Row],[Duration]]&lt;=60,"30 to 60 Mins",Call_Table_Data[[#This Row],[Duration]]&lt;=120,"1 to 2 Hours",TRUE,"More Than 2 Hours")</f>
        <v>1 to 2 Hours</v>
      </c>
      <c r="K922" s="9">
        <f>ROUND(Call_Table_Data[[#This Row],[Satisfaction Rating]],0)</f>
        <v>5</v>
      </c>
    </row>
    <row r="923" spans="1:11" x14ac:dyDescent="0.3">
      <c r="A923" s="9" t="s">
        <v>960</v>
      </c>
      <c r="B923" s="9" t="s">
        <v>26</v>
      </c>
      <c r="C923" s="9">
        <v>53</v>
      </c>
      <c r="D923" s="10" t="s">
        <v>46</v>
      </c>
      <c r="E923" s="11">
        <v>45246</v>
      </c>
      <c r="F923" s="9">
        <v>37</v>
      </c>
      <c r="G923" s="9">
        <v>4.0999999999999996</v>
      </c>
      <c r="H923" s="9">
        <f>IF(MONTH(Call_Table_Data[[#This Row],[Date of Call]])&lt;=3,YEAR(Call_Table_Data[[#This Row],[Date of Call]]),YEAR(Call_Table_Data[[#This Row],[Date of Call]])+1)</f>
        <v>2024</v>
      </c>
      <c r="I923" s="9" t="str">
        <f>TEXT(Call_Table_Data[[#This Row],[Date of Call]],"DDDD")</f>
        <v>Thursday</v>
      </c>
      <c r="J923" s="9" t="str" cm="1">
        <f t="array" ref="J923">_xlfn.IFS(Call_Table_Data[[#This Row],[Duration]]&lt;=10,"Under 10 Mins",Call_Table_Data[[#This Row],[Duration]]&lt;=30,"10 to 30 Mins",Call_Table_Data[[#This Row],[Duration]]&lt;=60,"30 to 60 Mins",Call_Table_Data[[#This Row],[Duration]]&lt;=120,"1 to 2 Hours",TRUE,"More Than 2 Hours")</f>
        <v>30 to 60 Mins</v>
      </c>
      <c r="K923" s="9">
        <f>ROUND(Call_Table_Data[[#This Row],[Satisfaction Rating]],0)</f>
        <v>4</v>
      </c>
    </row>
    <row r="924" spans="1:11" x14ac:dyDescent="0.3">
      <c r="A924" s="9" t="s">
        <v>961</v>
      </c>
      <c r="B924" s="9" t="s">
        <v>50</v>
      </c>
      <c r="C924" s="9">
        <v>63</v>
      </c>
      <c r="D924" s="10" t="s">
        <v>27</v>
      </c>
      <c r="E924" s="11">
        <v>45246</v>
      </c>
      <c r="F924" s="9">
        <v>44</v>
      </c>
      <c r="G924" s="9">
        <v>5</v>
      </c>
      <c r="H924" s="9">
        <f>IF(MONTH(Call_Table_Data[[#This Row],[Date of Call]])&lt;=3,YEAR(Call_Table_Data[[#This Row],[Date of Call]]),YEAR(Call_Table_Data[[#This Row],[Date of Call]])+1)</f>
        <v>2024</v>
      </c>
      <c r="I924" s="9" t="str">
        <f>TEXT(Call_Table_Data[[#This Row],[Date of Call]],"DDDD")</f>
        <v>Thursday</v>
      </c>
      <c r="J924" s="9" t="str" cm="1">
        <f t="array" ref="J924">_xlfn.IFS(Call_Table_Data[[#This Row],[Duration]]&lt;=10,"Under 10 Mins",Call_Table_Data[[#This Row],[Duration]]&lt;=30,"10 to 30 Mins",Call_Table_Data[[#This Row],[Duration]]&lt;=60,"30 to 60 Mins",Call_Table_Data[[#This Row],[Duration]]&lt;=120,"1 to 2 Hours",TRUE,"More Than 2 Hours")</f>
        <v>1 to 2 Hours</v>
      </c>
      <c r="K924" s="9">
        <f>ROUND(Call_Table_Data[[#This Row],[Satisfaction Rating]],0)</f>
        <v>5</v>
      </c>
    </row>
    <row r="925" spans="1:11" x14ac:dyDescent="0.3">
      <c r="A925" s="9" t="s">
        <v>962</v>
      </c>
      <c r="B925" s="9" t="s">
        <v>37</v>
      </c>
      <c r="C925" s="9">
        <v>54</v>
      </c>
      <c r="D925" s="10" t="s">
        <v>27</v>
      </c>
      <c r="E925" s="11">
        <v>45247</v>
      </c>
      <c r="F925" s="9">
        <v>35</v>
      </c>
      <c r="G925" s="9">
        <v>2.8</v>
      </c>
      <c r="H925" s="9">
        <f>IF(MONTH(Call_Table_Data[[#This Row],[Date of Call]])&lt;=3,YEAR(Call_Table_Data[[#This Row],[Date of Call]]),YEAR(Call_Table_Data[[#This Row],[Date of Call]])+1)</f>
        <v>2024</v>
      </c>
      <c r="I925" s="9" t="str">
        <f>TEXT(Call_Table_Data[[#This Row],[Date of Call]],"DDDD")</f>
        <v>Friday</v>
      </c>
      <c r="J925" s="9" t="str" cm="1">
        <f t="array" ref="J925">_xlfn.IFS(Call_Table_Data[[#This Row],[Duration]]&lt;=10,"Under 10 Mins",Call_Table_Data[[#This Row],[Duration]]&lt;=30,"10 to 30 Mins",Call_Table_Data[[#This Row],[Duration]]&lt;=60,"30 to 60 Mins",Call_Table_Data[[#This Row],[Duration]]&lt;=120,"1 to 2 Hours",TRUE,"More Than 2 Hours")</f>
        <v>30 to 60 Mins</v>
      </c>
      <c r="K925" s="9">
        <f>ROUND(Call_Table_Data[[#This Row],[Satisfaction Rating]],0)</f>
        <v>3</v>
      </c>
    </row>
    <row r="926" spans="1:11" x14ac:dyDescent="0.3">
      <c r="A926" s="9" t="s">
        <v>963</v>
      </c>
      <c r="B926" s="9" t="s">
        <v>50</v>
      </c>
      <c r="C926" s="9">
        <v>54</v>
      </c>
      <c r="D926" s="10" t="s">
        <v>17</v>
      </c>
      <c r="E926" s="11">
        <v>45247</v>
      </c>
      <c r="F926" s="9">
        <v>145</v>
      </c>
      <c r="G926" s="9">
        <v>2.7</v>
      </c>
      <c r="H926" s="9">
        <f>IF(MONTH(Call_Table_Data[[#This Row],[Date of Call]])&lt;=3,YEAR(Call_Table_Data[[#This Row],[Date of Call]]),YEAR(Call_Table_Data[[#This Row],[Date of Call]])+1)</f>
        <v>2024</v>
      </c>
      <c r="I926" s="9" t="str">
        <f>TEXT(Call_Table_Data[[#This Row],[Date of Call]],"DDDD")</f>
        <v>Friday</v>
      </c>
      <c r="J926" s="9" t="str" cm="1">
        <f t="array" ref="J926">_xlfn.IFS(Call_Table_Data[[#This Row],[Duration]]&lt;=10,"Under 10 Mins",Call_Table_Data[[#This Row],[Duration]]&lt;=30,"10 to 30 Mins",Call_Table_Data[[#This Row],[Duration]]&lt;=60,"30 to 60 Mins",Call_Table_Data[[#This Row],[Duration]]&lt;=120,"1 to 2 Hours",TRUE,"More Than 2 Hours")</f>
        <v>30 to 60 Mins</v>
      </c>
      <c r="K926" s="9">
        <f>ROUND(Call_Table_Data[[#This Row],[Satisfaction Rating]],0)</f>
        <v>3</v>
      </c>
    </row>
    <row r="927" spans="1:11" x14ac:dyDescent="0.3">
      <c r="A927" s="9" t="s">
        <v>964</v>
      </c>
      <c r="B927" s="9" t="s">
        <v>45</v>
      </c>
      <c r="C927" s="9">
        <v>71</v>
      </c>
      <c r="D927" s="10" t="s">
        <v>46</v>
      </c>
      <c r="E927" s="11">
        <v>45247</v>
      </c>
      <c r="F927" s="9">
        <v>64</v>
      </c>
      <c r="G927" s="9">
        <v>3.9</v>
      </c>
      <c r="H927" s="9">
        <f>IF(MONTH(Call_Table_Data[[#This Row],[Date of Call]])&lt;=3,YEAR(Call_Table_Data[[#This Row],[Date of Call]]),YEAR(Call_Table_Data[[#This Row],[Date of Call]])+1)</f>
        <v>2024</v>
      </c>
      <c r="I927" s="9" t="str">
        <f>TEXT(Call_Table_Data[[#This Row],[Date of Call]],"DDDD")</f>
        <v>Friday</v>
      </c>
      <c r="J927" s="9" t="str" cm="1">
        <f t="array" ref="J927">_xlfn.IFS(Call_Table_Data[[#This Row],[Duration]]&lt;=10,"Under 10 Mins",Call_Table_Data[[#This Row],[Duration]]&lt;=30,"10 to 30 Mins",Call_Table_Data[[#This Row],[Duration]]&lt;=60,"30 to 60 Mins",Call_Table_Data[[#This Row],[Duration]]&lt;=120,"1 to 2 Hours",TRUE,"More Than 2 Hours")</f>
        <v>1 to 2 Hours</v>
      </c>
      <c r="K927" s="9">
        <f>ROUND(Call_Table_Data[[#This Row],[Satisfaction Rating]],0)</f>
        <v>4</v>
      </c>
    </row>
    <row r="928" spans="1:11" x14ac:dyDescent="0.3">
      <c r="A928" s="9" t="s">
        <v>965</v>
      </c>
      <c r="B928" s="9" t="s">
        <v>50</v>
      </c>
      <c r="C928" s="9">
        <v>93</v>
      </c>
      <c r="D928" s="10" t="s">
        <v>17</v>
      </c>
      <c r="E928" s="11">
        <v>45248</v>
      </c>
      <c r="F928" s="9">
        <v>185</v>
      </c>
      <c r="G928" s="9">
        <v>4.3</v>
      </c>
      <c r="H928" s="9">
        <f>IF(MONTH(Call_Table_Data[[#This Row],[Date of Call]])&lt;=3,YEAR(Call_Table_Data[[#This Row],[Date of Call]]),YEAR(Call_Table_Data[[#This Row],[Date of Call]])+1)</f>
        <v>2024</v>
      </c>
      <c r="I928" s="9" t="str">
        <f>TEXT(Call_Table_Data[[#This Row],[Date of Call]],"DDDD")</f>
        <v>Saturday</v>
      </c>
      <c r="J928" s="9" t="str" cm="1">
        <f t="array" ref="J928">_xlfn.IFS(Call_Table_Data[[#This Row],[Duration]]&lt;=10,"Under 10 Mins",Call_Table_Data[[#This Row],[Duration]]&lt;=30,"10 to 30 Mins",Call_Table_Data[[#This Row],[Duration]]&lt;=60,"30 to 60 Mins",Call_Table_Data[[#This Row],[Duration]]&lt;=120,"1 to 2 Hours",TRUE,"More Than 2 Hours")</f>
        <v>1 to 2 Hours</v>
      </c>
      <c r="K928" s="9">
        <f>ROUND(Call_Table_Data[[#This Row],[Satisfaction Rating]],0)</f>
        <v>4</v>
      </c>
    </row>
    <row r="929" spans="1:11" x14ac:dyDescent="0.3">
      <c r="A929" s="9" t="s">
        <v>966</v>
      </c>
      <c r="B929" s="9" t="s">
        <v>30</v>
      </c>
      <c r="C929" s="9">
        <v>96</v>
      </c>
      <c r="D929" s="10" t="s">
        <v>27</v>
      </c>
      <c r="E929" s="11">
        <v>45248</v>
      </c>
      <c r="F929" s="9">
        <v>215</v>
      </c>
      <c r="G929" s="9">
        <v>2.5</v>
      </c>
      <c r="H929" s="9">
        <f>IF(MONTH(Call_Table_Data[[#This Row],[Date of Call]])&lt;=3,YEAR(Call_Table_Data[[#This Row],[Date of Call]]),YEAR(Call_Table_Data[[#This Row],[Date of Call]])+1)</f>
        <v>2024</v>
      </c>
      <c r="I929" s="9" t="str">
        <f>TEXT(Call_Table_Data[[#This Row],[Date of Call]],"DDDD")</f>
        <v>Saturday</v>
      </c>
      <c r="J929" s="9" t="str" cm="1">
        <f t="array" ref="J929">_xlfn.IFS(Call_Table_Data[[#This Row],[Duration]]&lt;=10,"Under 10 Mins",Call_Table_Data[[#This Row],[Duration]]&lt;=30,"10 to 30 Mins",Call_Table_Data[[#This Row],[Duration]]&lt;=60,"30 to 60 Mins",Call_Table_Data[[#This Row],[Duration]]&lt;=120,"1 to 2 Hours",TRUE,"More Than 2 Hours")</f>
        <v>1 to 2 Hours</v>
      </c>
      <c r="K929" s="9">
        <f>ROUND(Call_Table_Data[[#This Row],[Satisfaction Rating]],0)</f>
        <v>3</v>
      </c>
    </row>
    <row r="930" spans="1:11" x14ac:dyDescent="0.3">
      <c r="A930" s="9" t="s">
        <v>967</v>
      </c>
      <c r="B930" s="9" t="s">
        <v>23</v>
      </c>
      <c r="C930" s="9">
        <v>31</v>
      </c>
      <c r="D930" s="10" t="s">
        <v>33</v>
      </c>
      <c r="E930" s="11">
        <v>45248</v>
      </c>
      <c r="F930" s="9">
        <v>88</v>
      </c>
      <c r="G930" s="9">
        <v>3.4</v>
      </c>
      <c r="H930" s="9">
        <f>IF(MONTH(Call_Table_Data[[#This Row],[Date of Call]])&lt;=3,YEAR(Call_Table_Data[[#This Row],[Date of Call]]),YEAR(Call_Table_Data[[#This Row],[Date of Call]])+1)</f>
        <v>2024</v>
      </c>
      <c r="I930" s="9" t="str">
        <f>TEXT(Call_Table_Data[[#This Row],[Date of Call]],"DDDD")</f>
        <v>Saturday</v>
      </c>
      <c r="J930" s="9" t="str" cm="1">
        <f t="array" ref="J930">_xlfn.IFS(Call_Table_Data[[#This Row],[Duration]]&lt;=10,"Under 10 Mins",Call_Table_Data[[#This Row],[Duration]]&lt;=30,"10 to 30 Mins",Call_Table_Data[[#This Row],[Duration]]&lt;=60,"30 to 60 Mins",Call_Table_Data[[#This Row],[Duration]]&lt;=120,"1 to 2 Hours",TRUE,"More Than 2 Hours")</f>
        <v>30 to 60 Mins</v>
      </c>
      <c r="K930" s="9">
        <f>ROUND(Call_Table_Data[[#This Row],[Satisfaction Rating]],0)</f>
        <v>3</v>
      </c>
    </row>
    <row r="931" spans="1:11" x14ac:dyDescent="0.3">
      <c r="A931" s="9" t="s">
        <v>968</v>
      </c>
      <c r="B931" s="9" t="s">
        <v>50</v>
      </c>
      <c r="C931" s="9">
        <v>107</v>
      </c>
      <c r="D931" s="10" t="s">
        <v>46</v>
      </c>
      <c r="E931" s="11">
        <v>45248</v>
      </c>
      <c r="F931" s="9">
        <v>23</v>
      </c>
      <c r="G931" s="9">
        <v>3.4</v>
      </c>
      <c r="H931" s="9">
        <f>IF(MONTH(Call_Table_Data[[#This Row],[Date of Call]])&lt;=3,YEAR(Call_Table_Data[[#This Row],[Date of Call]]),YEAR(Call_Table_Data[[#This Row],[Date of Call]])+1)</f>
        <v>2024</v>
      </c>
      <c r="I931" s="9" t="str">
        <f>TEXT(Call_Table_Data[[#This Row],[Date of Call]],"DDDD")</f>
        <v>Saturday</v>
      </c>
      <c r="J931" s="9" t="str" cm="1">
        <f t="array" ref="J931">_xlfn.IFS(Call_Table_Data[[#This Row],[Duration]]&lt;=10,"Under 10 Mins",Call_Table_Data[[#This Row],[Duration]]&lt;=30,"10 to 30 Mins",Call_Table_Data[[#This Row],[Duration]]&lt;=60,"30 to 60 Mins",Call_Table_Data[[#This Row],[Duration]]&lt;=120,"1 to 2 Hours",TRUE,"More Than 2 Hours")</f>
        <v>1 to 2 Hours</v>
      </c>
      <c r="K931" s="9">
        <f>ROUND(Call_Table_Data[[#This Row],[Satisfaction Rating]],0)</f>
        <v>3</v>
      </c>
    </row>
    <row r="932" spans="1:11" x14ac:dyDescent="0.3">
      <c r="A932" s="9" t="s">
        <v>969</v>
      </c>
      <c r="B932" s="9" t="s">
        <v>26</v>
      </c>
      <c r="C932" s="9">
        <v>50</v>
      </c>
      <c r="D932" s="10" t="s">
        <v>33</v>
      </c>
      <c r="E932" s="11">
        <v>45249</v>
      </c>
      <c r="F932" s="9">
        <v>180</v>
      </c>
      <c r="G932" s="9">
        <v>1.8</v>
      </c>
      <c r="H932" s="9">
        <f>IF(MONTH(Call_Table_Data[[#This Row],[Date of Call]])&lt;=3,YEAR(Call_Table_Data[[#This Row],[Date of Call]]),YEAR(Call_Table_Data[[#This Row],[Date of Call]])+1)</f>
        <v>2024</v>
      </c>
      <c r="I932" s="9" t="str">
        <f>TEXT(Call_Table_Data[[#This Row],[Date of Call]],"DDDD")</f>
        <v>Sunday</v>
      </c>
      <c r="J932" s="9" t="str" cm="1">
        <f t="array" ref="J932">_xlfn.IFS(Call_Table_Data[[#This Row],[Duration]]&lt;=10,"Under 10 Mins",Call_Table_Data[[#This Row],[Duration]]&lt;=30,"10 to 30 Mins",Call_Table_Data[[#This Row],[Duration]]&lt;=60,"30 to 60 Mins",Call_Table_Data[[#This Row],[Duration]]&lt;=120,"1 to 2 Hours",TRUE,"More Than 2 Hours")</f>
        <v>30 to 60 Mins</v>
      </c>
      <c r="K932" s="9">
        <f>ROUND(Call_Table_Data[[#This Row],[Satisfaction Rating]],0)</f>
        <v>2</v>
      </c>
    </row>
    <row r="933" spans="1:11" x14ac:dyDescent="0.3">
      <c r="A933" s="9" t="s">
        <v>970</v>
      </c>
      <c r="B933" s="9" t="s">
        <v>18</v>
      </c>
      <c r="C933" s="9">
        <v>69</v>
      </c>
      <c r="D933" s="10" t="s">
        <v>46</v>
      </c>
      <c r="E933" s="11">
        <v>45250</v>
      </c>
      <c r="F933" s="9">
        <v>225</v>
      </c>
      <c r="G933" s="9">
        <v>3.7</v>
      </c>
      <c r="H933" s="9">
        <f>IF(MONTH(Call_Table_Data[[#This Row],[Date of Call]])&lt;=3,YEAR(Call_Table_Data[[#This Row],[Date of Call]]),YEAR(Call_Table_Data[[#This Row],[Date of Call]])+1)</f>
        <v>2024</v>
      </c>
      <c r="I933" s="9" t="str">
        <f>TEXT(Call_Table_Data[[#This Row],[Date of Call]],"DDDD")</f>
        <v>Monday</v>
      </c>
      <c r="J933" s="9" t="str" cm="1">
        <f t="array" ref="J933">_xlfn.IFS(Call_Table_Data[[#This Row],[Duration]]&lt;=10,"Under 10 Mins",Call_Table_Data[[#This Row],[Duration]]&lt;=30,"10 to 30 Mins",Call_Table_Data[[#This Row],[Duration]]&lt;=60,"30 to 60 Mins",Call_Table_Data[[#This Row],[Duration]]&lt;=120,"1 to 2 Hours",TRUE,"More Than 2 Hours")</f>
        <v>1 to 2 Hours</v>
      </c>
      <c r="K933" s="9">
        <f>ROUND(Call_Table_Data[[#This Row],[Satisfaction Rating]],0)</f>
        <v>4</v>
      </c>
    </row>
    <row r="934" spans="1:11" x14ac:dyDescent="0.3">
      <c r="A934" s="9" t="s">
        <v>971</v>
      </c>
      <c r="B934" s="9" t="s">
        <v>32</v>
      </c>
      <c r="C934" s="9">
        <v>26</v>
      </c>
      <c r="D934" s="10" t="s">
        <v>27</v>
      </c>
      <c r="E934" s="11">
        <v>45251</v>
      </c>
      <c r="F934" s="9">
        <v>74</v>
      </c>
      <c r="G934" s="9">
        <v>4.0999999999999996</v>
      </c>
      <c r="H934" s="9">
        <f>IF(MONTH(Call_Table_Data[[#This Row],[Date of Call]])&lt;=3,YEAR(Call_Table_Data[[#This Row],[Date of Call]]),YEAR(Call_Table_Data[[#This Row],[Date of Call]])+1)</f>
        <v>2024</v>
      </c>
      <c r="I934" s="9" t="str">
        <f>TEXT(Call_Table_Data[[#This Row],[Date of Call]],"DDDD")</f>
        <v>Tuesday</v>
      </c>
      <c r="J934" s="9" t="str" cm="1">
        <f t="array" ref="J934">_xlfn.IFS(Call_Table_Data[[#This Row],[Duration]]&lt;=10,"Under 10 Mins",Call_Table_Data[[#This Row],[Duration]]&lt;=30,"10 to 30 Mins",Call_Table_Data[[#This Row],[Duration]]&lt;=60,"30 to 60 Mins",Call_Table_Data[[#This Row],[Duration]]&lt;=120,"1 to 2 Hours",TRUE,"More Than 2 Hours")</f>
        <v>10 to 30 Mins</v>
      </c>
      <c r="K934" s="9">
        <f>ROUND(Call_Table_Data[[#This Row],[Satisfaction Rating]],0)</f>
        <v>4</v>
      </c>
    </row>
    <row r="935" spans="1:11" x14ac:dyDescent="0.3">
      <c r="A935" s="9" t="s">
        <v>972</v>
      </c>
      <c r="B935" s="9" t="s">
        <v>30</v>
      </c>
      <c r="C935" s="9">
        <v>158</v>
      </c>
      <c r="D935" s="10" t="s">
        <v>46</v>
      </c>
      <c r="E935" s="11">
        <v>45251</v>
      </c>
      <c r="F935" s="9">
        <v>36</v>
      </c>
      <c r="G935" s="9">
        <v>3</v>
      </c>
      <c r="H935" s="9">
        <f>IF(MONTH(Call_Table_Data[[#This Row],[Date of Call]])&lt;=3,YEAR(Call_Table_Data[[#This Row],[Date of Call]]),YEAR(Call_Table_Data[[#This Row],[Date of Call]])+1)</f>
        <v>2024</v>
      </c>
      <c r="I935" s="9" t="str">
        <f>TEXT(Call_Table_Data[[#This Row],[Date of Call]],"DDDD")</f>
        <v>Tuesday</v>
      </c>
      <c r="J935" s="9" t="str" cm="1">
        <f t="array" ref="J935">_xlfn.IFS(Call_Table_Data[[#This Row],[Duration]]&lt;=10,"Under 10 Mins",Call_Table_Data[[#This Row],[Duration]]&lt;=30,"10 to 30 Mins",Call_Table_Data[[#This Row],[Duration]]&lt;=60,"30 to 60 Mins",Call_Table_Data[[#This Row],[Duration]]&lt;=120,"1 to 2 Hours",TRUE,"More Than 2 Hours")</f>
        <v>More Than 2 Hours</v>
      </c>
      <c r="K935" s="9">
        <f>ROUND(Call_Table_Data[[#This Row],[Satisfaction Rating]],0)</f>
        <v>3</v>
      </c>
    </row>
    <row r="936" spans="1:11" x14ac:dyDescent="0.3">
      <c r="A936" s="9" t="s">
        <v>973</v>
      </c>
      <c r="B936" s="9" t="s">
        <v>37</v>
      </c>
      <c r="C936" s="9">
        <v>99</v>
      </c>
      <c r="D936" s="10" t="s">
        <v>46</v>
      </c>
      <c r="E936" s="11">
        <v>45253</v>
      </c>
      <c r="F936" s="9">
        <v>116</v>
      </c>
      <c r="G936" s="9">
        <v>3.9</v>
      </c>
      <c r="H936" s="9">
        <f>IF(MONTH(Call_Table_Data[[#This Row],[Date of Call]])&lt;=3,YEAR(Call_Table_Data[[#This Row],[Date of Call]]),YEAR(Call_Table_Data[[#This Row],[Date of Call]])+1)</f>
        <v>2024</v>
      </c>
      <c r="I936" s="9" t="str">
        <f>TEXT(Call_Table_Data[[#This Row],[Date of Call]],"DDDD")</f>
        <v>Thursday</v>
      </c>
      <c r="J936" s="9" t="str" cm="1">
        <f t="array" ref="J936">_xlfn.IFS(Call_Table_Data[[#This Row],[Duration]]&lt;=10,"Under 10 Mins",Call_Table_Data[[#This Row],[Duration]]&lt;=30,"10 to 30 Mins",Call_Table_Data[[#This Row],[Duration]]&lt;=60,"30 to 60 Mins",Call_Table_Data[[#This Row],[Duration]]&lt;=120,"1 to 2 Hours",TRUE,"More Than 2 Hours")</f>
        <v>1 to 2 Hours</v>
      </c>
      <c r="K936" s="9">
        <f>ROUND(Call_Table_Data[[#This Row],[Satisfaction Rating]],0)</f>
        <v>4</v>
      </c>
    </row>
    <row r="937" spans="1:11" x14ac:dyDescent="0.3">
      <c r="A937" s="9" t="s">
        <v>974</v>
      </c>
      <c r="B937" s="9" t="s">
        <v>30</v>
      </c>
      <c r="C937" s="9">
        <v>78</v>
      </c>
      <c r="D937" s="10" t="s">
        <v>33</v>
      </c>
      <c r="E937" s="11">
        <v>45253</v>
      </c>
      <c r="F937" s="9">
        <v>140</v>
      </c>
      <c r="G937" s="9">
        <v>4</v>
      </c>
      <c r="H937" s="9">
        <f>IF(MONTH(Call_Table_Data[[#This Row],[Date of Call]])&lt;=3,YEAR(Call_Table_Data[[#This Row],[Date of Call]]),YEAR(Call_Table_Data[[#This Row],[Date of Call]])+1)</f>
        <v>2024</v>
      </c>
      <c r="I937" s="9" t="str">
        <f>TEXT(Call_Table_Data[[#This Row],[Date of Call]],"DDDD")</f>
        <v>Thursday</v>
      </c>
      <c r="J937" s="9" t="str" cm="1">
        <f t="array" ref="J937">_xlfn.IFS(Call_Table_Data[[#This Row],[Duration]]&lt;=10,"Under 10 Mins",Call_Table_Data[[#This Row],[Duration]]&lt;=30,"10 to 30 Mins",Call_Table_Data[[#This Row],[Duration]]&lt;=60,"30 to 60 Mins",Call_Table_Data[[#This Row],[Duration]]&lt;=120,"1 to 2 Hours",TRUE,"More Than 2 Hours")</f>
        <v>1 to 2 Hours</v>
      </c>
      <c r="K937" s="9">
        <f>ROUND(Call_Table_Data[[#This Row],[Satisfaction Rating]],0)</f>
        <v>4</v>
      </c>
    </row>
    <row r="938" spans="1:11" x14ac:dyDescent="0.3">
      <c r="A938" s="9" t="s">
        <v>975</v>
      </c>
      <c r="B938" s="9" t="s">
        <v>30</v>
      </c>
      <c r="C938" s="9">
        <v>102</v>
      </c>
      <c r="D938" s="10" t="s">
        <v>27</v>
      </c>
      <c r="E938" s="11">
        <v>45254</v>
      </c>
      <c r="F938" s="9">
        <v>104</v>
      </c>
      <c r="G938" s="9">
        <v>4.5</v>
      </c>
      <c r="H938" s="9">
        <f>IF(MONTH(Call_Table_Data[[#This Row],[Date of Call]])&lt;=3,YEAR(Call_Table_Data[[#This Row],[Date of Call]]),YEAR(Call_Table_Data[[#This Row],[Date of Call]])+1)</f>
        <v>2024</v>
      </c>
      <c r="I938" s="9" t="str">
        <f>TEXT(Call_Table_Data[[#This Row],[Date of Call]],"DDDD")</f>
        <v>Friday</v>
      </c>
      <c r="J938" s="9" t="str" cm="1">
        <f t="array" ref="J938">_xlfn.IFS(Call_Table_Data[[#This Row],[Duration]]&lt;=10,"Under 10 Mins",Call_Table_Data[[#This Row],[Duration]]&lt;=30,"10 to 30 Mins",Call_Table_Data[[#This Row],[Duration]]&lt;=60,"30 to 60 Mins",Call_Table_Data[[#This Row],[Duration]]&lt;=120,"1 to 2 Hours",TRUE,"More Than 2 Hours")</f>
        <v>1 to 2 Hours</v>
      </c>
      <c r="K938" s="9">
        <f>ROUND(Call_Table_Data[[#This Row],[Satisfaction Rating]],0)</f>
        <v>5</v>
      </c>
    </row>
    <row r="939" spans="1:11" x14ac:dyDescent="0.3">
      <c r="A939" s="9" t="s">
        <v>976</v>
      </c>
      <c r="B939" s="9" t="s">
        <v>37</v>
      </c>
      <c r="C939" s="9">
        <v>158</v>
      </c>
      <c r="D939" s="10" t="s">
        <v>40</v>
      </c>
      <c r="E939" s="11">
        <v>45254</v>
      </c>
      <c r="F939" s="9">
        <v>148</v>
      </c>
      <c r="G939" s="9">
        <v>4</v>
      </c>
      <c r="H939" s="9">
        <f>IF(MONTH(Call_Table_Data[[#This Row],[Date of Call]])&lt;=3,YEAR(Call_Table_Data[[#This Row],[Date of Call]]),YEAR(Call_Table_Data[[#This Row],[Date of Call]])+1)</f>
        <v>2024</v>
      </c>
      <c r="I939" s="9" t="str">
        <f>TEXT(Call_Table_Data[[#This Row],[Date of Call]],"DDDD")</f>
        <v>Friday</v>
      </c>
      <c r="J939" s="9" t="str" cm="1">
        <f t="array" ref="J939">_xlfn.IFS(Call_Table_Data[[#This Row],[Duration]]&lt;=10,"Under 10 Mins",Call_Table_Data[[#This Row],[Duration]]&lt;=30,"10 to 30 Mins",Call_Table_Data[[#This Row],[Duration]]&lt;=60,"30 to 60 Mins",Call_Table_Data[[#This Row],[Duration]]&lt;=120,"1 to 2 Hours",TRUE,"More Than 2 Hours")</f>
        <v>More Than 2 Hours</v>
      </c>
      <c r="K939" s="9">
        <f>ROUND(Call_Table_Data[[#This Row],[Satisfaction Rating]],0)</f>
        <v>4</v>
      </c>
    </row>
    <row r="940" spans="1:11" x14ac:dyDescent="0.3">
      <c r="A940" s="9" t="s">
        <v>977</v>
      </c>
      <c r="B940" s="9" t="s">
        <v>23</v>
      </c>
      <c r="C940" s="9">
        <v>56</v>
      </c>
      <c r="D940" s="10" t="s">
        <v>46</v>
      </c>
      <c r="E940" s="11">
        <v>45254</v>
      </c>
      <c r="F940" s="9">
        <v>205</v>
      </c>
      <c r="G940" s="9">
        <v>4.3</v>
      </c>
      <c r="H940" s="9">
        <f>IF(MONTH(Call_Table_Data[[#This Row],[Date of Call]])&lt;=3,YEAR(Call_Table_Data[[#This Row],[Date of Call]]),YEAR(Call_Table_Data[[#This Row],[Date of Call]])+1)</f>
        <v>2024</v>
      </c>
      <c r="I940" s="9" t="str">
        <f>TEXT(Call_Table_Data[[#This Row],[Date of Call]],"DDDD")</f>
        <v>Friday</v>
      </c>
      <c r="J940" s="9" t="str" cm="1">
        <f t="array" ref="J940">_xlfn.IFS(Call_Table_Data[[#This Row],[Duration]]&lt;=10,"Under 10 Mins",Call_Table_Data[[#This Row],[Duration]]&lt;=30,"10 to 30 Mins",Call_Table_Data[[#This Row],[Duration]]&lt;=60,"30 to 60 Mins",Call_Table_Data[[#This Row],[Duration]]&lt;=120,"1 to 2 Hours",TRUE,"More Than 2 Hours")</f>
        <v>30 to 60 Mins</v>
      </c>
      <c r="K940" s="9">
        <f>ROUND(Call_Table_Data[[#This Row],[Satisfaction Rating]],0)</f>
        <v>4</v>
      </c>
    </row>
    <row r="941" spans="1:11" x14ac:dyDescent="0.3">
      <c r="A941" s="9" t="s">
        <v>978</v>
      </c>
      <c r="B941" s="9" t="s">
        <v>22</v>
      </c>
      <c r="C941" s="9">
        <v>17</v>
      </c>
      <c r="D941" s="10" t="s">
        <v>17</v>
      </c>
      <c r="E941" s="11">
        <v>45254</v>
      </c>
      <c r="F941" s="9">
        <v>210</v>
      </c>
      <c r="G941" s="9">
        <v>4.8</v>
      </c>
      <c r="H941" s="9">
        <f>IF(MONTH(Call_Table_Data[[#This Row],[Date of Call]])&lt;=3,YEAR(Call_Table_Data[[#This Row],[Date of Call]]),YEAR(Call_Table_Data[[#This Row],[Date of Call]])+1)</f>
        <v>2024</v>
      </c>
      <c r="I941" s="9" t="str">
        <f>TEXT(Call_Table_Data[[#This Row],[Date of Call]],"DDDD")</f>
        <v>Friday</v>
      </c>
      <c r="J941" s="9" t="str" cm="1">
        <f t="array" ref="J941">_xlfn.IFS(Call_Table_Data[[#This Row],[Duration]]&lt;=10,"Under 10 Mins",Call_Table_Data[[#This Row],[Duration]]&lt;=30,"10 to 30 Mins",Call_Table_Data[[#This Row],[Duration]]&lt;=60,"30 to 60 Mins",Call_Table_Data[[#This Row],[Duration]]&lt;=120,"1 to 2 Hours",TRUE,"More Than 2 Hours")</f>
        <v>10 to 30 Mins</v>
      </c>
      <c r="K941" s="9">
        <f>ROUND(Call_Table_Data[[#This Row],[Satisfaction Rating]],0)</f>
        <v>5</v>
      </c>
    </row>
    <row r="942" spans="1:11" x14ac:dyDescent="0.3">
      <c r="A942" s="9" t="s">
        <v>979</v>
      </c>
      <c r="B942" s="9" t="s">
        <v>32</v>
      </c>
      <c r="C942" s="9">
        <v>104</v>
      </c>
      <c r="D942" s="10" t="s">
        <v>40</v>
      </c>
      <c r="E942" s="11">
        <v>45256</v>
      </c>
      <c r="F942" s="9">
        <v>41</v>
      </c>
      <c r="G942" s="9">
        <v>4.7</v>
      </c>
      <c r="H942" s="9">
        <f>IF(MONTH(Call_Table_Data[[#This Row],[Date of Call]])&lt;=3,YEAR(Call_Table_Data[[#This Row],[Date of Call]]),YEAR(Call_Table_Data[[#This Row],[Date of Call]])+1)</f>
        <v>2024</v>
      </c>
      <c r="I942" s="9" t="str">
        <f>TEXT(Call_Table_Data[[#This Row],[Date of Call]],"DDDD")</f>
        <v>Sunday</v>
      </c>
      <c r="J942" s="9" t="str" cm="1">
        <f t="array" ref="J942">_xlfn.IFS(Call_Table_Data[[#This Row],[Duration]]&lt;=10,"Under 10 Mins",Call_Table_Data[[#This Row],[Duration]]&lt;=30,"10 to 30 Mins",Call_Table_Data[[#This Row],[Duration]]&lt;=60,"30 to 60 Mins",Call_Table_Data[[#This Row],[Duration]]&lt;=120,"1 to 2 Hours",TRUE,"More Than 2 Hours")</f>
        <v>1 to 2 Hours</v>
      </c>
      <c r="K942" s="9">
        <f>ROUND(Call_Table_Data[[#This Row],[Satisfaction Rating]],0)</f>
        <v>5</v>
      </c>
    </row>
    <row r="943" spans="1:11" x14ac:dyDescent="0.3">
      <c r="A943" s="9" t="s">
        <v>980</v>
      </c>
      <c r="B943" s="9" t="s">
        <v>54</v>
      </c>
      <c r="C943" s="9">
        <v>96</v>
      </c>
      <c r="D943" s="10" t="s">
        <v>33</v>
      </c>
      <c r="E943" s="11">
        <v>45256</v>
      </c>
      <c r="F943" s="9">
        <v>136</v>
      </c>
      <c r="G943" s="9">
        <v>5</v>
      </c>
      <c r="H943" s="9">
        <f>IF(MONTH(Call_Table_Data[[#This Row],[Date of Call]])&lt;=3,YEAR(Call_Table_Data[[#This Row],[Date of Call]]),YEAR(Call_Table_Data[[#This Row],[Date of Call]])+1)</f>
        <v>2024</v>
      </c>
      <c r="I943" s="9" t="str">
        <f>TEXT(Call_Table_Data[[#This Row],[Date of Call]],"DDDD")</f>
        <v>Sunday</v>
      </c>
      <c r="J943" s="9" t="str" cm="1">
        <f t="array" ref="J943">_xlfn.IFS(Call_Table_Data[[#This Row],[Duration]]&lt;=10,"Under 10 Mins",Call_Table_Data[[#This Row],[Duration]]&lt;=30,"10 to 30 Mins",Call_Table_Data[[#This Row],[Duration]]&lt;=60,"30 to 60 Mins",Call_Table_Data[[#This Row],[Duration]]&lt;=120,"1 to 2 Hours",TRUE,"More Than 2 Hours")</f>
        <v>1 to 2 Hours</v>
      </c>
      <c r="K943" s="9">
        <f>ROUND(Call_Table_Data[[#This Row],[Satisfaction Rating]],0)</f>
        <v>5</v>
      </c>
    </row>
    <row r="944" spans="1:11" x14ac:dyDescent="0.3">
      <c r="A944" s="9" t="s">
        <v>981</v>
      </c>
      <c r="B944" s="9" t="s">
        <v>43</v>
      </c>
      <c r="C944" s="9">
        <v>83</v>
      </c>
      <c r="D944" s="10" t="s">
        <v>27</v>
      </c>
      <c r="E944" s="11">
        <v>45257</v>
      </c>
      <c r="F944" s="9">
        <v>126</v>
      </c>
      <c r="G944" s="9">
        <v>1.5</v>
      </c>
      <c r="H944" s="9">
        <f>IF(MONTH(Call_Table_Data[[#This Row],[Date of Call]])&lt;=3,YEAR(Call_Table_Data[[#This Row],[Date of Call]]),YEAR(Call_Table_Data[[#This Row],[Date of Call]])+1)</f>
        <v>2024</v>
      </c>
      <c r="I944" s="9" t="str">
        <f>TEXT(Call_Table_Data[[#This Row],[Date of Call]],"DDDD")</f>
        <v>Monday</v>
      </c>
      <c r="J944" s="9" t="str" cm="1">
        <f t="array" ref="J944">_xlfn.IFS(Call_Table_Data[[#This Row],[Duration]]&lt;=10,"Under 10 Mins",Call_Table_Data[[#This Row],[Duration]]&lt;=30,"10 to 30 Mins",Call_Table_Data[[#This Row],[Duration]]&lt;=60,"30 to 60 Mins",Call_Table_Data[[#This Row],[Duration]]&lt;=120,"1 to 2 Hours",TRUE,"More Than 2 Hours")</f>
        <v>1 to 2 Hours</v>
      </c>
      <c r="K944" s="9">
        <f>ROUND(Call_Table_Data[[#This Row],[Satisfaction Rating]],0)</f>
        <v>2</v>
      </c>
    </row>
    <row r="945" spans="1:11" x14ac:dyDescent="0.3">
      <c r="A945" s="9" t="s">
        <v>982</v>
      </c>
      <c r="B945" s="9" t="s">
        <v>26</v>
      </c>
      <c r="C945" s="9">
        <v>80</v>
      </c>
      <c r="D945" s="10" t="s">
        <v>17</v>
      </c>
      <c r="E945" s="11">
        <v>45258</v>
      </c>
      <c r="F945" s="9">
        <v>148</v>
      </c>
      <c r="G945" s="9">
        <v>4.0999999999999996</v>
      </c>
      <c r="H945" s="9">
        <f>IF(MONTH(Call_Table_Data[[#This Row],[Date of Call]])&lt;=3,YEAR(Call_Table_Data[[#This Row],[Date of Call]]),YEAR(Call_Table_Data[[#This Row],[Date of Call]])+1)</f>
        <v>2024</v>
      </c>
      <c r="I945" s="9" t="str">
        <f>TEXT(Call_Table_Data[[#This Row],[Date of Call]],"DDDD")</f>
        <v>Tuesday</v>
      </c>
      <c r="J945" s="9" t="str" cm="1">
        <f t="array" ref="J945">_xlfn.IFS(Call_Table_Data[[#This Row],[Duration]]&lt;=10,"Under 10 Mins",Call_Table_Data[[#This Row],[Duration]]&lt;=30,"10 to 30 Mins",Call_Table_Data[[#This Row],[Duration]]&lt;=60,"30 to 60 Mins",Call_Table_Data[[#This Row],[Duration]]&lt;=120,"1 to 2 Hours",TRUE,"More Than 2 Hours")</f>
        <v>1 to 2 Hours</v>
      </c>
      <c r="K945" s="9">
        <f>ROUND(Call_Table_Data[[#This Row],[Satisfaction Rating]],0)</f>
        <v>4</v>
      </c>
    </row>
    <row r="946" spans="1:11" x14ac:dyDescent="0.3">
      <c r="A946" s="9" t="s">
        <v>983</v>
      </c>
      <c r="B946" s="9" t="s">
        <v>43</v>
      </c>
      <c r="C946" s="9">
        <v>152</v>
      </c>
      <c r="D946" s="10" t="s">
        <v>27</v>
      </c>
      <c r="E946" s="11">
        <v>45258</v>
      </c>
      <c r="F946" s="9">
        <v>125</v>
      </c>
      <c r="G946" s="9">
        <v>3.9</v>
      </c>
      <c r="H946" s="9">
        <f>IF(MONTH(Call_Table_Data[[#This Row],[Date of Call]])&lt;=3,YEAR(Call_Table_Data[[#This Row],[Date of Call]]),YEAR(Call_Table_Data[[#This Row],[Date of Call]])+1)</f>
        <v>2024</v>
      </c>
      <c r="I946" s="9" t="str">
        <f>TEXT(Call_Table_Data[[#This Row],[Date of Call]],"DDDD")</f>
        <v>Tuesday</v>
      </c>
      <c r="J946" s="9" t="str" cm="1">
        <f t="array" ref="J946">_xlfn.IFS(Call_Table_Data[[#This Row],[Duration]]&lt;=10,"Under 10 Mins",Call_Table_Data[[#This Row],[Duration]]&lt;=30,"10 to 30 Mins",Call_Table_Data[[#This Row],[Duration]]&lt;=60,"30 to 60 Mins",Call_Table_Data[[#This Row],[Duration]]&lt;=120,"1 to 2 Hours",TRUE,"More Than 2 Hours")</f>
        <v>More Than 2 Hours</v>
      </c>
      <c r="K946" s="9">
        <f>ROUND(Call_Table_Data[[#This Row],[Satisfaction Rating]],0)</f>
        <v>4</v>
      </c>
    </row>
    <row r="947" spans="1:11" x14ac:dyDescent="0.3">
      <c r="A947" s="9" t="s">
        <v>984</v>
      </c>
      <c r="B947" s="9" t="s">
        <v>45</v>
      </c>
      <c r="C947" s="9">
        <v>34</v>
      </c>
      <c r="D947" s="10" t="s">
        <v>33</v>
      </c>
      <c r="E947" s="11">
        <v>45258</v>
      </c>
      <c r="F947" s="9">
        <v>25</v>
      </c>
      <c r="G947" s="9">
        <v>4.0999999999999996</v>
      </c>
      <c r="H947" s="9">
        <f>IF(MONTH(Call_Table_Data[[#This Row],[Date of Call]])&lt;=3,YEAR(Call_Table_Data[[#This Row],[Date of Call]]),YEAR(Call_Table_Data[[#This Row],[Date of Call]])+1)</f>
        <v>2024</v>
      </c>
      <c r="I947" s="9" t="str">
        <f>TEXT(Call_Table_Data[[#This Row],[Date of Call]],"DDDD")</f>
        <v>Tuesday</v>
      </c>
      <c r="J947" s="9" t="str" cm="1">
        <f t="array" ref="J947">_xlfn.IFS(Call_Table_Data[[#This Row],[Duration]]&lt;=10,"Under 10 Mins",Call_Table_Data[[#This Row],[Duration]]&lt;=30,"10 to 30 Mins",Call_Table_Data[[#This Row],[Duration]]&lt;=60,"30 to 60 Mins",Call_Table_Data[[#This Row],[Duration]]&lt;=120,"1 to 2 Hours",TRUE,"More Than 2 Hours")</f>
        <v>30 to 60 Mins</v>
      </c>
      <c r="K947" s="9">
        <f>ROUND(Call_Table_Data[[#This Row],[Satisfaction Rating]],0)</f>
        <v>4</v>
      </c>
    </row>
    <row r="948" spans="1:11" x14ac:dyDescent="0.3">
      <c r="A948" s="9" t="s">
        <v>985</v>
      </c>
      <c r="B948" s="9" t="s">
        <v>49</v>
      </c>
      <c r="C948" s="9">
        <v>2</v>
      </c>
      <c r="D948" s="10" t="s">
        <v>46</v>
      </c>
      <c r="E948" s="11">
        <v>45259</v>
      </c>
      <c r="F948" s="9">
        <v>62</v>
      </c>
      <c r="G948" s="9">
        <v>2.8</v>
      </c>
      <c r="H948" s="9">
        <f>IF(MONTH(Call_Table_Data[[#This Row],[Date of Call]])&lt;=3,YEAR(Call_Table_Data[[#This Row],[Date of Call]]),YEAR(Call_Table_Data[[#This Row],[Date of Call]])+1)</f>
        <v>2024</v>
      </c>
      <c r="I948" s="9" t="str">
        <f>TEXT(Call_Table_Data[[#This Row],[Date of Call]],"DDDD")</f>
        <v>Wednesday</v>
      </c>
      <c r="J948" s="9" t="str" cm="1">
        <f t="array" ref="J948">_xlfn.IFS(Call_Table_Data[[#This Row],[Duration]]&lt;=10,"Under 10 Mins",Call_Table_Data[[#This Row],[Duration]]&lt;=30,"10 to 30 Mins",Call_Table_Data[[#This Row],[Duration]]&lt;=60,"30 to 60 Mins",Call_Table_Data[[#This Row],[Duration]]&lt;=120,"1 to 2 Hours",TRUE,"More Than 2 Hours")</f>
        <v>Under 10 Mins</v>
      </c>
      <c r="K948" s="9">
        <f>ROUND(Call_Table_Data[[#This Row],[Satisfaction Rating]],0)</f>
        <v>3</v>
      </c>
    </row>
    <row r="949" spans="1:11" x14ac:dyDescent="0.3">
      <c r="A949" s="9" t="s">
        <v>986</v>
      </c>
      <c r="B949" s="9" t="s">
        <v>26</v>
      </c>
      <c r="C949" s="9">
        <v>140</v>
      </c>
      <c r="D949" s="10" t="s">
        <v>33</v>
      </c>
      <c r="E949" s="11">
        <v>45260</v>
      </c>
      <c r="F949" s="9">
        <v>90</v>
      </c>
      <c r="G949" s="9">
        <v>4.5999999999999996</v>
      </c>
      <c r="H949" s="9">
        <f>IF(MONTH(Call_Table_Data[[#This Row],[Date of Call]])&lt;=3,YEAR(Call_Table_Data[[#This Row],[Date of Call]]),YEAR(Call_Table_Data[[#This Row],[Date of Call]])+1)</f>
        <v>2024</v>
      </c>
      <c r="I949" s="9" t="str">
        <f>TEXT(Call_Table_Data[[#This Row],[Date of Call]],"DDDD")</f>
        <v>Thursday</v>
      </c>
      <c r="J949" s="9" t="str" cm="1">
        <f t="array" ref="J949">_xlfn.IFS(Call_Table_Data[[#This Row],[Duration]]&lt;=10,"Under 10 Mins",Call_Table_Data[[#This Row],[Duration]]&lt;=30,"10 to 30 Mins",Call_Table_Data[[#This Row],[Duration]]&lt;=60,"30 to 60 Mins",Call_Table_Data[[#This Row],[Duration]]&lt;=120,"1 to 2 Hours",TRUE,"More Than 2 Hours")</f>
        <v>More Than 2 Hours</v>
      </c>
      <c r="K949" s="9">
        <f>ROUND(Call_Table_Data[[#This Row],[Satisfaction Rating]],0)</f>
        <v>5</v>
      </c>
    </row>
    <row r="950" spans="1:11" x14ac:dyDescent="0.3">
      <c r="A950" s="9" t="s">
        <v>987</v>
      </c>
      <c r="B950" s="9" t="s">
        <v>22</v>
      </c>
      <c r="C950" s="9">
        <v>126</v>
      </c>
      <c r="D950" s="10" t="s">
        <v>40</v>
      </c>
      <c r="E950" s="11">
        <v>45261</v>
      </c>
      <c r="F950" s="9">
        <v>33</v>
      </c>
      <c r="G950" s="9">
        <v>4.8</v>
      </c>
      <c r="H950" s="9">
        <f>IF(MONTH(Call_Table_Data[[#This Row],[Date of Call]])&lt;=3,YEAR(Call_Table_Data[[#This Row],[Date of Call]]),YEAR(Call_Table_Data[[#This Row],[Date of Call]])+1)</f>
        <v>2024</v>
      </c>
      <c r="I950" s="9" t="str">
        <f>TEXT(Call_Table_Data[[#This Row],[Date of Call]],"DDDD")</f>
        <v>Friday</v>
      </c>
      <c r="J950" s="9" t="str" cm="1">
        <f t="array" ref="J950">_xlfn.IFS(Call_Table_Data[[#This Row],[Duration]]&lt;=10,"Under 10 Mins",Call_Table_Data[[#This Row],[Duration]]&lt;=30,"10 to 30 Mins",Call_Table_Data[[#This Row],[Duration]]&lt;=60,"30 to 60 Mins",Call_Table_Data[[#This Row],[Duration]]&lt;=120,"1 to 2 Hours",TRUE,"More Than 2 Hours")</f>
        <v>More Than 2 Hours</v>
      </c>
      <c r="K950" s="9">
        <f>ROUND(Call_Table_Data[[#This Row],[Satisfaction Rating]],0)</f>
        <v>5</v>
      </c>
    </row>
    <row r="951" spans="1:11" x14ac:dyDescent="0.3">
      <c r="A951" s="9" t="s">
        <v>988</v>
      </c>
      <c r="B951" s="9" t="s">
        <v>30</v>
      </c>
      <c r="C951" s="9">
        <v>79</v>
      </c>
      <c r="D951" s="10" t="s">
        <v>46</v>
      </c>
      <c r="E951" s="11">
        <v>45261</v>
      </c>
      <c r="F951" s="9">
        <v>115</v>
      </c>
      <c r="G951" s="9">
        <v>2.2999999999999998</v>
      </c>
      <c r="H951" s="9">
        <f>IF(MONTH(Call_Table_Data[[#This Row],[Date of Call]])&lt;=3,YEAR(Call_Table_Data[[#This Row],[Date of Call]]),YEAR(Call_Table_Data[[#This Row],[Date of Call]])+1)</f>
        <v>2024</v>
      </c>
      <c r="I951" s="9" t="str">
        <f>TEXT(Call_Table_Data[[#This Row],[Date of Call]],"DDDD")</f>
        <v>Friday</v>
      </c>
      <c r="J951" s="9" t="str" cm="1">
        <f t="array" ref="J951">_xlfn.IFS(Call_Table_Data[[#This Row],[Duration]]&lt;=10,"Under 10 Mins",Call_Table_Data[[#This Row],[Duration]]&lt;=30,"10 to 30 Mins",Call_Table_Data[[#This Row],[Duration]]&lt;=60,"30 to 60 Mins",Call_Table_Data[[#This Row],[Duration]]&lt;=120,"1 to 2 Hours",TRUE,"More Than 2 Hours")</f>
        <v>1 to 2 Hours</v>
      </c>
      <c r="K951" s="9">
        <f>ROUND(Call_Table_Data[[#This Row],[Satisfaction Rating]],0)</f>
        <v>2</v>
      </c>
    </row>
    <row r="952" spans="1:11" x14ac:dyDescent="0.3">
      <c r="A952" s="9" t="s">
        <v>989</v>
      </c>
      <c r="B952" s="9" t="s">
        <v>22</v>
      </c>
      <c r="C952" s="9">
        <v>133</v>
      </c>
      <c r="D952" s="10" t="s">
        <v>40</v>
      </c>
      <c r="E952" s="11">
        <v>45261</v>
      </c>
      <c r="F952" s="9">
        <v>45</v>
      </c>
      <c r="G952" s="9">
        <v>2.6</v>
      </c>
      <c r="H952" s="9">
        <f>IF(MONTH(Call_Table_Data[[#This Row],[Date of Call]])&lt;=3,YEAR(Call_Table_Data[[#This Row],[Date of Call]]),YEAR(Call_Table_Data[[#This Row],[Date of Call]])+1)</f>
        <v>2024</v>
      </c>
      <c r="I952" s="9" t="str">
        <f>TEXT(Call_Table_Data[[#This Row],[Date of Call]],"DDDD")</f>
        <v>Friday</v>
      </c>
      <c r="J952" s="9" t="str" cm="1">
        <f t="array" ref="J952">_xlfn.IFS(Call_Table_Data[[#This Row],[Duration]]&lt;=10,"Under 10 Mins",Call_Table_Data[[#This Row],[Duration]]&lt;=30,"10 to 30 Mins",Call_Table_Data[[#This Row],[Duration]]&lt;=60,"30 to 60 Mins",Call_Table_Data[[#This Row],[Duration]]&lt;=120,"1 to 2 Hours",TRUE,"More Than 2 Hours")</f>
        <v>More Than 2 Hours</v>
      </c>
      <c r="K952" s="9">
        <f>ROUND(Call_Table_Data[[#This Row],[Satisfaction Rating]],0)</f>
        <v>3</v>
      </c>
    </row>
    <row r="953" spans="1:11" x14ac:dyDescent="0.3">
      <c r="A953" s="9" t="s">
        <v>990</v>
      </c>
      <c r="B953" s="9" t="s">
        <v>45</v>
      </c>
      <c r="C953" s="9">
        <v>97</v>
      </c>
      <c r="D953" s="10" t="s">
        <v>17</v>
      </c>
      <c r="E953" s="11">
        <v>45261</v>
      </c>
      <c r="F953" s="9">
        <v>114</v>
      </c>
      <c r="G953" s="9">
        <v>4.8</v>
      </c>
      <c r="H953" s="9">
        <f>IF(MONTH(Call_Table_Data[[#This Row],[Date of Call]])&lt;=3,YEAR(Call_Table_Data[[#This Row],[Date of Call]]),YEAR(Call_Table_Data[[#This Row],[Date of Call]])+1)</f>
        <v>2024</v>
      </c>
      <c r="I953" s="9" t="str">
        <f>TEXT(Call_Table_Data[[#This Row],[Date of Call]],"DDDD")</f>
        <v>Friday</v>
      </c>
      <c r="J953" s="9" t="str" cm="1">
        <f t="array" ref="J953">_xlfn.IFS(Call_Table_Data[[#This Row],[Duration]]&lt;=10,"Under 10 Mins",Call_Table_Data[[#This Row],[Duration]]&lt;=30,"10 to 30 Mins",Call_Table_Data[[#This Row],[Duration]]&lt;=60,"30 to 60 Mins",Call_Table_Data[[#This Row],[Duration]]&lt;=120,"1 to 2 Hours",TRUE,"More Than 2 Hours")</f>
        <v>1 to 2 Hours</v>
      </c>
      <c r="K953" s="9">
        <f>ROUND(Call_Table_Data[[#This Row],[Satisfaction Rating]],0)</f>
        <v>5</v>
      </c>
    </row>
    <row r="954" spans="1:11" x14ac:dyDescent="0.3">
      <c r="A954" s="9" t="s">
        <v>991</v>
      </c>
      <c r="B954" s="9" t="s">
        <v>30</v>
      </c>
      <c r="C954" s="9">
        <v>102</v>
      </c>
      <c r="D954" s="10" t="s">
        <v>27</v>
      </c>
      <c r="E954" s="11">
        <v>45262</v>
      </c>
      <c r="F954" s="9">
        <v>72</v>
      </c>
      <c r="G954" s="9">
        <v>3.7</v>
      </c>
      <c r="H954" s="9">
        <f>IF(MONTH(Call_Table_Data[[#This Row],[Date of Call]])&lt;=3,YEAR(Call_Table_Data[[#This Row],[Date of Call]]),YEAR(Call_Table_Data[[#This Row],[Date of Call]])+1)</f>
        <v>2024</v>
      </c>
      <c r="I954" s="9" t="str">
        <f>TEXT(Call_Table_Data[[#This Row],[Date of Call]],"DDDD")</f>
        <v>Saturday</v>
      </c>
      <c r="J954" s="9" t="str" cm="1">
        <f t="array" ref="J954">_xlfn.IFS(Call_Table_Data[[#This Row],[Duration]]&lt;=10,"Under 10 Mins",Call_Table_Data[[#This Row],[Duration]]&lt;=30,"10 to 30 Mins",Call_Table_Data[[#This Row],[Duration]]&lt;=60,"30 to 60 Mins",Call_Table_Data[[#This Row],[Duration]]&lt;=120,"1 to 2 Hours",TRUE,"More Than 2 Hours")</f>
        <v>1 to 2 Hours</v>
      </c>
      <c r="K954" s="9">
        <f>ROUND(Call_Table_Data[[#This Row],[Satisfaction Rating]],0)</f>
        <v>4</v>
      </c>
    </row>
    <row r="955" spans="1:11" x14ac:dyDescent="0.3">
      <c r="A955" s="9" t="s">
        <v>992</v>
      </c>
      <c r="B955" s="9" t="s">
        <v>35</v>
      </c>
      <c r="C955" s="9">
        <v>62</v>
      </c>
      <c r="D955" s="10" t="s">
        <v>17</v>
      </c>
      <c r="E955" s="11">
        <v>45262</v>
      </c>
      <c r="F955" s="9">
        <v>205</v>
      </c>
      <c r="G955" s="9">
        <v>4.2</v>
      </c>
      <c r="H955" s="9">
        <f>IF(MONTH(Call_Table_Data[[#This Row],[Date of Call]])&lt;=3,YEAR(Call_Table_Data[[#This Row],[Date of Call]]),YEAR(Call_Table_Data[[#This Row],[Date of Call]])+1)</f>
        <v>2024</v>
      </c>
      <c r="I955" s="9" t="str">
        <f>TEXT(Call_Table_Data[[#This Row],[Date of Call]],"DDDD")</f>
        <v>Saturday</v>
      </c>
      <c r="J955" s="9" t="str" cm="1">
        <f t="array" ref="J955">_xlfn.IFS(Call_Table_Data[[#This Row],[Duration]]&lt;=10,"Under 10 Mins",Call_Table_Data[[#This Row],[Duration]]&lt;=30,"10 to 30 Mins",Call_Table_Data[[#This Row],[Duration]]&lt;=60,"30 to 60 Mins",Call_Table_Data[[#This Row],[Duration]]&lt;=120,"1 to 2 Hours",TRUE,"More Than 2 Hours")</f>
        <v>1 to 2 Hours</v>
      </c>
      <c r="K955" s="9">
        <f>ROUND(Call_Table_Data[[#This Row],[Satisfaction Rating]],0)</f>
        <v>4</v>
      </c>
    </row>
    <row r="956" spans="1:11" x14ac:dyDescent="0.3">
      <c r="A956" s="9" t="s">
        <v>993</v>
      </c>
      <c r="B956" s="9" t="s">
        <v>22</v>
      </c>
      <c r="C956" s="9">
        <v>149</v>
      </c>
      <c r="D956" s="10" t="s">
        <v>27</v>
      </c>
      <c r="E956" s="11">
        <v>45263</v>
      </c>
      <c r="F956" s="9">
        <v>42</v>
      </c>
      <c r="G956" s="9">
        <v>3.3</v>
      </c>
      <c r="H956" s="9">
        <f>IF(MONTH(Call_Table_Data[[#This Row],[Date of Call]])&lt;=3,YEAR(Call_Table_Data[[#This Row],[Date of Call]]),YEAR(Call_Table_Data[[#This Row],[Date of Call]])+1)</f>
        <v>2024</v>
      </c>
      <c r="I956" s="9" t="str">
        <f>TEXT(Call_Table_Data[[#This Row],[Date of Call]],"DDDD")</f>
        <v>Sunday</v>
      </c>
      <c r="J956" s="9" t="str" cm="1">
        <f t="array" ref="J956">_xlfn.IFS(Call_Table_Data[[#This Row],[Duration]]&lt;=10,"Under 10 Mins",Call_Table_Data[[#This Row],[Duration]]&lt;=30,"10 to 30 Mins",Call_Table_Data[[#This Row],[Duration]]&lt;=60,"30 to 60 Mins",Call_Table_Data[[#This Row],[Duration]]&lt;=120,"1 to 2 Hours",TRUE,"More Than 2 Hours")</f>
        <v>More Than 2 Hours</v>
      </c>
      <c r="K956" s="9">
        <f>ROUND(Call_Table_Data[[#This Row],[Satisfaction Rating]],0)</f>
        <v>3</v>
      </c>
    </row>
    <row r="957" spans="1:11" x14ac:dyDescent="0.3">
      <c r="A957" s="9" t="s">
        <v>994</v>
      </c>
      <c r="B957" s="9" t="s">
        <v>49</v>
      </c>
      <c r="C957" s="9">
        <v>133</v>
      </c>
      <c r="D957" s="10" t="s">
        <v>17</v>
      </c>
      <c r="E957" s="11">
        <v>45263</v>
      </c>
      <c r="F957" s="9">
        <v>96</v>
      </c>
      <c r="G957" s="9">
        <v>4.3</v>
      </c>
      <c r="H957" s="9">
        <f>IF(MONTH(Call_Table_Data[[#This Row],[Date of Call]])&lt;=3,YEAR(Call_Table_Data[[#This Row],[Date of Call]]),YEAR(Call_Table_Data[[#This Row],[Date of Call]])+1)</f>
        <v>2024</v>
      </c>
      <c r="I957" s="9" t="str">
        <f>TEXT(Call_Table_Data[[#This Row],[Date of Call]],"DDDD")</f>
        <v>Sunday</v>
      </c>
      <c r="J957" s="9" t="str" cm="1">
        <f t="array" ref="J957">_xlfn.IFS(Call_Table_Data[[#This Row],[Duration]]&lt;=10,"Under 10 Mins",Call_Table_Data[[#This Row],[Duration]]&lt;=30,"10 to 30 Mins",Call_Table_Data[[#This Row],[Duration]]&lt;=60,"30 to 60 Mins",Call_Table_Data[[#This Row],[Duration]]&lt;=120,"1 to 2 Hours",TRUE,"More Than 2 Hours")</f>
        <v>More Than 2 Hours</v>
      </c>
      <c r="K957" s="9">
        <f>ROUND(Call_Table_Data[[#This Row],[Satisfaction Rating]],0)</f>
        <v>4</v>
      </c>
    </row>
    <row r="958" spans="1:11" x14ac:dyDescent="0.3">
      <c r="A958" s="9" t="s">
        <v>995</v>
      </c>
      <c r="B958" s="9" t="s">
        <v>30</v>
      </c>
      <c r="C958" s="9">
        <v>51</v>
      </c>
      <c r="D958" s="10" t="s">
        <v>46</v>
      </c>
      <c r="E958" s="11">
        <v>45263</v>
      </c>
      <c r="F958" s="9">
        <v>64</v>
      </c>
      <c r="G958" s="9">
        <v>3.7</v>
      </c>
      <c r="H958" s="9">
        <f>IF(MONTH(Call_Table_Data[[#This Row],[Date of Call]])&lt;=3,YEAR(Call_Table_Data[[#This Row],[Date of Call]]),YEAR(Call_Table_Data[[#This Row],[Date of Call]])+1)</f>
        <v>2024</v>
      </c>
      <c r="I958" s="9" t="str">
        <f>TEXT(Call_Table_Data[[#This Row],[Date of Call]],"DDDD")</f>
        <v>Sunday</v>
      </c>
      <c r="J958" s="9" t="str" cm="1">
        <f t="array" ref="J958">_xlfn.IFS(Call_Table_Data[[#This Row],[Duration]]&lt;=10,"Under 10 Mins",Call_Table_Data[[#This Row],[Duration]]&lt;=30,"10 to 30 Mins",Call_Table_Data[[#This Row],[Duration]]&lt;=60,"30 to 60 Mins",Call_Table_Data[[#This Row],[Duration]]&lt;=120,"1 to 2 Hours",TRUE,"More Than 2 Hours")</f>
        <v>30 to 60 Mins</v>
      </c>
      <c r="K958" s="9">
        <f>ROUND(Call_Table_Data[[#This Row],[Satisfaction Rating]],0)</f>
        <v>4</v>
      </c>
    </row>
    <row r="959" spans="1:11" x14ac:dyDescent="0.3">
      <c r="A959" s="9" t="s">
        <v>996</v>
      </c>
      <c r="B959" s="9" t="s">
        <v>35</v>
      </c>
      <c r="C959" s="9">
        <v>110</v>
      </c>
      <c r="D959" s="10" t="s">
        <v>17</v>
      </c>
      <c r="E959" s="11">
        <v>45264</v>
      </c>
      <c r="F959" s="9">
        <v>72</v>
      </c>
      <c r="G959" s="9">
        <v>3.7</v>
      </c>
      <c r="H959" s="9">
        <f>IF(MONTH(Call_Table_Data[[#This Row],[Date of Call]])&lt;=3,YEAR(Call_Table_Data[[#This Row],[Date of Call]]),YEAR(Call_Table_Data[[#This Row],[Date of Call]])+1)</f>
        <v>2024</v>
      </c>
      <c r="I959" s="9" t="str">
        <f>TEXT(Call_Table_Data[[#This Row],[Date of Call]],"DDDD")</f>
        <v>Monday</v>
      </c>
      <c r="J959" s="9" t="str" cm="1">
        <f t="array" ref="J959">_xlfn.IFS(Call_Table_Data[[#This Row],[Duration]]&lt;=10,"Under 10 Mins",Call_Table_Data[[#This Row],[Duration]]&lt;=30,"10 to 30 Mins",Call_Table_Data[[#This Row],[Duration]]&lt;=60,"30 to 60 Mins",Call_Table_Data[[#This Row],[Duration]]&lt;=120,"1 to 2 Hours",TRUE,"More Than 2 Hours")</f>
        <v>1 to 2 Hours</v>
      </c>
      <c r="K959" s="9">
        <f>ROUND(Call_Table_Data[[#This Row],[Satisfaction Rating]],0)</f>
        <v>4</v>
      </c>
    </row>
    <row r="960" spans="1:11" x14ac:dyDescent="0.3">
      <c r="A960" s="9" t="s">
        <v>997</v>
      </c>
      <c r="B960" s="9" t="s">
        <v>45</v>
      </c>
      <c r="C960" s="9">
        <v>38</v>
      </c>
      <c r="D960" s="10" t="s">
        <v>40</v>
      </c>
      <c r="E960" s="11">
        <v>45265</v>
      </c>
      <c r="F960" s="9">
        <v>27</v>
      </c>
      <c r="G960" s="9">
        <v>3.1</v>
      </c>
      <c r="H960" s="9">
        <f>IF(MONTH(Call_Table_Data[[#This Row],[Date of Call]])&lt;=3,YEAR(Call_Table_Data[[#This Row],[Date of Call]]),YEAR(Call_Table_Data[[#This Row],[Date of Call]])+1)</f>
        <v>2024</v>
      </c>
      <c r="I960" s="9" t="str">
        <f>TEXT(Call_Table_Data[[#This Row],[Date of Call]],"DDDD")</f>
        <v>Tuesday</v>
      </c>
      <c r="J960" s="9" t="str" cm="1">
        <f t="array" ref="J960">_xlfn.IFS(Call_Table_Data[[#This Row],[Duration]]&lt;=10,"Under 10 Mins",Call_Table_Data[[#This Row],[Duration]]&lt;=30,"10 to 30 Mins",Call_Table_Data[[#This Row],[Duration]]&lt;=60,"30 to 60 Mins",Call_Table_Data[[#This Row],[Duration]]&lt;=120,"1 to 2 Hours",TRUE,"More Than 2 Hours")</f>
        <v>30 to 60 Mins</v>
      </c>
      <c r="K960" s="9">
        <f>ROUND(Call_Table_Data[[#This Row],[Satisfaction Rating]],0)</f>
        <v>3</v>
      </c>
    </row>
    <row r="961" spans="1:11" x14ac:dyDescent="0.3">
      <c r="A961" s="9" t="s">
        <v>998</v>
      </c>
      <c r="B961" s="9" t="s">
        <v>49</v>
      </c>
      <c r="C961" s="9">
        <v>78</v>
      </c>
      <c r="D961" s="10" t="s">
        <v>40</v>
      </c>
      <c r="E961" s="11">
        <v>45267</v>
      </c>
      <c r="F961" s="9">
        <v>200</v>
      </c>
      <c r="G961" s="9">
        <v>2.4</v>
      </c>
      <c r="H961" s="9">
        <f>IF(MONTH(Call_Table_Data[[#This Row],[Date of Call]])&lt;=3,YEAR(Call_Table_Data[[#This Row],[Date of Call]]),YEAR(Call_Table_Data[[#This Row],[Date of Call]])+1)</f>
        <v>2024</v>
      </c>
      <c r="I961" s="9" t="str">
        <f>TEXT(Call_Table_Data[[#This Row],[Date of Call]],"DDDD")</f>
        <v>Thursday</v>
      </c>
      <c r="J961" s="9" t="str" cm="1">
        <f t="array" ref="J961">_xlfn.IFS(Call_Table_Data[[#This Row],[Duration]]&lt;=10,"Under 10 Mins",Call_Table_Data[[#This Row],[Duration]]&lt;=30,"10 to 30 Mins",Call_Table_Data[[#This Row],[Duration]]&lt;=60,"30 to 60 Mins",Call_Table_Data[[#This Row],[Duration]]&lt;=120,"1 to 2 Hours",TRUE,"More Than 2 Hours")</f>
        <v>1 to 2 Hours</v>
      </c>
      <c r="K961" s="9">
        <f>ROUND(Call_Table_Data[[#This Row],[Satisfaction Rating]],0)</f>
        <v>2</v>
      </c>
    </row>
    <row r="962" spans="1:11" x14ac:dyDescent="0.3">
      <c r="A962" s="9" t="s">
        <v>999</v>
      </c>
      <c r="B962" s="9" t="s">
        <v>45</v>
      </c>
      <c r="C962" s="9">
        <v>25</v>
      </c>
      <c r="D962" s="10" t="s">
        <v>27</v>
      </c>
      <c r="E962" s="11">
        <v>45268</v>
      </c>
      <c r="F962" s="9">
        <v>93</v>
      </c>
      <c r="G962" s="9">
        <v>3.5</v>
      </c>
      <c r="H962" s="9">
        <f>IF(MONTH(Call_Table_Data[[#This Row],[Date of Call]])&lt;=3,YEAR(Call_Table_Data[[#This Row],[Date of Call]]),YEAR(Call_Table_Data[[#This Row],[Date of Call]])+1)</f>
        <v>2024</v>
      </c>
      <c r="I962" s="9" t="str">
        <f>TEXT(Call_Table_Data[[#This Row],[Date of Call]],"DDDD")</f>
        <v>Friday</v>
      </c>
      <c r="J962" s="9" t="str" cm="1">
        <f t="array" ref="J962">_xlfn.IFS(Call_Table_Data[[#This Row],[Duration]]&lt;=10,"Under 10 Mins",Call_Table_Data[[#This Row],[Duration]]&lt;=30,"10 to 30 Mins",Call_Table_Data[[#This Row],[Duration]]&lt;=60,"30 to 60 Mins",Call_Table_Data[[#This Row],[Duration]]&lt;=120,"1 to 2 Hours",TRUE,"More Than 2 Hours")</f>
        <v>10 to 30 Mins</v>
      </c>
      <c r="K962" s="9">
        <f>ROUND(Call_Table_Data[[#This Row],[Satisfaction Rating]],0)</f>
        <v>4</v>
      </c>
    </row>
    <row r="963" spans="1:11" x14ac:dyDescent="0.3">
      <c r="A963" s="9" t="s">
        <v>1000</v>
      </c>
      <c r="B963" s="9" t="s">
        <v>50</v>
      </c>
      <c r="C963" s="9">
        <v>50</v>
      </c>
      <c r="D963" s="10" t="s">
        <v>46</v>
      </c>
      <c r="E963" s="11">
        <v>45268</v>
      </c>
      <c r="F963" s="9">
        <v>54</v>
      </c>
      <c r="G963" s="9">
        <v>4.3</v>
      </c>
      <c r="H963" s="9">
        <f>IF(MONTH(Call_Table_Data[[#This Row],[Date of Call]])&lt;=3,YEAR(Call_Table_Data[[#This Row],[Date of Call]]),YEAR(Call_Table_Data[[#This Row],[Date of Call]])+1)</f>
        <v>2024</v>
      </c>
      <c r="I963" s="9" t="str">
        <f>TEXT(Call_Table_Data[[#This Row],[Date of Call]],"DDDD")</f>
        <v>Friday</v>
      </c>
      <c r="J963" s="9" t="str" cm="1">
        <f t="array" ref="J963">_xlfn.IFS(Call_Table_Data[[#This Row],[Duration]]&lt;=10,"Under 10 Mins",Call_Table_Data[[#This Row],[Duration]]&lt;=30,"10 to 30 Mins",Call_Table_Data[[#This Row],[Duration]]&lt;=60,"30 to 60 Mins",Call_Table_Data[[#This Row],[Duration]]&lt;=120,"1 to 2 Hours",TRUE,"More Than 2 Hours")</f>
        <v>30 to 60 Mins</v>
      </c>
      <c r="K963" s="9">
        <f>ROUND(Call_Table_Data[[#This Row],[Satisfaction Rating]],0)</f>
        <v>4</v>
      </c>
    </row>
    <row r="964" spans="1:11" x14ac:dyDescent="0.3">
      <c r="A964" s="9" t="s">
        <v>1001</v>
      </c>
      <c r="B964" s="9" t="s">
        <v>45</v>
      </c>
      <c r="C964" s="9">
        <v>103</v>
      </c>
      <c r="D964" s="10" t="s">
        <v>27</v>
      </c>
      <c r="E964" s="11">
        <v>45269</v>
      </c>
      <c r="F964" s="9">
        <v>72</v>
      </c>
      <c r="G964" s="9">
        <v>3.4</v>
      </c>
      <c r="H964" s="9">
        <f>IF(MONTH(Call_Table_Data[[#This Row],[Date of Call]])&lt;=3,YEAR(Call_Table_Data[[#This Row],[Date of Call]]),YEAR(Call_Table_Data[[#This Row],[Date of Call]])+1)</f>
        <v>2024</v>
      </c>
      <c r="I964" s="9" t="str">
        <f>TEXT(Call_Table_Data[[#This Row],[Date of Call]],"DDDD")</f>
        <v>Saturday</v>
      </c>
      <c r="J964" s="9" t="str" cm="1">
        <f t="array" ref="J964">_xlfn.IFS(Call_Table_Data[[#This Row],[Duration]]&lt;=10,"Under 10 Mins",Call_Table_Data[[#This Row],[Duration]]&lt;=30,"10 to 30 Mins",Call_Table_Data[[#This Row],[Duration]]&lt;=60,"30 to 60 Mins",Call_Table_Data[[#This Row],[Duration]]&lt;=120,"1 to 2 Hours",TRUE,"More Than 2 Hours")</f>
        <v>1 to 2 Hours</v>
      </c>
      <c r="K964" s="9">
        <f>ROUND(Call_Table_Data[[#This Row],[Satisfaction Rating]],0)</f>
        <v>3</v>
      </c>
    </row>
    <row r="965" spans="1:11" x14ac:dyDescent="0.3">
      <c r="A965" s="9" t="s">
        <v>1002</v>
      </c>
      <c r="B965" s="9" t="s">
        <v>43</v>
      </c>
      <c r="C965" s="9">
        <v>63</v>
      </c>
      <c r="D965" s="10" t="s">
        <v>33</v>
      </c>
      <c r="E965" s="11">
        <v>45269</v>
      </c>
      <c r="F965" s="9">
        <v>82</v>
      </c>
      <c r="G965" s="9">
        <v>3.7</v>
      </c>
      <c r="H965" s="9">
        <f>IF(MONTH(Call_Table_Data[[#This Row],[Date of Call]])&lt;=3,YEAR(Call_Table_Data[[#This Row],[Date of Call]]),YEAR(Call_Table_Data[[#This Row],[Date of Call]])+1)</f>
        <v>2024</v>
      </c>
      <c r="I965" s="9" t="str">
        <f>TEXT(Call_Table_Data[[#This Row],[Date of Call]],"DDDD")</f>
        <v>Saturday</v>
      </c>
      <c r="J965" s="9" t="str" cm="1">
        <f t="array" ref="J965">_xlfn.IFS(Call_Table_Data[[#This Row],[Duration]]&lt;=10,"Under 10 Mins",Call_Table_Data[[#This Row],[Duration]]&lt;=30,"10 to 30 Mins",Call_Table_Data[[#This Row],[Duration]]&lt;=60,"30 to 60 Mins",Call_Table_Data[[#This Row],[Duration]]&lt;=120,"1 to 2 Hours",TRUE,"More Than 2 Hours")</f>
        <v>1 to 2 Hours</v>
      </c>
      <c r="K965" s="9">
        <f>ROUND(Call_Table_Data[[#This Row],[Satisfaction Rating]],0)</f>
        <v>4</v>
      </c>
    </row>
    <row r="966" spans="1:11" x14ac:dyDescent="0.3">
      <c r="A966" s="9" t="s">
        <v>1003</v>
      </c>
      <c r="B966" s="9" t="s">
        <v>50</v>
      </c>
      <c r="C966" s="9">
        <v>96</v>
      </c>
      <c r="D966" s="10" t="s">
        <v>46</v>
      </c>
      <c r="E966" s="11">
        <v>45273</v>
      </c>
      <c r="F966" s="9">
        <v>164</v>
      </c>
      <c r="G966" s="9">
        <v>4.8</v>
      </c>
      <c r="H966" s="9">
        <f>IF(MONTH(Call_Table_Data[[#This Row],[Date of Call]])&lt;=3,YEAR(Call_Table_Data[[#This Row],[Date of Call]]),YEAR(Call_Table_Data[[#This Row],[Date of Call]])+1)</f>
        <v>2024</v>
      </c>
      <c r="I966" s="9" t="str">
        <f>TEXT(Call_Table_Data[[#This Row],[Date of Call]],"DDDD")</f>
        <v>Wednesday</v>
      </c>
      <c r="J966" s="9" t="str" cm="1">
        <f t="array" ref="J966">_xlfn.IFS(Call_Table_Data[[#This Row],[Duration]]&lt;=10,"Under 10 Mins",Call_Table_Data[[#This Row],[Duration]]&lt;=30,"10 to 30 Mins",Call_Table_Data[[#This Row],[Duration]]&lt;=60,"30 to 60 Mins",Call_Table_Data[[#This Row],[Duration]]&lt;=120,"1 to 2 Hours",TRUE,"More Than 2 Hours")</f>
        <v>1 to 2 Hours</v>
      </c>
      <c r="K966" s="9">
        <f>ROUND(Call_Table_Data[[#This Row],[Satisfaction Rating]],0)</f>
        <v>5</v>
      </c>
    </row>
    <row r="967" spans="1:11" x14ac:dyDescent="0.3">
      <c r="A967" s="9" t="s">
        <v>1004</v>
      </c>
      <c r="B967" s="9" t="s">
        <v>26</v>
      </c>
      <c r="C967" s="9">
        <v>94</v>
      </c>
      <c r="D967" s="10" t="s">
        <v>27</v>
      </c>
      <c r="E967" s="11">
        <v>45273</v>
      </c>
      <c r="F967" s="9">
        <v>78</v>
      </c>
      <c r="G967" s="9">
        <v>3.3</v>
      </c>
      <c r="H967" s="9">
        <f>IF(MONTH(Call_Table_Data[[#This Row],[Date of Call]])&lt;=3,YEAR(Call_Table_Data[[#This Row],[Date of Call]]),YEAR(Call_Table_Data[[#This Row],[Date of Call]])+1)</f>
        <v>2024</v>
      </c>
      <c r="I967" s="9" t="str">
        <f>TEXT(Call_Table_Data[[#This Row],[Date of Call]],"DDDD")</f>
        <v>Wednesday</v>
      </c>
      <c r="J967" s="9" t="str" cm="1">
        <f t="array" ref="J967">_xlfn.IFS(Call_Table_Data[[#This Row],[Duration]]&lt;=10,"Under 10 Mins",Call_Table_Data[[#This Row],[Duration]]&lt;=30,"10 to 30 Mins",Call_Table_Data[[#This Row],[Duration]]&lt;=60,"30 to 60 Mins",Call_Table_Data[[#This Row],[Duration]]&lt;=120,"1 to 2 Hours",TRUE,"More Than 2 Hours")</f>
        <v>1 to 2 Hours</v>
      </c>
      <c r="K967" s="9">
        <f>ROUND(Call_Table_Data[[#This Row],[Satisfaction Rating]],0)</f>
        <v>3</v>
      </c>
    </row>
    <row r="968" spans="1:11" x14ac:dyDescent="0.3">
      <c r="A968" s="9" t="s">
        <v>1005</v>
      </c>
      <c r="B968" s="9" t="s">
        <v>35</v>
      </c>
      <c r="C968" s="9">
        <v>46</v>
      </c>
      <c r="D968" s="10" t="s">
        <v>40</v>
      </c>
      <c r="E968" s="11">
        <v>45274</v>
      </c>
      <c r="F968" s="9">
        <v>135</v>
      </c>
      <c r="G968" s="9">
        <v>4.2</v>
      </c>
      <c r="H968" s="9">
        <f>IF(MONTH(Call_Table_Data[[#This Row],[Date of Call]])&lt;=3,YEAR(Call_Table_Data[[#This Row],[Date of Call]]),YEAR(Call_Table_Data[[#This Row],[Date of Call]])+1)</f>
        <v>2024</v>
      </c>
      <c r="I968" s="9" t="str">
        <f>TEXT(Call_Table_Data[[#This Row],[Date of Call]],"DDDD")</f>
        <v>Thursday</v>
      </c>
      <c r="J968" s="9" t="str" cm="1">
        <f t="array" ref="J968">_xlfn.IFS(Call_Table_Data[[#This Row],[Duration]]&lt;=10,"Under 10 Mins",Call_Table_Data[[#This Row],[Duration]]&lt;=30,"10 to 30 Mins",Call_Table_Data[[#This Row],[Duration]]&lt;=60,"30 to 60 Mins",Call_Table_Data[[#This Row],[Duration]]&lt;=120,"1 to 2 Hours",TRUE,"More Than 2 Hours")</f>
        <v>30 to 60 Mins</v>
      </c>
      <c r="K968" s="9">
        <f>ROUND(Call_Table_Data[[#This Row],[Satisfaction Rating]],0)</f>
        <v>4</v>
      </c>
    </row>
    <row r="969" spans="1:11" x14ac:dyDescent="0.3">
      <c r="A969" s="9" t="s">
        <v>1006</v>
      </c>
      <c r="B969" s="9" t="s">
        <v>41</v>
      </c>
      <c r="C969" s="9">
        <v>127</v>
      </c>
      <c r="D969" s="10" t="s">
        <v>46</v>
      </c>
      <c r="E969" s="11">
        <v>45275</v>
      </c>
      <c r="F969" s="9">
        <v>145</v>
      </c>
      <c r="G969" s="9">
        <v>2.6</v>
      </c>
      <c r="H969" s="9">
        <f>IF(MONTH(Call_Table_Data[[#This Row],[Date of Call]])&lt;=3,YEAR(Call_Table_Data[[#This Row],[Date of Call]]),YEAR(Call_Table_Data[[#This Row],[Date of Call]])+1)</f>
        <v>2024</v>
      </c>
      <c r="I969" s="9" t="str">
        <f>TEXT(Call_Table_Data[[#This Row],[Date of Call]],"DDDD")</f>
        <v>Friday</v>
      </c>
      <c r="J969" s="9" t="str" cm="1">
        <f t="array" ref="J969">_xlfn.IFS(Call_Table_Data[[#This Row],[Duration]]&lt;=10,"Under 10 Mins",Call_Table_Data[[#This Row],[Duration]]&lt;=30,"10 to 30 Mins",Call_Table_Data[[#This Row],[Duration]]&lt;=60,"30 to 60 Mins",Call_Table_Data[[#This Row],[Duration]]&lt;=120,"1 to 2 Hours",TRUE,"More Than 2 Hours")</f>
        <v>More Than 2 Hours</v>
      </c>
      <c r="K969" s="9">
        <f>ROUND(Call_Table_Data[[#This Row],[Satisfaction Rating]],0)</f>
        <v>3</v>
      </c>
    </row>
    <row r="970" spans="1:11" x14ac:dyDescent="0.3">
      <c r="A970" s="9" t="s">
        <v>1007</v>
      </c>
      <c r="B970" s="9" t="s">
        <v>37</v>
      </c>
      <c r="C970" s="9">
        <v>96</v>
      </c>
      <c r="D970" s="10" t="s">
        <v>40</v>
      </c>
      <c r="E970" s="11">
        <v>45275</v>
      </c>
      <c r="F970" s="9">
        <v>115</v>
      </c>
      <c r="G970" s="9">
        <v>4.9000000000000004</v>
      </c>
      <c r="H970" s="9">
        <f>IF(MONTH(Call_Table_Data[[#This Row],[Date of Call]])&lt;=3,YEAR(Call_Table_Data[[#This Row],[Date of Call]]),YEAR(Call_Table_Data[[#This Row],[Date of Call]])+1)</f>
        <v>2024</v>
      </c>
      <c r="I970" s="9" t="str">
        <f>TEXT(Call_Table_Data[[#This Row],[Date of Call]],"DDDD")</f>
        <v>Friday</v>
      </c>
      <c r="J970" s="9" t="str" cm="1">
        <f t="array" ref="J970">_xlfn.IFS(Call_Table_Data[[#This Row],[Duration]]&lt;=10,"Under 10 Mins",Call_Table_Data[[#This Row],[Duration]]&lt;=30,"10 to 30 Mins",Call_Table_Data[[#This Row],[Duration]]&lt;=60,"30 to 60 Mins",Call_Table_Data[[#This Row],[Duration]]&lt;=120,"1 to 2 Hours",TRUE,"More Than 2 Hours")</f>
        <v>1 to 2 Hours</v>
      </c>
      <c r="K970" s="9">
        <f>ROUND(Call_Table_Data[[#This Row],[Satisfaction Rating]],0)</f>
        <v>5</v>
      </c>
    </row>
    <row r="971" spans="1:11" x14ac:dyDescent="0.3">
      <c r="A971" s="9" t="s">
        <v>1008</v>
      </c>
      <c r="B971" s="9" t="s">
        <v>18</v>
      </c>
      <c r="C971" s="9">
        <v>151</v>
      </c>
      <c r="D971" s="10" t="s">
        <v>27</v>
      </c>
      <c r="E971" s="11">
        <v>45275</v>
      </c>
      <c r="F971" s="9">
        <v>117</v>
      </c>
      <c r="G971" s="9">
        <v>2</v>
      </c>
      <c r="H971" s="9">
        <f>IF(MONTH(Call_Table_Data[[#This Row],[Date of Call]])&lt;=3,YEAR(Call_Table_Data[[#This Row],[Date of Call]]),YEAR(Call_Table_Data[[#This Row],[Date of Call]])+1)</f>
        <v>2024</v>
      </c>
      <c r="I971" s="9" t="str">
        <f>TEXT(Call_Table_Data[[#This Row],[Date of Call]],"DDDD")</f>
        <v>Friday</v>
      </c>
      <c r="J971" s="9" t="str" cm="1">
        <f t="array" ref="J971">_xlfn.IFS(Call_Table_Data[[#This Row],[Duration]]&lt;=10,"Under 10 Mins",Call_Table_Data[[#This Row],[Duration]]&lt;=30,"10 to 30 Mins",Call_Table_Data[[#This Row],[Duration]]&lt;=60,"30 to 60 Mins",Call_Table_Data[[#This Row],[Duration]]&lt;=120,"1 to 2 Hours",TRUE,"More Than 2 Hours")</f>
        <v>More Than 2 Hours</v>
      </c>
      <c r="K971" s="9">
        <f>ROUND(Call_Table_Data[[#This Row],[Satisfaction Rating]],0)</f>
        <v>2</v>
      </c>
    </row>
    <row r="972" spans="1:11" x14ac:dyDescent="0.3">
      <c r="A972" s="9" t="s">
        <v>1009</v>
      </c>
      <c r="B972" s="9" t="s">
        <v>41</v>
      </c>
      <c r="C972" s="9">
        <v>158</v>
      </c>
      <c r="D972" s="10" t="s">
        <v>17</v>
      </c>
      <c r="E972" s="11">
        <v>45276</v>
      </c>
      <c r="F972" s="9">
        <v>36</v>
      </c>
      <c r="G972" s="9">
        <v>4.7</v>
      </c>
      <c r="H972" s="9">
        <f>IF(MONTH(Call_Table_Data[[#This Row],[Date of Call]])&lt;=3,YEAR(Call_Table_Data[[#This Row],[Date of Call]]),YEAR(Call_Table_Data[[#This Row],[Date of Call]])+1)</f>
        <v>2024</v>
      </c>
      <c r="I972" s="9" t="str">
        <f>TEXT(Call_Table_Data[[#This Row],[Date of Call]],"DDDD")</f>
        <v>Saturday</v>
      </c>
      <c r="J972" s="9" t="str" cm="1">
        <f t="array" ref="J972">_xlfn.IFS(Call_Table_Data[[#This Row],[Duration]]&lt;=10,"Under 10 Mins",Call_Table_Data[[#This Row],[Duration]]&lt;=30,"10 to 30 Mins",Call_Table_Data[[#This Row],[Duration]]&lt;=60,"30 to 60 Mins",Call_Table_Data[[#This Row],[Duration]]&lt;=120,"1 to 2 Hours",TRUE,"More Than 2 Hours")</f>
        <v>More Than 2 Hours</v>
      </c>
      <c r="K972" s="9">
        <f>ROUND(Call_Table_Data[[#This Row],[Satisfaction Rating]],0)</f>
        <v>5</v>
      </c>
    </row>
    <row r="973" spans="1:11" x14ac:dyDescent="0.3">
      <c r="A973" s="9" t="s">
        <v>1010</v>
      </c>
      <c r="B973" s="9" t="s">
        <v>26</v>
      </c>
      <c r="C973" s="9">
        <v>45</v>
      </c>
      <c r="D973" s="10" t="s">
        <v>17</v>
      </c>
      <c r="E973" s="11">
        <v>45276</v>
      </c>
      <c r="F973" s="9">
        <v>84</v>
      </c>
      <c r="G973" s="9">
        <v>2.8</v>
      </c>
      <c r="H973" s="9">
        <f>IF(MONTH(Call_Table_Data[[#This Row],[Date of Call]])&lt;=3,YEAR(Call_Table_Data[[#This Row],[Date of Call]]),YEAR(Call_Table_Data[[#This Row],[Date of Call]])+1)</f>
        <v>2024</v>
      </c>
      <c r="I973" s="9" t="str">
        <f>TEXT(Call_Table_Data[[#This Row],[Date of Call]],"DDDD")</f>
        <v>Saturday</v>
      </c>
      <c r="J973" s="9" t="str" cm="1">
        <f t="array" ref="J973">_xlfn.IFS(Call_Table_Data[[#This Row],[Duration]]&lt;=10,"Under 10 Mins",Call_Table_Data[[#This Row],[Duration]]&lt;=30,"10 to 30 Mins",Call_Table_Data[[#This Row],[Duration]]&lt;=60,"30 to 60 Mins",Call_Table_Data[[#This Row],[Duration]]&lt;=120,"1 to 2 Hours",TRUE,"More Than 2 Hours")</f>
        <v>30 to 60 Mins</v>
      </c>
      <c r="K973" s="9">
        <f>ROUND(Call_Table_Data[[#This Row],[Satisfaction Rating]],0)</f>
        <v>3</v>
      </c>
    </row>
    <row r="974" spans="1:11" x14ac:dyDescent="0.3">
      <c r="A974" s="9" t="s">
        <v>1011</v>
      </c>
      <c r="B974" s="9" t="s">
        <v>23</v>
      </c>
      <c r="C974" s="9">
        <v>141</v>
      </c>
      <c r="D974" s="10" t="s">
        <v>17</v>
      </c>
      <c r="E974" s="11">
        <v>45276</v>
      </c>
      <c r="F974" s="9">
        <v>66</v>
      </c>
      <c r="G974" s="9">
        <v>3.2</v>
      </c>
      <c r="H974" s="9">
        <f>IF(MONTH(Call_Table_Data[[#This Row],[Date of Call]])&lt;=3,YEAR(Call_Table_Data[[#This Row],[Date of Call]]),YEAR(Call_Table_Data[[#This Row],[Date of Call]])+1)</f>
        <v>2024</v>
      </c>
      <c r="I974" s="9" t="str">
        <f>TEXT(Call_Table_Data[[#This Row],[Date of Call]],"DDDD")</f>
        <v>Saturday</v>
      </c>
      <c r="J974" s="9" t="str" cm="1">
        <f t="array" ref="J974">_xlfn.IFS(Call_Table_Data[[#This Row],[Duration]]&lt;=10,"Under 10 Mins",Call_Table_Data[[#This Row],[Duration]]&lt;=30,"10 to 30 Mins",Call_Table_Data[[#This Row],[Duration]]&lt;=60,"30 to 60 Mins",Call_Table_Data[[#This Row],[Duration]]&lt;=120,"1 to 2 Hours",TRUE,"More Than 2 Hours")</f>
        <v>More Than 2 Hours</v>
      </c>
      <c r="K974" s="9">
        <f>ROUND(Call_Table_Data[[#This Row],[Satisfaction Rating]],0)</f>
        <v>3</v>
      </c>
    </row>
    <row r="975" spans="1:11" x14ac:dyDescent="0.3">
      <c r="A975" s="9" t="s">
        <v>1012</v>
      </c>
      <c r="B975" s="9" t="s">
        <v>45</v>
      </c>
      <c r="C975" s="9">
        <v>147</v>
      </c>
      <c r="D975" s="10" t="s">
        <v>40</v>
      </c>
      <c r="E975" s="11">
        <v>45276</v>
      </c>
      <c r="F975" s="9">
        <v>76</v>
      </c>
      <c r="G975" s="9">
        <v>4.7</v>
      </c>
      <c r="H975" s="9">
        <f>IF(MONTH(Call_Table_Data[[#This Row],[Date of Call]])&lt;=3,YEAR(Call_Table_Data[[#This Row],[Date of Call]]),YEAR(Call_Table_Data[[#This Row],[Date of Call]])+1)</f>
        <v>2024</v>
      </c>
      <c r="I975" s="9" t="str">
        <f>TEXT(Call_Table_Data[[#This Row],[Date of Call]],"DDDD")</f>
        <v>Saturday</v>
      </c>
      <c r="J975" s="9" t="str" cm="1">
        <f t="array" ref="J975">_xlfn.IFS(Call_Table_Data[[#This Row],[Duration]]&lt;=10,"Under 10 Mins",Call_Table_Data[[#This Row],[Duration]]&lt;=30,"10 to 30 Mins",Call_Table_Data[[#This Row],[Duration]]&lt;=60,"30 to 60 Mins",Call_Table_Data[[#This Row],[Duration]]&lt;=120,"1 to 2 Hours",TRUE,"More Than 2 Hours")</f>
        <v>More Than 2 Hours</v>
      </c>
      <c r="K975" s="9">
        <f>ROUND(Call_Table_Data[[#This Row],[Satisfaction Rating]],0)</f>
        <v>5</v>
      </c>
    </row>
    <row r="976" spans="1:11" x14ac:dyDescent="0.3">
      <c r="A976" s="9" t="s">
        <v>1013</v>
      </c>
      <c r="B976" s="9" t="s">
        <v>54</v>
      </c>
      <c r="C976" s="9">
        <v>126</v>
      </c>
      <c r="D976" s="10" t="s">
        <v>40</v>
      </c>
      <c r="E976" s="11">
        <v>45276</v>
      </c>
      <c r="F976" s="9">
        <v>185</v>
      </c>
      <c r="G976" s="9">
        <v>4.8</v>
      </c>
      <c r="H976" s="9">
        <f>IF(MONTH(Call_Table_Data[[#This Row],[Date of Call]])&lt;=3,YEAR(Call_Table_Data[[#This Row],[Date of Call]]),YEAR(Call_Table_Data[[#This Row],[Date of Call]])+1)</f>
        <v>2024</v>
      </c>
      <c r="I976" s="9" t="str">
        <f>TEXT(Call_Table_Data[[#This Row],[Date of Call]],"DDDD")</f>
        <v>Saturday</v>
      </c>
      <c r="J976" s="9" t="str" cm="1">
        <f t="array" ref="J976">_xlfn.IFS(Call_Table_Data[[#This Row],[Duration]]&lt;=10,"Under 10 Mins",Call_Table_Data[[#This Row],[Duration]]&lt;=30,"10 to 30 Mins",Call_Table_Data[[#This Row],[Duration]]&lt;=60,"30 to 60 Mins",Call_Table_Data[[#This Row],[Duration]]&lt;=120,"1 to 2 Hours",TRUE,"More Than 2 Hours")</f>
        <v>More Than 2 Hours</v>
      </c>
      <c r="K976" s="9">
        <f>ROUND(Call_Table_Data[[#This Row],[Satisfaction Rating]],0)</f>
        <v>5</v>
      </c>
    </row>
    <row r="977" spans="1:11" x14ac:dyDescent="0.3">
      <c r="A977" s="9" t="s">
        <v>1014</v>
      </c>
      <c r="B977" s="9" t="s">
        <v>26</v>
      </c>
      <c r="C977" s="9">
        <v>126</v>
      </c>
      <c r="D977" s="10" t="s">
        <v>33</v>
      </c>
      <c r="E977" s="11">
        <v>45277</v>
      </c>
      <c r="F977" s="9">
        <v>80</v>
      </c>
      <c r="G977" s="9">
        <v>4.7</v>
      </c>
      <c r="H977" s="9">
        <f>IF(MONTH(Call_Table_Data[[#This Row],[Date of Call]])&lt;=3,YEAR(Call_Table_Data[[#This Row],[Date of Call]]),YEAR(Call_Table_Data[[#This Row],[Date of Call]])+1)</f>
        <v>2024</v>
      </c>
      <c r="I977" s="9" t="str">
        <f>TEXT(Call_Table_Data[[#This Row],[Date of Call]],"DDDD")</f>
        <v>Sunday</v>
      </c>
      <c r="J977" s="9" t="str" cm="1">
        <f t="array" ref="J977">_xlfn.IFS(Call_Table_Data[[#This Row],[Duration]]&lt;=10,"Under 10 Mins",Call_Table_Data[[#This Row],[Duration]]&lt;=30,"10 to 30 Mins",Call_Table_Data[[#This Row],[Duration]]&lt;=60,"30 to 60 Mins",Call_Table_Data[[#This Row],[Duration]]&lt;=120,"1 to 2 Hours",TRUE,"More Than 2 Hours")</f>
        <v>More Than 2 Hours</v>
      </c>
      <c r="K977" s="9">
        <f>ROUND(Call_Table_Data[[#This Row],[Satisfaction Rating]],0)</f>
        <v>5</v>
      </c>
    </row>
    <row r="978" spans="1:11" x14ac:dyDescent="0.3">
      <c r="A978" s="9" t="s">
        <v>1015</v>
      </c>
      <c r="B978" s="9" t="s">
        <v>49</v>
      </c>
      <c r="C978" s="9">
        <v>32</v>
      </c>
      <c r="D978" s="10" t="s">
        <v>40</v>
      </c>
      <c r="E978" s="11">
        <v>45277</v>
      </c>
      <c r="F978" s="9">
        <v>148</v>
      </c>
      <c r="G978" s="9">
        <v>4</v>
      </c>
      <c r="H978" s="9">
        <f>IF(MONTH(Call_Table_Data[[#This Row],[Date of Call]])&lt;=3,YEAR(Call_Table_Data[[#This Row],[Date of Call]]),YEAR(Call_Table_Data[[#This Row],[Date of Call]])+1)</f>
        <v>2024</v>
      </c>
      <c r="I978" s="9" t="str">
        <f>TEXT(Call_Table_Data[[#This Row],[Date of Call]],"DDDD")</f>
        <v>Sunday</v>
      </c>
      <c r="J978" s="9" t="str" cm="1">
        <f t="array" ref="J978">_xlfn.IFS(Call_Table_Data[[#This Row],[Duration]]&lt;=10,"Under 10 Mins",Call_Table_Data[[#This Row],[Duration]]&lt;=30,"10 to 30 Mins",Call_Table_Data[[#This Row],[Duration]]&lt;=60,"30 to 60 Mins",Call_Table_Data[[#This Row],[Duration]]&lt;=120,"1 to 2 Hours",TRUE,"More Than 2 Hours")</f>
        <v>30 to 60 Mins</v>
      </c>
      <c r="K978" s="9">
        <f>ROUND(Call_Table_Data[[#This Row],[Satisfaction Rating]],0)</f>
        <v>4</v>
      </c>
    </row>
    <row r="979" spans="1:11" x14ac:dyDescent="0.3">
      <c r="A979" s="9" t="s">
        <v>1016</v>
      </c>
      <c r="B979" s="9" t="s">
        <v>26</v>
      </c>
      <c r="C979" s="9">
        <v>84</v>
      </c>
      <c r="D979" s="10" t="s">
        <v>46</v>
      </c>
      <c r="E979" s="11">
        <v>45279</v>
      </c>
      <c r="F979" s="9">
        <v>180</v>
      </c>
      <c r="G979" s="9">
        <v>4.9000000000000004</v>
      </c>
      <c r="H979" s="9">
        <f>IF(MONTH(Call_Table_Data[[#This Row],[Date of Call]])&lt;=3,YEAR(Call_Table_Data[[#This Row],[Date of Call]]),YEAR(Call_Table_Data[[#This Row],[Date of Call]])+1)</f>
        <v>2024</v>
      </c>
      <c r="I979" s="9" t="str">
        <f>TEXT(Call_Table_Data[[#This Row],[Date of Call]],"DDDD")</f>
        <v>Tuesday</v>
      </c>
      <c r="J979" s="9" t="str" cm="1">
        <f t="array" ref="J979">_xlfn.IFS(Call_Table_Data[[#This Row],[Duration]]&lt;=10,"Under 10 Mins",Call_Table_Data[[#This Row],[Duration]]&lt;=30,"10 to 30 Mins",Call_Table_Data[[#This Row],[Duration]]&lt;=60,"30 to 60 Mins",Call_Table_Data[[#This Row],[Duration]]&lt;=120,"1 to 2 Hours",TRUE,"More Than 2 Hours")</f>
        <v>1 to 2 Hours</v>
      </c>
      <c r="K979" s="9">
        <f>ROUND(Call_Table_Data[[#This Row],[Satisfaction Rating]],0)</f>
        <v>5</v>
      </c>
    </row>
    <row r="980" spans="1:11" x14ac:dyDescent="0.3">
      <c r="A980" s="9" t="s">
        <v>1017</v>
      </c>
      <c r="B980" s="9" t="s">
        <v>43</v>
      </c>
      <c r="C980" s="9">
        <v>120</v>
      </c>
      <c r="D980" s="10" t="s">
        <v>33</v>
      </c>
      <c r="E980" s="11">
        <v>45280</v>
      </c>
      <c r="F980" s="9">
        <v>190</v>
      </c>
      <c r="G980" s="9">
        <v>3.7</v>
      </c>
      <c r="H980" s="9">
        <f>IF(MONTH(Call_Table_Data[[#This Row],[Date of Call]])&lt;=3,YEAR(Call_Table_Data[[#This Row],[Date of Call]]),YEAR(Call_Table_Data[[#This Row],[Date of Call]])+1)</f>
        <v>2024</v>
      </c>
      <c r="I980" s="9" t="str">
        <f>TEXT(Call_Table_Data[[#This Row],[Date of Call]],"DDDD")</f>
        <v>Wednesday</v>
      </c>
      <c r="J980" s="9" t="str" cm="1">
        <f t="array" ref="J980">_xlfn.IFS(Call_Table_Data[[#This Row],[Duration]]&lt;=10,"Under 10 Mins",Call_Table_Data[[#This Row],[Duration]]&lt;=30,"10 to 30 Mins",Call_Table_Data[[#This Row],[Duration]]&lt;=60,"30 to 60 Mins",Call_Table_Data[[#This Row],[Duration]]&lt;=120,"1 to 2 Hours",TRUE,"More Than 2 Hours")</f>
        <v>1 to 2 Hours</v>
      </c>
      <c r="K980" s="9">
        <f>ROUND(Call_Table_Data[[#This Row],[Satisfaction Rating]],0)</f>
        <v>4</v>
      </c>
    </row>
    <row r="981" spans="1:11" x14ac:dyDescent="0.3">
      <c r="A981" s="9" t="s">
        <v>1018</v>
      </c>
      <c r="B981" s="9" t="s">
        <v>32</v>
      </c>
      <c r="C981" s="9">
        <v>93</v>
      </c>
      <c r="D981" s="10" t="s">
        <v>40</v>
      </c>
      <c r="E981" s="11">
        <v>45280</v>
      </c>
      <c r="F981" s="9">
        <v>38</v>
      </c>
      <c r="G981" s="9">
        <v>4.5</v>
      </c>
      <c r="H981" s="9">
        <f>IF(MONTH(Call_Table_Data[[#This Row],[Date of Call]])&lt;=3,YEAR(Call_Table_Data[[#This Row],[Date of Call]]),YEAR(Call_Table_Data[[#This Row],[Date of Call]])+1)</f>
        <v>2024</v>
      </c>
      <c r="I981" s="9" t="str">
        <f>TEXT(Call_Table_Data[[#This Row],[Date of Call]],"DDDD")</f>
        <v>Wednesday</v>
      </c>
      <c r="J981" s="9" t="str" cm="1">
        <f t="array" ref="J981">_xlfn.IFS(Call_Table_Data[[#This Row],[Duration]]&lt;=10,"Under 10 Mins",Call_Table_Data[[#This Row],[Duration]]&lt;=30,"10 to 30 Mins",Call_Table_Data[[#This Row],[Duration]]&lt;=60,"30 to 60 Mins",Call_Table_Data[[#This Row],[Duration]]&lt;=120,"1 to 2 Hours",TRUE,"More Than 2 Hours")</f>
        <v>1 to 2 Hours</v>
      </c>
      <c r="K981" s="9">
        <f>ROUND(Call_Table_Data[[#This Row],[Satisfaction Rating]],0)</f>
        <v>5</v>
      </c>
    </row>
    <row r="982" spans="1:11" x14ac:dyDescent="0.3">
      <c r="A982" s="9" t="s">
        <v>1019</v>
      </c>
      <c r="B982" s="9" t="s">
        <v>37</v>
      </c>
      <c r="C982" s="9">
        <v>76</v>
      </c>
      <c r="D982" s="10" t="s">
        <v>27</v>
      </c>
      <c r="E982" s="11">
        <v>45281</v>
      </c>
      <c r="F982" s="9">
        <v>82</v>
      </c>
      <c r="G982" s="9">
        <v>2.1</v>
      </c>
      <c r="H982" s="9">
        <f>IF(MONTH(Call_Table_Data[[#This Row],[Date of Call]])&lt;=3,YEAR(Call_Table_Data[[#This Row],[Date of Call]]),YEAR(Call_Table_Data[[#This Row],[Date of Call]])+1)</f>
        <v>2024</v>
      </c>
      <c r="I982" s="9" t="str">
        <f>TEXT(Call_Table_Data[[#This Row],[Date of Call]],"DDDD")</f>
        <v>Thursday</v>
      </c>
      <c r="J982" s="9" t="str" cm="1">
        <f t="array" ref="J982">_xlfn.IFS(Call_Table_Data[[#This Row],[Duration]]&lt;=10,"Under 10 Mins",Call_Table_Data[[#This Row],[Duration]]&lt;=30,"10 to 30 Mins",Call_Table_Data[[#This Row],[Duration]]&lt;=60,"30 to 60 Mins",Call_Table_Data[[#This Row],[Duration]]&lt;=120,"1 to 2 Hours",TRUE,"More Than 2 Hours")</f>
        <v>1 to 2 Hours</v>
      </c>
      <c r="K982" s="9">
        <f>ROUND(Call_Table_Data[[#This Row],[Satisfaction Rating]],0)</f>
        <v>2</v>
      </c>
    </row>
    <row r="983" spans="1:11" x14ac:dyDescent="0.3">
      <c r="A983" s="9" t="s">
        <v>1020</v>
      </c>
      <c r="B983" s="9" t="s">
        <v>41</v>
      </c>
      <c r="C983" s="9">
        <v>89</v>
      </c>
      <c r="D983" s="10" t="s">
        <v>40</v>
      </c>
      <c r="E983" s="11">
        <v>45284</v>
      </c>
      <c r="F983" s="9">
        <v>88</v>
      </c>
      <c r="G983" s="9">
        <v>2.8</v>
      </c>
      <c r="H983" s="9">
        <f>IF(MONTH(Call_Table_Data[[#This Row],[Date of Call]])&lt;=3,YEAR(Call_Table_Data[[#This Row],[Date of Call]]),YEAR(Call_Table_Data[[#This Row],[Date of Call]])+1)</f>
        <v>2024</v>
      </c>
      <c r="I983" s="9" t="str">
        <f>TEXT(Call_Table_Data[[#This Row],[Date of Call]],"DDDD")</f>
        <v>Sunday</v>
      </c>
      <c r="J983" s="9" t="str" cm="1">
        <f t="array" ref="J983">_xlfn.IFS(Call_Table_Data[[#This Row],[Duration]]&lt;=10,"Under 10 Mins",Call_Table_Data[[#This Row],[Duration]]&lt;=30,"10 to 30 Mins",Call_Table_Data[[#This Row],[Duration]]&lt;=60,"30 to 60 Mins",Call_Table_Data[[#This Row],[Duration]]&lt;=120,"1 to 2 Hours",TRUE,"More Than 2 Hours")</f>
        <v>1 to 2 Hours</v>
      </c>
      <c r="K983" s="9">
        <f>ROUND(Call_Table_Data[[#This Row],[Satisfaction Rating]],0)</f>
        <v>3</v>
      </c>
    </row>
    <row r="984" spans="1:11" x14ac:dyDescent="0.3">
      <c r="A984" s="9" t="s">
        <v>1021</v>
      </c>
      <c r="B984" s="9" t="s">
        <v>30</v>
      </c>
      <c r="C984" s="9">
        <v>91</v>
      </c>
      <c r="D984" s="10" t="s">
        <v>46</v>
      </c>
      <c r="E984" s="11">
        <v>45284</v>
      </c>
      <c r="F984" s="9">
        <v>42</v>
      </c>
      <c r="G984" s="9">
        <v>4.0999999999999996</v>
      </c>
      <c r="H984" s="9">
        <f>IF(MONTH(Call_Table_Data[[#This Row],[Date of Call]])&lt;=3,YEAR(Call_Table_Data[[#This Row],[Date of Call]]),YEAR(Call_Table_Data[[#This Row],[Date of Call]])+1)</f>
        <v>2024</v>
      </c>
      <c r="I984" s="9" t="str">
        <f>TEXT(Call_Table_Data[[#This Row],[Date of Call]],"DDDD")</f>
        <v>Sunday</v>
      </c>
      <c r="J984" s="9" t="str" cm="1">
        <f t="array" ref="J984">_xlfn.IFS(Call_Table_Data[[#This Row],[Duration]]&lt;=10,"Under 10 Mins",Call_Table_Data[[#This Row],[Duration]]&lt;=30,"10 to 30 Mins",Call_Table_Data[[#This Row],[Duration]]&lt;=60,"30 to 60 Mins",Call_Table_Data[[#This Row],[Duration]]&lt;=120,"1 to 2 Hours",TRUE,"More Than 2 Hours")</f>
        <v>1 to 2 Hours</v>
      </c>
      <c r="K984" s="9">
        <f>ROUND(Call_Table_Data[[#This Row],[Satisfaction Rating]],0)</f>
        <v>4</v>
      </c>
    </row>
    <row r="985" spans="1:11" x14ac:dyDescent="0.3">
      <c r="A985" s="9" t="s">
        <v>1022</v>
      </c>
      <c r="B985" s="9" t="s">
        <v>35</v>
      </c>
      <c r="C985" s="9">
        <v>7</v>
      </c>
      <c r="D985" s="10" t="s">
        <v>17</v>
      </c>
      <c r="E985" s="11">
        <v>45285</v>
      </c>
      <c r="F985" s="9">
        <v>64</v>
      </c>
      <c r="G985" s="9">
        <v>3.3</v>
      </c>
      <c r="H985" s="9">
        <f>IF(MONTH(Call_Table_Data[[#This Row],[Date of Call]])&lt;=3,YEAR(Call_Table_Data[[#This Row],[Date of Call]]),YEAR(Call_Table_Data[[#This Row],[Date of Call]])+1)</f>
        <v>2024</v>
      </c>
      <c r="I985" s="9" t="str">
        <f>TEXT(Call_Table_Data[[#This Row],[Date of Call]],"DDDD")</f>
        <v>Monday</v>
      </c>
      <c r="J985" s="9" t="str" cm="1">
        <f t="array" ref="J985">_xlfn.IFS(Call_Table_Data[[#This Row],[Duration]]&lt;=10,"Under 10 Mins",Call_Table_Data[[#This Row],[Duration]]&lt;=30,"10 to 30 Mins",Call_Table_Data[[#This Row],[Duration]]&lt;=60,"30 to 60 Mins",Call_Table_Data[[#This Row],[Duration]]&lt;=120,"1 to 2 Hours",TRUE,"More Than 2 Hours")</f>
        <v>Under 10 Mins</v>
      </c>
      <c r="K985" s="9">
        <f>ROUND(Call_Table_Data[[#This Row],[Satisfaction Rating]],0)</f>
        <v>3</v>
      </c>
    </row>
    <row r="986" spans="1:11" x14ac:dyDescent="0.3">
      <c r="A986" s="9" t="s">
        <v>1023</v>
      </c>
      <c r="B986" s="9" t="s">
        <v>49</v>
      </c>
      <c r="C986" s="9">
        <v>140</v>
      </c>
      <c r="D986" s="10" t="s">
        <v>17</v>
      </c>
      <c r="E986" s="11">
        <v>45285</v>
      </c>
      <c r="F986" s="9">
        <v>105</v>
      </c>
      <c r="G986" s="9">
        <v>1.7</v>
      </c>
      <c r="H986" s="9">
        <f>IF(MONTH(Call_Table_Data[[#This Row],[Date of Call]])&lt;=3,YEAR(Call_Table_Data[[#This Row],[Date of Call]]),YEAR(Call_Table_Data[[#This Row],[Date of Call]])+1)</f>
        <v>2024</v>
      </c>
      <c r="I986" s="9" t="str">
        <f>TEXT(Call_Table_Data[[#This Row],[Date of Call]],"DDDD")</f>
        <v>Monday</v>
      </c>
      <c r="J986" s="9" t="str" cm="1">
        <f t="array" ref="J986">_xlfn.IFS(Call_Table_Data[[#This Row],[Duration]]&lt;=10,"Under 10 Mins",Call_Table_Data[[#This Row],[Duration]]&lt;=30,"10 to 30 Mins",Call_Table_Data[[#This Row],[Duration]]&lt;=60,"30 to 60 Mins",Call_Table_Data[[#This Row],[Duration]]&lt;=120,"1 to 2 Hours",TRUE,"More Than 2 Hours")</f>
        <v>More Than 2 Hours</v>
      </c>
      <c r="K986" s="9">
        <f>ROUND(Call_Table_Data[[#This Row],[Satisfaction Rating]],0)</f>
        <v>2</v>
      </c>
    </row>
    <row r="987" spans="1:11" x14ac:dyDescent="0.3">
      <c r="A987" s="9" t="s">
        <v>1024</v>
      </c>
      <c r="B987" s="9" t="s">
        <v>22</v>
      </c>
      <c r="C987" s="9">
        <v>58</v>
      </c>
      <c r="D987" s="10" t="s">
        <v>33</v>
      </c>
      <c r="E987" s="11">
        <v>45285</v>
      </c>
      <c r="F987" s="9">
        <v>25</v>
      </c>
      <c r="G987" s="9">
        <v>3.6</v>
      </c>
      <c r="H987" s="9">
        <f>IF(MONTH(Call_Table_Data[[#This Row],[Date of Call]])&lt;=3,YEAR(Call_Table_Data[[#This Row],[Date of Call]]),YEAR(Call_Table_Data[[#This Row],[Date of Call]])+1)</f>
        <v>2024</v>
      </c>
      <c r="I987" s="9" t="str">
        <f>TEXT(Call_Table_Data[[#This Row],[Date of Call]],"DDDD")</f>
        <v>Monday</v>
      </c>
      <c r="J987" s="9" t="str" cm="1">
        <f t="array" ref="J987">_xlfn.IFS(Call_Table_Data[[#This Row],[Duration]]&lt;=10,"Under 10 Mins",Call_Table_Data[[#This Row],[Duration]]&lt;=30,"10 to 30 Mins",Call_Table_Data[[#This Row],[Duration]]&lt;=60,"30 to 60 Mins",Call_Table_Data[[#This Row],[Duration]]&lt;=120,"1 to 2 Hours",TRUE,"More Than 2 Hours")</f>
        <v>30 to 60 Mins</v>
      </c>
      <c r="K987" s="9">
        <f>ROUND(Call_Table_Data[[#This Row],[Satisfaction Rating]],0)</f>
        <v>4</v>
      </c>
    </row>
    <row r="988" spans="1:11" x14ac:dyDescent="0.3">
      <c r="A988" s="9" t="s">
        <v>1025</v>
      </c>
      <c r="B988" s="9" t="s">
        <v>16</v>
      </c>
      <c r="C988" s="9">
        <v>90</v>
      </c>
      <c r="D988" s="10" t="s">
        <v>27</v>
      </c>
      <c r="E988" s="11">
        <v>45286</v>
      </c>
      <c r="F988" s="9">
        <v>176</v>
      </c>
      <c r="G988" s="9">
        <v>3.6</v>
      </c>
      <c r="H988" s="9">
        <f>IF(MONTH(Call_Table_Data[[#This Row],[Date of Call]])&lt;=3,YEAR(Call_Table_Data[[#This Row],[Date of Call]]),YEAR(Call_Table_Data[[#This Row],[Date of Call]])+1)</f>
        <v>2024</v>
      </c>
      <c r="I988" s="9" t="str">
        <f>TEXT(Call_Table_Data[[#This Row],[Date of Call]],"DDDD")</f>
        <v>Tuesday</v>
      </c>
      <c r="J988" s="9" t="str" cm="1">
        <f t="array" ref="J988">_xlfn.IFS(Call_Table_Data[[#This Row],[Duration]]&lt;=10,"Under 10 Mins",Call_Table_Data[[#This Row],[Duration]]&lt;=30,"10 to 30 Mins",Call_Table_Data[[#This Row],[Duration]]&lt;=60,"30 to 60 Mins",Call_Table_Data[[#This Row],[Duration]]&lt;=120,"1 to 2 Hours",TRUE,"More Than 2 Hours")</f>
        <v>1 to 2 Hours</v>
      </c>
      <c r="K988" s="9">
        <f>ROUND(Call_Table_Data[[#This Row],[Satisfaction Rating]],0)</f>
        <v>4</v>
      </c>
    </row>
    <row r="989" spans="1:11" x14ac:dyDescent="0.3">
      <c r="A989" s="9" t="s">
        <v>1026</v>
      </c>
      <c r="B989" s="9" t="s">
        <v>16</v>
      </c>
      <c r="C989" s="9">
        <v>106</v>
      </c>
      <c r="D989" s="10" t="s">
        <v>40</v>
      </c>
      <c r="E989" s="11">
        <v>45287</v>
      </c>
      <c r="F989" s="9">
        <v>46</v>
      </c>
      <c r="G989" s="9">
        <v>4.5999999999999996</v>
      </c>
      <c r="H989" s="9">
        <f>IF(MONTH(Call_Table_Data[[#This Row],[Date of Call]])&lt;=3,YEAR(Call_Table_Data[[#This Row],[Date of Call]]),YEAR(Call_Table_Data[[#This Row],[Date of Call]])+1)</f>
        <v>2024</v>
      </c>
      <c r="I989" s="9" t="str">
        <f>TEXT(Call_Table_Data[[#This Row],[Date of Call]],"DDDD")</f>
        <v>Wednesday</v>
      </c>
      <c r="J989" s="9" t="str" cm="1">
        <f t="array" ref="J989">_xlfn.IFS(Call_Table_Data[[#This Row],[Duration]]&lt;=10,"Under 10 Mins",Call_Table_Data[[#This Row],[Duration]]&lt;=30,"10 to 30 Mins",Call_Table_Data[[#This Row],[Duration]]&lt;=60,"30 to 60 Mins",Call_Table_Data[[#This Row],[Duration]]&lt;=120,"1 to 2 Hours",TRUE,"More Than 2 Hours")</f>
        <v>1 to 2 Hours</v>
      </c>
      <c r="K989" s="9">
        <f>ROUND(Call_Table_Data[[#This Row],[Satisfaction Rating]],0)</f>
        <v>5</v>
      </c>
    </row>
    <row r="990" spans="1:11" x14ac:dyDescent="0.3">
      <c r="A990" s="9" t="s">
        <v>1027</v>
      </c>
      <c r="B990" s="9" t="s">
        <v>43</v>
      </c>
      <c r="C990" s="9">
        <v>72</v>
      </c>
      <c r="D990" s="10" t="s">
        <v>17</v>
      </c>
      <c r="E990" s="11">
        <v>45287</v>
      </c>
      <c r="F990" s="9">
        <v>164</v>
      </c>
      <c r="G990" s="9">
        <v>4.8</v>
      </c>
      <c r="H990" s="9">
        <f>IF(MONTH(Call_Table_Data[[#This Row],[Date of Call]])&lt;=3,YEAR(Call_Table_Data[[#This Row],[Date of Call]]),YEAR(Call_Table_Data[[#This Row],[Date of Call]])+1)</f>
        <v>2024</v>
      </c>
      <c r="I990" s="9" t="str">
        <f>TEXT(Call_Table_Data[[#This Row],[Date of Call]],"DDDD")</f>
        <v>Wednesday</v>
      </c>
      <c r="J990" s="9" t="str" cm="1">
        <f t="array" ref="J990">_xlfn.IFS(Call_Table_Data[[#This Row],[Duration]]&lt;=10,"Under 10 Mins",Call_Table_Data[[#This Row],[Duration]]&lt;=30,"10 to 30 Mins",Call_Table_Data[[#This Row],[Duration]]&lt;=60,"30 to 60 Mins",Call_Table_Data[[#This Row],[Duration]]&lt;=120,"1 to 2 Hours",TRUE,"More Than 2 Hours")</f>
        <v>1 to 2 Hours</v>
      </c>
      <c r="K990" s="9">
        <f>ROUND(Call_Table_Data[[#This Row],[Satisfaction Rating]],0)</f>
        <v>5</v>
      </c>
    </row>
    <row r="991" spans="1:11" x14ac:dyDescent="0.3">
      <c r="A991" s="9" t="s">
        <v>1028</v>
      </c>
      <c r="B991" s="9" t="s">
        <v>35</v>
      </c>
      <c r="C991" s="9">
        <v>124</v>
      </c>
      <c r="D991" s="10" t="s">
        <v>17</v>
      </c>
      <c r="E991" s="11">
        <v>45288</v>
      </c>
      <c r="F991" s="9">
        <v>64</v>
      </c>
      <c r="G991" s="9">
        <v>4.5</v>
      </c>
      <c r="H991" s="9">
        <f>IF(MONTH(Call_Table_Data[[#This Row],[Date of Call]])&lt;=3,YEAR(Call_Table_Data[[#This Row],[Date of Call]]),YEAR(Call_Table_Data[[#This Row],[Date of Call]])+1)</f>
        <v>2024</v>
      </c>
      <c r="I991" s="9" t="str">
        <f>TEXT(Call_Table_Data[[#This Row],[Date of Call]],"DDDD")</f>
        <v>Thursday</v>
      </c>
      <c r="J991" s="9" t="str" cm="1">
        <f t="array" ref="J991">_xlfn.IFS(Call_Table_Data[[#This Row],[Duration]]&lt;=10,"Under 10 Mins",Call_Table_Data[[#This Row],[Duration]]&lt;=30,"10 to 30 Mins",Call_Table_Data[[#This Row],[Duration]]&lt;=60,"30 to 60 Mins",Call_Table_Data[[#This Row],[Duration]]&lt;=120,"1 to 2 Hours",TRUE,"More Than 2 Hours")</f>
        <v>More Than 2 Hours</v>
      </c>
      <c r="K991" s="9">
        <f>ROUND(Call_Table_Data[[#This Row],[Satisfaction Rating]],0)</f>
        <v>5</v>
      </c>
    </row>
    <row r="992" spans="1:11" x14ac:dyDescent="0.3">
      <c r="A992" s="9" t="s">
        <v>1029</v>
      </c>
      <c r="B992" s="9" t="s">
        <v>23</v>
      </c>
      <c r="C992" s="9">
        <v>86</v>
      </c>
      <c r="D992" s="10" t="s">
        <v>46</v>
      </c>
      <c r="E992" s="11">
        <v>45288</v>
      </c>
      <c r="F992" s="9">
        <v>205</v>
      </c>
      <c r="G992" s="9">
        <v>4.5</v>
      </c>
      <c r="H992" s="9">
        <f>IF(MONTH(Call_Table_Data[[#This Row],[Date of Call]])&lt;=3,YEAR(Call_Table_Data[[#This Row],[Date of Call]]),YEAR(Call_Table_Data[[#This Row],[Date of Call]])+1)</f>
        <v>2024</v>
      </c>
      <c r="I992" s="9" t="str">
        <f>TEXT(Call_Table_Data[[#This Row],[Date of Call]],"DDDD")</f>
        <v>Thursday</v>
      </c>
      <c r="J992" s="9" t="str" cm="1">
        <f t="array" ref="J992">_xlfn.IFS(Call_Table_Data[[#This Row],[Duration]]&lt;=10,"Under 10 Mins",Call_Table_Data[[#This Row],[Duration]]&lt;=30,"10 to 30 Mins",Call_Table_Data[[#This Row],[Duration]]&lt;=60,"30 to 60 Mins",Call_Table_Data[[#This Row],[Duration]]&lt;=120,"1 to 2 Hours",TRUE,"More Than 2 Hours")</f>
        <v>1 to 2 Hours</v>
      </c>
      <c r="K992" s="9">
        <f>ROUND(Call_Table_Data[[#This Row],[Satisfaction Rating]],0)</f>
        <v>5</v>
      </c>
    </row>
    <row r="993" spans="1:11" x14ac:dyDescent="0.3">
      <c r="A993" s="9" t="s">
        <v>1030</v>
      </c>
      <c r="B993" s="9" t="s">
        <v>26</v>
      </c>
      <c r="C993" s="9">
        <v>164</v>
      </c>
      <c r="D993" s="10" t="s">
        <v>46</v>
      </c>
      <c r="E993" s="11">
        <v>45289</v>
      </c>
      <c r="F993" s="9">
        <v>100</v>
      </c>
      <c r="G993" s="9">
        <v>4.5999999999999996</v>
      </c>
      <c r="H993" s="9">
        <f>IF(MONTH(Call_Table_Data[[#This Row],[Date of Call]])&lt;=3,YEAR(Call_Table_Data[[#This Row],[Date of Call]]),YEAR(Call_Table_Data[[#This Row],[Date of Call]])+1)</f>
        <v>2024</v>
      </c>
      <c r="I993" s="9" t="str">
        <f>TEXT(Call_Table_Data[[#This Row],[Date of Call]],"DDDD")</f>
        <v>Friday</v>
      </c>
      <c r="J993" s="9" t="str" cm="1">
        <f t="array" ref="J993">_xlfn.IFS(Call_Table_Data[[#This Row],[Duration]]&lt;=10,"Under 10 Mins",Call_Table_Data[[#This Row],[Duration]]&lt;=30,"10 to 30 Mins",Call_Table_Data[[#This Row],[Duration]]&lt;=60,"30 to 60 Mins",Call_Table_Data[[#This Row],[Duration]]&lt;=120,"1 to 2 Hours",TRUE,"More Than 2 Hours")</f>
        <v>More Than 2 Hours</v>
      </c>
      <c r="K993" s="9">
        <f>ROUND(Call_Table_Data[[#This Row],[Satisfaction Rating]],0)</f>
        <v>5</v>
      </c>
    </row>
    <row r="994" spans="1:11" x14ac:dyDescent="0.3">
      <c r="A994" s="9" t="s">
        <v>1031</v>
      </c>
      <c r="B994" s="9" t="s">
        <v>32</v>
      </c>
      <c r="C994" s="9">
        <v>40</v>
      </c>
      <c r="D994" s="10" t="s">
        <v>27</v>
      </c>
      <c r="E994" s="11">
        <v>45289</v>
      </c>
      <c r="F994" s="9">
        <v>111</v>
      </c>
      <c r="G994" s="9">
        <v>4.5999999999999996</v>
      </c>
      <c r="H994" s="9">
        <f>IF(MONTH(Call_Table_Data[[#This Row],[Date of Call]])&lt;=3,YEAR(Call_Table_Data[[#This Row],[Date of Call]]),YEAR(Call_Table_Data[[#This Row],[Date of Call]])+1)</f>
        <v>2024</v>
      </c>
      <c r="I994" s="9" t="str">
        <f>TEXT(Call_Table_Data[[#This Row],[Date of Call]],"DDDD")</f>
        <v>Friday</v>
      </c>
      <c r="J994" s="9" t="str" cm="1">
        <f t="array" ref="J994">_xlfn.IFS(Call_Table_Data[[#This Row],[Duration]]&lt;=10,"Under 10 Mins",Call_Table_Data[[#This Row],[Duration]]&lt;=30,"10 to 30 Mins",Call_Table_Data[[#This Row],[Duration]]&lt;=60,"30 to 60 Mins",Call_Table_Data[[#This Row],[Duration]]&lt;=120,"1 to 2 Hours",TRUE,"More Than 2 Hours")</f>
        <v>30 to 60 Mins</v>
      </c>
      <c r="K994" s="9">
        <f>ROUND(Call_Table_Data[[#This Row],[Satisfaction Rating]],0)</f>
        <v>5</v>
      </c>
    </row>
    <row r="995" spans="1:11" x14ac:dyDescent="0.3">
      <c r="A995" s="9" t="s">
        <v>1032</v>
      </c>
      <c r="B995" s="9" t="s">
        <v>30</v>
      </c>
      <c r="C995" s="9">
        <v>76</v>
      </c>
      <c r="D995" s="10" t="s">
        <v>33</v>
      </c>
      <c r="E995" s="11">
        <v>45289</v>
      </c>
      <c r="F995" s="9">
        <v>80</v>
      </c>
      <c r="G995" s="9">
        <v>3.5</v>
      </c>
      <c r="H995" s="9">
        <f>IF(MONTH(Call_Table_Data[[#This Row],[Date of Call]])&lt;=3,YEAR(Call_Table_Data[[#This Row],[Date of Call]]),YEAR(Call_Table_Data[[#This Row],[Date of Call]])+1)</f>
        <v>2024</v>
      </c>
      <c r="I995" s="9" t="str">
        <f>TEXT(Call_Table_Data[[#This Row],[Date of Call]],"DDDD")</f>
        <v>Friday</v>
      </c>
      <c r="J995" s="9" t="str" cm="1">
        <f t="array" ref="J995">_xlfn.IFS(Call_Table_Data[[#This Row],[Duration]]&lt;=10,"Under 10 Mins",Call_Table_Data[[#This Row],[Duration]]&lt;=30,"10 to 30 Mins",Call_Table_Data[[#This Row],[Duration]]&lt;=60,"30 to 60 Mins",Call_Table_Data[[#This Row],[Duration]]&lt;=120,"1 to 2 Hours",TRUE,"More Than 2 Hours")</f>
        <v>1 to 2 Hours</v>
      </c>
      <c r="K995" s="9">
        <f>ROUND(Call_Table_Data[[#This Row],[Satisfaction Rating]],0)</f>
        <v>4</v>
      </c>
    </row>
    <row r="996" spans="1:11" x14ac:dyDescent="0.3">
      <c r="A996" s="9" t="s">
        <v>1033</v>
      </c>
      <c r="B996" s="9" t="s">
        <v>35</v>
      </c>
      <c r="C996" s="9">
        <v>95</v>
      </c>
      <c r="D996" s="10" t="s">
        <v>40</v>
      </c>
      <c r="E996" s="11">
        <v>45289</v>
      </c>
      <c r="F996" s="9">
        <v>50</v>
      </c>
      <c r="G996" s="9">
        <v>2.9</v>
      </c>
      <c r="H996" s="9">
        <f>IF(MONTH(Call_Table_Data[[#This Row],[Date of Call]])&lt;=3,YEAR(Call_Table_Data[[#This Row],[Date of Call]]),YEAR(Call_Table_Data[[#This Row],[Date of Call]])+1)</f>
        <v>2024</v>
      </c>
      <c r="I996" s="9" t="str">
        <f>TEXT(Call_Table_Data[[#This Row],[Date of Call]],"DDDD")</f>
        <v>Friday</v>
      </c>
      <c r="J996" s="9" t="str" cm="1">
        <f t="array" ref="J996">_xlfn.IFS(Call_Table_Data[[#This Row],[Duration]]&lt;=10,"Under 10 Mins",Call_Table_Data[[#This Row],[Duration]]&lt;=30,"10 to 30 Mins",Call_Table_Data[[#This Row],[Duration]]&lt;=60,"30 to 60 Mins",Call_Table_Data[[#This Row],[Duration]]&lt;=120,"1 to 2 Hours",TRUE,"More Than 2 Hours")</f>
        <v>1 to 2 Hours</v>
      </c>
      <c r="K996" s="9">
        <f>ROUND(Call_Table_Data[[#This Row],[Satisfaction Rating]],0)</f>
        <v>3</v>
      </c>
    </row>
    <row r="997" spans="1:11" x14ac:dyDescent="0.3">
      <c r="A997" s="9" t="s">
        <v>1034</v>
      </c>
      <c r="B997" s="9" t="s">
        <v>30</v>
      </c>
      <c r="C997" s="9">
        <v>113</v>
      </c>
      <c r="D997" s="10" t="s">
        <v>17</v>
      </c>
      <c r="E997" s="11">
        <v>45290</v>
      </c>
      <c r="F997" s="9">
        <v>165</v>
      </c>
      <c r="G997" s="9">
        <v>4.7</v>
      </c>
      <c r="H997" s="9">
        <f>IF(MONTH(Call_Table_Data[[#This Row],[Date of Call]])&lt;=3,YEAR(Call_Table_Data[[#This Row],[Date of Call]]),YEAR(Call_Table_Data[[#This Row],[Date of Call]])+1)</f>
        <v>2024</v>
      </c>
      <c r="I997" s="9" t="str">
        <f>TEXT(Call_Table_Data[[#This Row],[Date of Call]],"DDDD")</f>
        <v>Saturday</v>
      </c>
      <c r="J997" s="9" t="str" cm="1">
        <f t="array" ref="J997">_xlfn.IFS(Call_Table_Data[[#This Row],[Duration]]&lt;=10,"Under 10 Mins",Call_Table_Data[[#This Row],[Duration]]&lt;=30,"10 to 30 Mins",Call_Table_Data[[#This Row],[Duration]]&lt;=60,"30 to 60 Mins",Call_Table_Data[[#This Row],[Duration]]&lt;=120,"1 to 2 Hours",TRUE,"More Than 2 Hours")</f>
        <v>1 to 2 Hours</v>
      </c>
      <c r="K997" s="9">
        <f>ROUND(Call_Table_Data[[#This Row],[Satisfaction Rating]],0)</f>
        <v>5</v>
      </c>
    </row>
    <row r="998" spans="1:11" x14ac:dyDescent="0.3">
      <c r="A998" s="9" t="s">
        <v>1035</v>
      </c>
      <c r="B998" s="9" t="s">
        <v>23</v>
      </c>
      <c r="C998" s="9">
        <v>81</v>
      </c>
      <c r="D998" s="10" t="s">
        <v>17</v>
      </c>
      <c r="E998" s="11">
        <v>45290</v>
      </c>
      <c r="F998" s="9">
        <v>28</v>
      </c>
      <c r="G998" s="9">
        <v>3.9</v>
      </c>
      <c r="H998" s="9">
        <f>IF(MONTH(Call_Table_Data[[#This Row],[Date of Call]])&lt;=3,YEAR(Call_Table_Data[[#This Row],[Date of Call]]),YEAR(Call_Table_Data[[#This Row],[Date of Call]])+1)</f>
        <v>2024</v>
      </c>
      <c r="I998" s="9" t="str">
        <f>TEXT(Call_Table_Data[[#This Row],[Date of Call]],"DDDD")</f>
        <v>Saturday</v>
      </c>
      <c r="J998" s="9" t="str" cm="1">
        <f t="array" ref="J998">_xlfn.IFS(Call_Table_Data[[#This Row],[Duration]]&lt;=10,"Under 10 Mins",Call_Table_Data[[#This Row],[Duration]]&lt;=30,"10 to 30 Mins",Call_Table_Data[[#This Row],[Duration]]&lt;=60,"30 to 60 Mins",Call_Table_Data[[#This Row],[Duration]]&lt;=120,"1 to 2 Hours",TRUE,"More Than 2 Hours")</f>
        <v>1 to 2 Hours</v>
      </c>
      <c r="K998" s="9">
        <f>ROUND(Call_Table_Data[[#This Row],[Satisfaction Rating]],0)</f>
        <v>4</v>
      </c>
    </row>
    <row r="999" spans="1:11" x14ac:dyDescent="0.3">
      <c r="A999" s="9" t="s">
        <v>1036</v>
      </c>
      <c r="B999" s="9" t="s">
        <v>37</v>
      </c>
      <c r="C999" s="9">
        <v>127</v>
      </c>
      <c r="D999" s="10" t="s">
        <v>40</v>
      </c>
      <c r="E999" s="11">
        <v>45290</v>
      </c>
      <c r="F999" s="9">
        <v>215</v>
      </c>
      <c r="G999" s="9">
        <v>3.8</v>
      </c>
      <c r="H999" s="9">
        <f>IF(MONTH(Call_Table_Data[[#This Row],[Date of Call]])&lt;=3,YEAR(Call_Table_Data[[#This Row],[Date of Call]]),YEAR(Call_Table_Data[[#This Row],[Date of Call]])+1)</f>
        <v>2024</v>
      </c>
      <c r="I999" s="9" t="str">
        <f>TEXT(Call_Table_Data[[#This Row],[Date of Call]],"DDDD")</f>
        <v>Saturday</v>
      </c>
      <c r="J999" s="9" t="str" cm="1">
        <f t="array" ref="J999">_xlfn.IFS(Call_Table_Data[[#This Row],[Duration]]&lt;=10,"Under 10 Mins",Call_Table_Data[[#This Row],[Duration]]&lt;=30,"10 to 30 Mins",Call_Table_Data[[#This Row],[Duration]]&lt;=60,"30 to 60 Mins",Call_Table_Data[[#This Row],[Duration]]&lt;=120,"1 to 2 Hours",TRUE,"More Than 2 Hours")</f>
        <v>More Than 2 Hours</v>
      </c>
      <c r="K999" s="9">
        <f>ROUND(Call_Table_Data[[#This Row],[Satisfaction Rating]],0)</f>
        <v>4</v>
      </c>
    </row>
    <row r="1000" spans="1:11" x14ac:dyDescent="0.3">
      <c r="A1000" s="9" t="s">
        <v>1037</v>
      </c>
      <c r="B1000" s="9" t="s">
        <v>49</v>
      </c>
      <c r="C1000" s="9">
        <v>146</v>
      </c>
      <c r="D1000" s="10" t="s">
        <v>17</v>
      </c>
      <c r="E1000" s="11">
        <v>45291</v>
      </c>
      <c r="F1000" s="9">
        <v>115</v>
      </c>
      <c r="G1000" s="9">
        <v>2.2999999999999998</v>
      </c>
      <c r="H1000" s="9">
        <f>IF(MONTH(Call_Table_Data[[#This Row],[Date of Call]])&lt;=3,YEAR(Call_Table_Data[[#This Row],[Date of Call]]),YEAR(Call_Table_Data[[#This Row],[Date of Call]])+1)</f>
        <v>2024</v>
      </c>
      <c r="I1000" s="9" t="str">
        <f>TEXT(Call_Table_Data[[#This Row],[Date of Call]],"DDDD")</f>
        <v>Sunday</v>
      </c>
      <c r="J1000" s="9" t="str" cm="1">
        <f t="array" ref="J1000">_xlfn.IFS(Call_Table_Data[[#This Row],[Duration]]&lt;=10,"Under 10 Mins",Call_Table_Data[[#This Row],[Duration]]&lt;=30,"10 to 30 Mins",Call_Table_Data[[#This Row],[Duration]]&lt;=60,"30 to 60 Mins",Call_Table_Data[[#This Row],[Duration]]&lt;=120,"1 to 2 Hours",TRUE,"More Than 2 Hours")</f>
        <v>More Than 2 Hours</v>
      </c>
      <c r="K1000" s="9">
        <f>ROUND(Call_Table_Data[[#This Row],[Satisfaction Rating]],0)</f>
        <v>2</v>
      </c>
    </row>
    <row r="1001" spans="1:11" x14ac:dyDescent="0.3">
      <c r="A1001" s="9" t="s">
        <v>1038</v>
      </c>
      <c r="B1001" s="9" t="s">
        <v>45</v>
      </c>
      <c r="C1001" s="9">
        <v>123</v>
      </c>
      <c r="D1001" s="10" t="s">
        <v>17</v>
      </c>
      <c r="E1001" s="11">
        <v>45291</v>
      </c>
      <c r="F1001" s="9">
        <v>64</v>
      </c>
      <c r="G1001" s="9">
        <v>3.7</v>
      </c>
      <c r="H1001" s="9">
        <f>IF(MONTH(Call_Table_Data[[#This Row],[Date of Call]])&lt;=3,YEAR(Call_Table_Data[[#This Row],[Date of Call]]),YEAR(Call_Table_Data[[#This Row],[Date of Call]])+1)</f>
        <v>2024</v>
      </c>
      <c r="I1001" s="9" t="str">
        <f>TEXT(Call_Table_Data[[#This Row],[Date of Call]],"DDDD")</f>
        <v>Sunday</v>
      </c>
      <c r="J1001" s="9" t="str" cm="1">
        <f t="array" ref="J1001">_xlfn.IFS(Call_Table_Data[[#This Row],[Duration]]&lt;=10,"Under 10 Mins",Call_Table_Data[[#This Row],[Duration]]&lt;=30,"10 to 30 Mins",Call_Table_Data[[#This Row],[Duration]]&lt;=60,"30 to 60 Mins",Call_Table_Data[[#This Row],[Duration]]&lt;=120,"1 to 2 Hours",TRUE,"More Than 2 Hours")</f>
        <v>More Than 2 Hours</v>
      </c>
      <c r="K1001" s="9">
        <f>ROUND(Call_Table_Data[[#This Row],[Satisfaction Rating]],0)</f>
        <v>4</v>
      </c>
    </row>
    <row r="1002" spans="1:11" x14ac:dyDescent="0.3">
      <c r="A1002" s="9" t="s">
        <v>1039</v>
      </c>
      <c r="B1002" s="9" t="s">
        <v>43</v>
      </c>
      <c r="C1002" s="9">
        <v>114</v>
      </c>
      <c r="D1002" s="10" t="s">
        <v>33</v>
      </c>
      <c r="E1002" s="11">
        <v>45291</v>
      </c>
      <c r="F1002" s="9">
        <v>40</v>
      </c>
      <c r="G1002" s="9">
        <v>3.9</v>
      </c>
      <c r="H1002" s="9">
        <f>IF(MONTH(Call_Table_Data[[#This Row],[Date of Call]])&lt;=3,YEAR(Call_Table_Data[[#This Row],[Date of Call]]),YEAR(Call_Table_Data[[#This Row],[Date of Call]])+1)</f>
        <v>2024</v>
      </c>
      <c r="I1002" s="9" t="str">
        <f>TEXT(Call_Table_Data[[#This Row],[Date of Call]],"DDDD")</f>
        <v>Sunday</v>
      </c>
      <c r="J1002" s="9" t="str" cm="1">
        <f t="array" ref="J1002">_xlfn.IFS(Call_Table_Data[[#This Row],[Duration]]&lt;=10,"Under 10 Mins",Call_Table_Data[[#This Row],[Duration]]&lt;=30,"10 to 30 Mins",Call_Table_Data[[#This Row],[Duration]]&lt;=60,"30 to 60 Mins",Call_Table_Data[[#This Row],[Duration]]&lt;=120,"1 to 2 Hours",TRUE,"More Than 2 Hours")</f>
        <v>1 to 2 Hours</v>
      </c>
      <c r="K1002" s="9">
        <f>ROUND(Call_Table_Data[[#This Row],[Satisfaction Rating]],0)</f>
        <v>4</v>
      </c>
    </row>
  </sheetData>
  <mergeCells count="1">
    <mergeCell ref="A1:K1"/>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46843-0B32-4A34-96A4-85479ECCAB07}">
  <dimension ref="A1:R82"/>
  <sheetViews>
    <sheetView topLeftCell="A27" zoomScaleNormal="100" workbookViewId="0">
      <selection activeCell="P25" sqref="P25"/>
    </sheetView>
  </sheetViews>
  <sheetFormatPr defaultRowHeight="14.2" x14ac:dyDescent="0.3"/>
  <cols>
    <col min="1" max="1" width="5" customWidth="1"/>
    <col min="2" max="2" width="40.19921875" bestFit="1" customWidth="1"/>
    <col min="3" max="3" width="19.796875" bestFit="1" customWidth="1"/>
    <col min="4" max="4" width="5.5" customWidth="1"/>
    <col min="5" max="5" width="85.8984375" customWidth="1"/>
    <col min="6" max="6" width="28.09765625" bestFit="1" customWidth="1"/>
    <col min="7" max="7" width="39.3984375" bestFit="1" customWidth="1"/>
    <col min="8" max="8" width="5" customWidth="1"/>
    <col min="9" max="9" width="22.3984375" customWidth="1"/>
    <col min="11" max="11" width="8.19921875" customWidth="1"/>
    <col min="18" max="18" width="11.69921875" bestFit="1" customWidth="1"/>
  </cols>
  <sheetData>
    <row r="1" spans="1:9" x14ac:dyDescent="0.3">
      <c r="A1" s="21" t="s">
        <v>1040</v>
      </c>
      <c r="B1" s="21" t="s">
        <v>1041</v>
      </c>
      <c r="C1" s="21" t="s">
        <v>1069</v>
      </c>
      <c r="D1" s="21" t="s">
        <v>1042</v>
      </c>
      <c r="E1" s="21" t="s">
        <v>1043</v>
      </c>
      <c r="F1" s="21" t="s">
        <v>1044</v>
      </c>
      <c r="G1" s="21" t="s">
        <v>1045</v>
      </c>
      <c r="H1" s="21" t="s">
        <v>1046</v>
      </c>
      <c r="I1" s="21" t="s">
        <v>1047</v>
      </c>
    </row>
    <row r="2" spans="1:9" ht="56.7" x14ac:dyDescent="0.3">
      <c r="A2" s="65">
        <v>1</v>
      </c>
      <c r="B2" s="67" t="s">
        <v>1048</v>
      </c>
      <c r="C2" s="26"/>
      <c r="D2" s="22">
        <v>1</v>
      </c>
      <c r="E2" s="23" t="s">
        <v>1049</v>
      </c>
      <c r="F2" s="22"/>
      <c r="G2" s="22"/>
      <c r="H2" s="22"/>
      <c r="I2" s="22" t="s">
        <v>1050</v>
      </c>
    </row>
    <row r="3" spans="1:9" x14ac:dyDescent="0.3">
      <c r="A3" s="66"/>
      <c r="B3" s="68"/>
      <c r="C3" s="27"/>
      <c r="D3" s="22">
        <v>2</v>
      </c>
      <c r="E3" s="23" t="s">
        <v>1051</v>
      </c>
      <c r="F3" s="22"/>
      <c r="G3" s="22"/>
      <c r="H3" s="22"/>
      <c r="I3" s="22" t="s">
        <v>1052</v>
      </c>
    </row>
    <row r="4" spans="1:9" ht="56.7" x14ac:dyDescent="0.3">
      <c r="A4" s="22">
        <v>2</v>
      </c>
      <c r="B4" s="23" t="s">
        <v>1055</v>
      </c>
      <c r="C4" s="23"/>
      <c r="D4" s="22">
        <v>1</v>
      </c>
      <c r="E4" s="23" t="s">
        <v>1061</v>
      </c>
      <c r="F4" s="22"/>
      <c r="G4" s="23" t="s">
        <v>1053</v>
      </c>
      <c r="H4" s="22"/>
      <c r="I4" s="23" t="s">
        <v>1056</v>
      </c>
    </row>
    <row r="5" spans="1:9" ht="28.35" x14ac:dyDescent="0.3">
      <c r="A5" s="63">
        <v>3</v>
      </c>
      <c r="B5" s="58" t="s">
        <v>1054</v>
      </c>
      <c r="C5" s="58"/>
      <c r="D5" s="22">
        <v>1</v>
      </c>
      <c r="E5" s="23" t="s">
        <v>1057</v>
      </c>
      <c r="F5" s="22"/>
      <c r="G5" s="22"/>
      <c r="H5" s="22"/>
      <c r="I5" s="22"/>
    </row>
    <row r="6" spans="1:9" x14ac:dyDescent="0.3">
      <c r="A6" s="69"/>
      <c r="B6" s="59"/>
      <c r="C6" s="59"/>
      <c r="D6" s="22">
        <v>2</v>
      </c>
      <c r="E6" s="23" t="s">
        <v>1058</v>
      </c>
      <c r="F6" s="22"/>
      <c r="G6" s="22"/>
      <c r="H6" s="22"/>
      <c r="I6" s="22"/>
    </row>
    <row r="7" spans="1:9" x14ac:dyDescent="0.3">
      <c r="A7" s="69"/>
      <c r="B7" s="59"/>
      <c r="C7" s="59"/>
      <c r="D7" s="22">
        <v>3</v>
      </c>
      <c r="E7" s="23" t="s">
        <v>1059</v>
      </c>
      <c r="F7" s="22"/>
      <c r="G7" s="22"/>
      <c r="H7" s="22"/>
      <c r="I7" s="22"/>
    </row>
    <row r="8" spans="1:9" x14ac:dyDescent="0.3">
      <c r="A8" s="64"/>
      <c r="B8" s="60"/>
      <c r="C8" s="60"/>
      <c r="D8" s="22">
        <v>4</v>
      </c>
      <c r="E8" s="23" t="s">
        <v>1062</v>
      </c>
      <c r="F8" s="22"/>
      <c r="G8" s="22"/>
      <c r="H8" s="22"/>
      <c r="I8" s="22"/>
    </row>
    <row r="9" spans="1:9" ht="42.55" x14ac:dyDescent="0.3">
      <c r="A9" s="63">
        <v>4</v>
      </c>
      <c r="B9" s="61" t="s">
        <v>1060</v>
      </c>
      <c r="C9" s="15" t="s">
        <v>1065</v>
      </c>
      <c r="D9" s="22">
        <v>1</v>
      </c>
      <c r="E9" s="23" t="s">
        <v>1067</v>
      </c>
      <c r="F9" s="22"/>
      <c r="G9" s="22"/>
      <c r="H9" s="22"/>
      <c r="I9" s="22"/>
    </row>
    <row r="10" spans="1:9" x14ac:dyDescent="0.3">
      <c r="A10" s="64"/>
      <c r="B10" s="62"/>
      <c r="C10" s="15" t="s">
        <v>1066</v>
      </c>
      <c r="D10" s="22">
        <v>1</v>
      </c>
      <c r="E10" s="23" t="s">
        <v>1068</v>
      </c>
      <c r="F10" s="28" t="s">
        <v>1064</v>
      </c>
      <c r="G10" s="22" t="s">
        <v>1063</v>
      </c>
      <c r="H10" s="22"/>
      <c r="I10" s="22"/>
    </row>
    <row r="11" spans="1:9" ht="28.35" x14ac:dyDescent="0.3">
      <c r="A11" s="22"/>
      <c r="B11" s="23"/>
      <c r="C11" s="23"/>
      <c r="D11" s="22">
        <v>2</v>
      </c>
      <c r="E11" s="23" t="s">
        <v>1071</v>
      </c>
      <c r="F11" s="22"/>
      <c r="G11" s="22"/>
      <c r="H11" s="22"/>
      <c r="I11" s="22"/>
    </row>
    <row r="12" spans="1:9" x14ac:dyDescent="0.3">
      <c r="A12" s="22"/>
      <c r="B12" s="23"/>
      <c r="C12" s="23"/>
      <c r="D12" s="22">
        <v>3</v>
      </c>
      <c r="E12" s="23" t="s">
        <v>1072</v>
      </c>
      <c r="F12" s="22"/>
      <c r="G12" s="22"/>
      <c r="H12" s="22"/>
      <c r="I12" s="22"/>
    </row>
    <row r="13" spans="1:9" x14ac:dyDescent="0.3">
      <c r="A13" s="22"/>
      <c r="B13" s="23"/>
      <c r="C13" s="23"/>
      <c r="D13" s="22">
        <v>4</v>
      </c>
      <c r="E13" s="23" t="s">
        <v>1077</v>
      </c>
      <c r="F13" s="22"/>
      <c r="G13" s="22"/>
      <c r="H13" s="22"/>
      <c r="I13" s="22"/>
    </row>
    <row r="14" spans="1:9" x14ac:dyDescent="0.3">
      <c r="A14" s="22"/>
      <c r="B14" s="23"/>
      <c r="C14" s="23"/>
      <c r="D14" s="22">
        <v>5</v>
      </c>
      <c r="E14" s="23" t="s">
        <v>1078</v>
      </c>
      <c r="F14" s="22"/>
      <c r="G14" s="22"/>
      <c r="H14" s="22"/>
      <c r="I14" s="22"/>
    </row>
    <row r="15" spans="1:9" ht="28.35" x14ac:dyDescent="0.3">
      <c r="A15" s="63"/>
      <c r="B15" s="61" t="s">
        <v>1079</v>
      </c>
      <c r="C15" s="23"/>
      <c r="D15" s="22">
        <v>1</v>
      </c>
      <c r="E15" s="23" t="s">
        <v>1080</v>
      </c>
      <c r="F15" s="22"/>
      <c r="G15" s="22"/>
      <c r="H15" s="22"/>
      <c r="I15" s="22"/>
    </row>
    <row r="16" spans="1:9" x14ac:dyDescent="0.3">
      <c r="A16" s="64"/>
      <c r="B16" s="62"/>
      <c r="C16" s="23"/>
      <c r="D16" s="22">
        <v>2</v>
      </c>
      <c r="E16" s="23" t="s">
        <v>1147</v>
      </c>
      <c r="F16" s="22"/>
      <c r="G16" s="22"/>
      <c r="H16" s="22"/>
      <c r="I16" s="22"/>
    </row>
    <row r="17" spans="1:18" x14ac:dyDescent="0.3">
      <c r="A17" s="22">
        <v>5</v>
      </c>
      <c r="B17" s="23" t="s">
        <v>1081</v>
      </c>
      <c r="C17" s="23" t="s">
        <v>1082</v>
      </c>
      <c r="D17" s="22">
        <v>1</v>
      </c>
      <c r="E17" s="23" t="s">
        <v>1083</v>
      </c>
      <c r="F17" s="22"/>
      <c r="G17" s="22"/>
      <c r="H17" s="22"/>
      <c r="I17" s="22"/>
      <c r="Q17" t="s">
        <v>1086</v>
      </c>
      <c r="R17" t="s">
        <v>1087</v>
      </c>
    </row>
    <row r="18" spans="1:18" x14ac:dyDescent="0.3">
      <c r="A18" s="22"/>
      <c r="B18" s="23"/>
      <c r="C18" s="23"/>
      <c r="D18" s="22">
        <v>2</v>
      </c>
      <c r="E18" s="23" t="s">
        <v>1084</v>
      </c>
      <c r="F18" s="22"/>
      <c r="G18" s="22"/>
      <c r="H18" s="22"/>
      <c r="I18" s="22"/>
      <c r="Q18" t="s">
        <v>33</v>
      </c>
      <c r="R18" t="e" vm="1">
        <v>#VALUE!</v>
      </c>
    </row>
    <row r="19" spans="1:18" x14ac:dyDescent="0.3">
      <c r="A19" s="25"/>
      <c r="B19" s="26"/>
      <c r="C19" s="26"/>
      <c r="D19" s="25">
        <v>3</v>
      </c>
      <c r="E19" s="34" t="s">
        <v>1085</v>
      </c>
      <c r="F19" s="25"/>
      <c r="G19" s="25"/>
      <c r="H19" s="25"/>
      <c r="I19" s="25"/>
      <c r="Q19" t="s">
        <v>27</v>
      </c>
      <c r="R19" t="e" vm="2">
        <v>#VALUE!</v>
      </c>
    </row>
    <row r="20" spans="1:18" x14ac:dyDescent="0.3">
      <c r="A20" s="22"/>
      <c r="B20" s="22"/>
      <c r="C20" s="22" t="s">
        <v>1088</v>
      </c>
      <c r="D20" s="22">
        <v>1</v>
      </c>
      <c r="E20" s="22" t="s">
        <v>1090</v>
      </c>
      <c r="F20" s="22"/>
      <c r="G20" s="22"/>
      <c r="H20" s="22"/>
      <c r="I20" s="22"/>
      <c r="Q20" t="s">
        <v>46</v>
      </c>
      <c r="R20" t="e" vm="3">
        <v>#VALUE!</v>
      </c>
    </row>
    <row r="21" spans="1:18" x14ac:dyDescent="0.3">
      <c r="A21" s="22"/>
      <c r="B21" s="22"/>
      <c r="C21" s="22"/>
      <c r="D21" s="22">
        <v>2</v>
      </c>
      <c r="E21" s="23" t="s">
        <v>1084</v>
      </c>
      <c r="F21" s="22"/>
      <c r="G21" s="22"/>
      <c r="H21" s="22"/>
      <c r="I21" s="22"/>
      <c r="J21" s="35"/>
      <c r="K21" s="35"/>
      <c r="L21" s="35"/>
      <c r="M21" s="35"/>
      <c r="N21" s="35"/>
      <c r="O21" s="35"/>
      <c r="P21" s="35"/>
      <c r="Q21" s="35" t="s">
        <v>40</v>
      </c>
      <c r="R21" t="e" vm="4">
        <v>#VALUE!</v>
      </c>
    </row>
    <row r="22" spans="1:18" x14ac:dyDescent="0.3">
      <c r="A22" s="22"/>
      <c r="B22" s="22"/>
      <c r="C22" s="22"/>
      <c r="D22" s="25">
        <v>3</v>
      </c>
      <c r="E22" s="34" t="s">
        <v>1085</v>
      </c>
      <c r="F22" s="22"/>
      <c r="G22" s="22"/>
      <c r="H22" s="22"/>
      <c r="I22" s="22"/>
      <c r="J22" s="35"/>
      <c r="K22" s="35"/>
      <c r="L22" s="35"/>
      <c r="M22" s="35"/>
      <c r="N22" s="35"/>
      <c r="O22" s="35"/>
      <c r="P22" s="35"/>
      <c r="Q22" s="35" t="s">
        <v>17</v>
      </c>
      <c r="R22" t="e" vm="5">
        <v>#VALUE!</v>
      </c>
    </row>
    <row r="23" spans="1:18" x14ac:dyDescent="0.3">
      <c r="A23" s="22"/>
      <c r="B23" s="22"/>
      <c r="C23" s="22" t="s">
        <v>1091</v>
      </c>
      <c r="D23" s="22">
        <v>1</v>
      </c>
      <c r="E23" s="22" t="s">
        <v>1092</v>
      </c>
      <c r="F23" s="22"/>
      <c r="G23" s="22"/>
      <c r="H23" s="22"/>
      <c r="I23" s="22"/>
      <c r="J23" s="35"/>
      <c r="K23" s="35"/>
      <c r="L23" s="35"/>
      <c r="M23" s="35"/>
      <c r="N23" s="35"/>
      <c r="O23" s="35"/>
      <c r="P23" s="35"/>
      <c r="Q23" s="35"/>
    </row>
    <row r="24" spans="1:18" x14ac:dyDescent="0.3">
      <c r="A24" s="22"/>
      <c r="B24" s="22"/>
      <c r="C24" s="22"/>
      <c r="D24" s="22">
        <v>2</v>
      </c>
      <c r="E24" s="22" t="s">
        <v>1093</v>
      </c>
      <c r="F24" s="22"/>
      <c r="G24" s="22"/>
      <c r="H24" s="22"/>
      <c r="I24" s="22"/>
      <c r="J24" s="35"/>
      <c r="K24" s="35"/>
      <c r="L24" s="35"/>
      <c r="M24" s="35"/>
      <c r="N24" s="35"/>
      <c r="O24" s="35"/>
      <c r="P24" s="35"/>
      <c r="Q24" s="35"/>
    </row>
    <row r="25" spans="1:18" x14ac:dyDescent="0.3">
      <c r="A25" s="22"/>
      <c r="B25" s="22"/>
      <c r="C25" s="22"/>
      <c r="D25" s="22">
        <v>3</v>
      </c>
      <c r="E25" s="28" t="s">
        <v>1095</v>
      </c>
      <c r="F25" s="22"/>
      <c r="G25" s="22"/>
      <c r="H25" s="22"/>
      <c r="I25" s="22"/>
      <c r="J25" s="35"/>
      <c r="K25" s="35"/>
      <c r="L25" s="35"/>
      <c r="M25" s="35"/>
      <c r="N25" s="35"/>
      <c r="O25" s="35"/>
      <c r="P25" s="35"/>
      <c r="Q25" s="35"/>
    </row>
    <row r="26" spans="1:18" x14ac:dyDescent="0.3">
      <c r="A26" s="22">
        <v>6</v>
      </c>
      <c r="B26" s="22" t="s">
        <v>1096</v>
      </c>
      <c r="C26" s="22" t="s">
        <v>1119</v>
      </c>
      <c r="D26" s="22">
        <v>1</v>
      </c>
      <c r="E26" s="22" t="s">
        <v>1111</v>
      </c>
      <c r="F26" s="22"/>
      <c r="G26" s="22"/>
      <c r="H26" s="22"/>
      <c r="I26" s="22"/>
      <c r="J26" s="35"/>
      <c r="K26" s="35"/>
      <c r="L26" s="35"/>
      <c r="M26" s="35"/>
      <c r="N26" s="35"/>
      <c r="O26" s="35"/>
      <c r="P26" s="35"/>
      <c r="Q26" s="35"/>
    </row>
    <row r="27" spans="1:18" ht="28.35" x14ac:dyDescent="0.3">
      <c r="A27" s="22"/>
      <c r="B27" s="22"/>
      <c r="C27" s="22"/>
      <c r="D27" s="22">
        <v>2</v>
      </c>
      <c r="E27" s="23" t="s">
        <v>1113</v>
      </c>
      <c r="F27" s="22"/>
      <c r="G27" s="22"/>
      <c r="H27" s="22"/>
      <c r="I27" s="22"/>
      <c r="J27" s="35"/>
      <c r="K27" s="35"/>
      <c r="L27" s="35"/>
      <c r="M27" s="35"/>
      <c r="N27" s="35"/>
      <c r="O27" s="35"/>
      <c r="P27" s="35"/>
      <c r="Q27" s="35"/>
    </row>
    <row r="28" spans="1:18" x14ac:dyDescent="0.3">
      <c r="A28" s="22"/>
      <c r="B28" s="22"/>
      <c r="C28" s="22"/>
      <c r="D28" s="22">
        <v>3</v>
      </c>
      <c r="E28" s="22" t="s">
        <v>1114</v>
      </c>
      <c r="F28" s="22"/>
      <c r="G28" s="22"/>
      <c r="H28" s="22"/>
      <c r="I28" s="22"/>
      <c r="J28" s="35"/>
      <c r="K28" s="35"/>
      <c r="L28" s="35"/>
      <c r="M28" s="35"/>
      <c r="N28" s="35"/>
      <c r="O28" s="35"/>
      <c r="P28" s="35"/>
      <c r="Q28" s="35"/>
    </row>
    <row r="29" spans="1:18" ht="28.35" x14ac:dyDescent="0.3">
      <c r="A29" s="22"/>
      <c r="B29" s="22"/>
      <c r="C29" s="22"/>
      <c r="D29" s="22">
        <v>4</v>
      </c>
      <c r="E29" s="23" t="s">
        <v>1115</v>
      </c>
      <c r="F29" s="22"/>
      <c r="G29" s="22"/>
      <c r="H29" s="22"/>
      <c r="I29" s="22"/>
      <c r="J29" s="35"/>
      <c r="K29" s="35"/>
      <c r="L29" s="35"/>
      <c r="M29" s="35"/>
      <c r="N29" s="35"/>
      <c r="O29" s="35"/>
      <c r="P29" s="35"/>
      <c r="Q29" s="35"/>
    </row>
    <row r="30" spans="1:18" x14ac:dyDescent="0.3">
      <c r="A30" s="22"/>
      <c r="B30" s="22"/>
      <c r="C30" s="22"/>
      <c r="D30" s="22">
        <v>5</v>
      </c>
      <c r="E30" s="22" t="s">
        <v>1116</v>
      </c>
      <c r="F30" s="22"/>
      <c r="G30" s="22"/>
      <c r="H30" s="22"/>
      <c r="I30" s="22"/>
      <c r="J30" s="35"/>
      <c r="K30" s="35"/>
      <c r="L30" s="35"/>
      <c r="M30" s="35"/>
      <c r="N30" s="35"/>
      <c r="O30" s="35"/>
      <c r="P30" s="35"/>
      <c r="Q30" s="35"/>
    </row>
    <row r="31" spans="1:18" x14ac:dyDescent="0.3">
      <c r="A31" s="22"/>
      <c r="B31" s="22"/>
      <c r="C31" s="22"/>
      <c r="D31" s="22">
        <v>6</v>
      </c>
      <c r="E31" s="22" t="s">
        <v>1117</v>
      </c>
      <c r="F31" s="22"/>
      <c r="G31" s="22"/>
      <c r="H31" s="22"/>
      <c r="I31" s="22"/>
      <c r="J31" s="35"/>
      <c r="K31" s="35"/>
      <c r="L31" s="35"/>
      <c r="M31" s="35"/>
      <c r="N31" s="35"/>
      <c r="O31" s="35"/>
      <c r="P31" s="35"/>
      <c r="Q31" s="35"/>
    </row>
    <row r="32" spans="1:18" x14ac:dyDescent="0.3">
      <c r="A32" s="22"/>
      <c r="B32" s="22"/>
      <c r="C32" s="22"/>
      <c r="D32" s="22">
        <v>7</v>
      </c>
      <c r="E32" s="22" t="s">
        <v>1118</v>
      </c>
      <c r="F32" s="22"/>
      <c r="G32" s="22"/>
      <c r="H32" s="22"/>
      <c r="I32" s="22"/>
      <c r="J32" s="35"/>
      <c r="K32" s="35"/>
      <c r="L32" s="35"/>
      <c r="M32" s="35"/>
      <c r="N32" s="35"/>
      <c r="O32" s="35"/>
      <c r="P32" s="35"/>
      <c r="Q32" s="35"/>
    </row>
    <row r="33" spans="1:9" ht="28.35" x14ac:dyDescent="0.3">
      <c r="A33" s="22">
        <v>7</v>
      </c>
      <c r="B33" s="22" t="s">
        <v>1120</v>
      </c>
      <c r="C33" s="22" t="s">
        <v>1132</v>
      </c>
      <c r="D33" s="22">
        <v>1</v>
      </c>
      <c r="E33" s="23" t="s">
        <v>1133</v>
      </c>
      <c r="F33" s="22"/>
      <c r="G33" s="22"/>
      <c r="H33" s="22"/>
      <c r="I33" s="22"/>
    </row>
    <row r="34" spans="1:9" x14ac:dyDescent="0.3">
      <c r="A34" s="22"/>
      <c r="B34" s="22"/>
      <c r="C34" s="22"/>
      <c r="D34" s="22">
        <v>2</v>
      </c>
      <c r="E34" s="22" t="s">
        <v>1134</v>
      </c>
      <c r="F34" s="22"/>
      <c r="G34" s="22"/>
      <c r="H34" s="22"/>
      <c r="I34" s="22"/>
    </row>
    <row r="35" spans="1:9" ht="28.35" x14ac:dyDescent="0.3">
      <c r="A35" s="22">
        <v>8</v>
      </c>
      <c r="B35" s="22" t="s">
        <v>1135</v>
      </c>
      <c r="C35" s="22"/>
      <c r="D35" s="22">
        <v>1</v>
      </c>
      <c r="E35" s="23" t="s">
        <v>1138</v>
      </c>
      <c r="F35" s="22"/>
      <c r="G35" s="22"/>
      <c r="H35" s="22"/>
      <c r="I35" s="22"/>
    </row>
    <row r="36" spans="1:9" ht="28.35" x14ac:dyDescent="0.3">
      <c r="A36" s="22"/>
      <c r="B36" s="22" t="s">
        <v>1136</v>
      </c>
      <c r="C36" s="22"/>
      <c r="D36" s="22">
        <v>2</v>
      </c>
      <c r="E36" s="23" t="s">
        <v>1139</v>
      </c>
      <c r="F36" s="22"/>
      <c r="G36" s="22"/>
      <c r="H36" s="22"/>
      <c r="I36" s="22"/>
    </row>
    <row r="37" spans="1:9" x14ac:dyDescent="0.3">
      <c r="A37" s="22"/>
      <c r="B37" s="22"/>
      <c r="C37" s="22" t="s">
        <v>1140</v>
      </c>
      <c r="D37" s="22">
        <v>1</v>
      </c>
      <c r="E37" s="22" t="s">
        <v>1141</v>
      </c>
      <c r="F37" s="22"/>
      <c r="G37" s="22"/>
      <c r="H37" s="22"/>
      <c r="I37" s="22"/>
    </row>
    <row r="38" spans="1:9" x14ac:dyDescent="0.3">
      <c r="A38" s="22"/>
      <c r="B38" s="22"/>
      <c r="C38" s="22" t="s">
        <v>1149</v>
      </c>
      <c r="D38" s="22">
        <v>1</v>
      </c>
      <c r="E38" s="22" t="s">
        <v>1151</v>
      </c>
      <c r="F38" s="28" t="s">
        <v>1150</v>
      </c>
      <c r="G38" s="22"/>
      <c r="H38" s="22"/>
      <c r="I38" s="22"/>
    </row>
    <row r="39" spans="1:9" x14ac:dyDescent="0.3">
      <c r="A39" s="22"/>
      <c r="B39" s="22"/>
      <c r="C39" s="22" t="s">
        <v>1152</v>
      </c>
      <c r="D39" s="22">
        <v>1</v>
      </c>
      <c r="E39" s="22" t="s">
        <v>1153</v>
      </c>
      <c r="F39" s="22"/>
      <c r="G39" s="22"/>
      <c r="H39" s="22"/>
      <c r="I39" s="22"/>
    </row>
    <row r="40" spans="1:9" x14ac:dyDescent="0.3">
      <c r="A40" s="22"/>
      <c r="B40" s="22"/>
      <c r="C40" s="22" t="s">
        <v>1154</v>
      </c>
      <c r="D40" s="22">
        <v>1</v>
      </c>
      <c r="E40" s="22" t="s">
        <v>1155</v>
      </c>
      <c r="F40" s="22"/>
      <c r="G40" s="22"/>
      <c r="H40" s="22"/>
      <c r="I40" s="22"/>
    </row>
    <row r="41" spans="1:9" x14ac:dyDescent="0.3">
      <c r="A41" s="22">
        <v>9</v>
      </c>
      <c r="B41" s="22" t="s">
        <v>1156</v>
      </c>
      <c r="C41" s="22" t="s">
        <v>1158</v>
      </c>
      <c r="D41" s="22">
        <v>1</v>
      </c>
      <c r="E41" s="22" t="s">
        <v>1157</v>
      </c>
      <c r="F41" s="22"/>
      <c r="G41" s="22"/>
      <c r="H41" s="22"/>
      <c r="I41" s="22"/>
    </row>
    <row r="42" spans="1:9" x14ac:dyDescent="0.3">
      <c r="A42" s="22">
        <v>10</v>
      </c>
      <c r="B42" s="22" t="s">
        <v>1159</v>
      </c>
      <c r="C42" s="22"/>
      <c r="D42" s="22"/>
      <c r="E42" s="22"/>
      <c r="F42" s="22"/>
      <c r="G42" s="22"/>
      <c r="H42" s="22"/>
      <c r="I42" s="22"/>
    </row>
    <row r="82" spans="1:1" x14ac:dyDescent="0.3">
      <c r="A82" s="22" t="s">
        <v>1089</v>
      </c>
    </row>
  </sheetData>
  <mergeCells count="9">
    <mergeCell ref="C5:C8"/>
    <mergeCell ref="B15:B16"/>
    <mergeCell ref="A15:A16"/>
    <mergeCell ref="A2:A3"/>
    <mergeCell ref="B2:B3"/>
    <mergeCell ref="A5:A8"/>
    <mergeCell ref="B5:B8"/>
    <mergeCell ref="B9:B10"/>
    <mergeCell ref="A9:A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6E39A-C7B8-4329-9586-E861312F3172}">
  <dimension ref="A1:L114"/>
  <sheetViews>
    <sheetView workbookViewId="0">
      <selection activeCell="E61" sqref="E61"/>
    </sheetView>
  </sheetViews>
  <sheetFormatPr defaultRowHeight="14.2" x14ac:dyDescent="0.3"/>
  <cols>
    <col min="1" max="1" width="13.3984375" bestFit="1" customWidth="1"/>
    <col min="2" max="2" width="14.3984375" bestFit="1" customWidth="1"/>
    <col min="3" max="3" width="5" bestFit="1" customWidth="1"/>
    <col min="4" max="4" width="10.09765625" bestFit="1" customWidth="1"/>
    <col min="5" max="5" width="14.796875" bestFit="1" customWidth="1"/>
    <col min="6" max="6" width="15.3984375" bestFit="1" customWidth="1"/>
    <col min="7" max="7" width="10.796875" bestFit="1" customWidth="1"/>
    <col min="8" max="10" width="6.5" bestFit="1" customWidth="1"/>
    <col min="11" max="11" width="12.09765625" bestFit="1" customWidth="1"/>
    <col min="12" max="12" width="8.09765625" bestFit="1" customWidth="1"/>
    <col min="13" max="16" width="6.5" bestFit="1" customWidth="1"/>
    <col min="17" max="17" width="10.796875" bestFit="1" customWidth="1"/>
    <col min="18" max="148" width="10.3984375" bestFit="1" customWidth="1"/>
    <col min="149" max="149" width="10.796875" bestFit="1" customWidth="1"/>
  </cols>
  <sheetData>
    <row r="1" spans="1:7" x14ac:dyDescent="0.3">
      <c r="A1" s="24" t="s">
        <v>1123</v>
      </c>
    </row>
    <row r="3" spans="1:7" x14ac:dyDescent="0.3">
      <c r="A3" t="s">
        <v>1070</v>
      </c>
      <c r="B3" t="s">
        <v>1073</v>
      </c>
      <c r="C3" t="s">
        <v>1074</v>
      </c>
      <c r="D3" t="s">
        <v>1075</v>
      </c>
      <c r="E3" t="s">
        <v>1076</v>
      </c>
    </row>
    <row r="4" spans="1:7" x14ac:dyDescent="0.3">
      <c r="A4" s="29">
        <v>1000</v>
      </c>
      <c r="B4" s="30">
        <v>96623</v>
      </c>
      <c r="C4" s="29">
        <v>89850</v>
      </c>
      <c r="D4" s="31">
        <v>3.8854000000000033</v>
      </c>
      <c r="E4" s="32">
        <v>307</v>
      </c>
    </row>
    <row r="10" spans="1:7" x14ac:dyDescent="0.3">
      <c r="A10" s="24" t="s">
        <v>1124</v>
      </c>
    </row>
    <row r="12" spans="1:7" x14ac:dyDescent="0.3">
      <c r="A12" t="s">
        <v>1070</v>
      </c>
      <c r="B12" t="s">
        <v>1073</v>
      </c>
      <c r="C12" t="s">
        <v>1074</v>
      </c>
      <c r="D12" t="s">
        <v>1075</v>
      </c>
      <c r="E12" t="s">
        <v>1076</v>
      </c>
      <c r="G12" t="s">
        <v>1094</v>
      </c>
    </row>
    <row r="13" spans="1:7" x14ac:dyDescent="0.3">
      <c r="A13" s="29">
        <v>186</v>
      </c>
      <c r="B13" s="30">
        <v>16651</v>
      </c>
      <c r="C13" s="29">
        <v>17807</v>
      </c>
      <c r="D13" s="31">
        <v>3.8973118279569863</v>
      </c>
      <c r="E13" s="32">
        <v>62</v>
      </c>
    </row>
    <row r="20" spans="1:3" x14ac:dyDescent="0.3">
      <c r="A20" s="24" t="s">
        <v>1122</v>
      </c>
    </row>
    <row r="22" spans="1:3" x14ac:dyDescent="0.3">
      <c r="A22" s="33" t="s">
        <v>1110</v>
      </c>
      <c r="B22" t="s">
        <v>1070</v>
      </c>
      <c r="C22" t="s">
        <v>1112</v>
      </c>
    </row>
    <row r="23" spans="1:3" x14ac:dyDescent="0.3">
      <c r="A23" s="36" t="s">
        <v>1098</v>
      </c>
      <c r="B23" s="29">
        <v>10</v>
      </c>
      <c r="C23" s="29">
        <v>10</v>
      </c>
    </row>
    <row r="24" spans="1:3" x14ac:dyDescent="0.3">
      <c r="A24" s="36" t="s">
        <v>1099</v>
      </c>
      <c r="B24" s="29">
        <v>11</v>
      </c>
      <c r="C24" s="29">
        <v>11</v>
      </c>
    </row>
    <row r="25" spans="1:3" x14ac:dyDescent="0.3">
      <c r="A25" s="36" t="s">
        <v>1100</v>
      </c>
      <c r="B25" s="29">
        <v>30</v>
      </c>
      <c r="C25" s="29">
        <v>30</v>
      </c>
    </row>
    <row r="26" spans="1:3" x14ac:dyDescent="0.3">
      <c r="A26" s="36" t="s">
        <v>1101</v>
      </c>
      <c r="B26" s="29">
        <v>23</v>
      </c>
      <c r="C26" s="29">
        <v>23</v>
      </c>
    </row>
    <row r="27" spans="1:3" x14ac:dyDescent="0.3">
      <c r="A27" s="36" t="s">
        <v>1102</v>
      </c>
      <c r="B27" s="29">
        <v>22</v>
      </c>
      <c r="C27" s="29">
        <v>22</v>
      </c>
    </row>
    <row r="28" spans="1:3" x14ac:dyDescent="0.3">
      <c r="A28" s="36" t="s">
        <v>1103</v>
      </c>
      <c r="B28" s="29">
        <v>11</v>
      </c>
      <c r="C28" s="29">
        <v>11</v>
      </c>
    </row>
    <row r="29" spans="1:3" x14ac:dyDescent="0.3">
      <c r="A29" s="36" t="s">
        <v>1104</v>
      </c>
      <c r="B29" s="29">
        <v>17</v>
      </c>
      <c r="C29" s="29">
        <v>17</v>
      </c>
    </row>
    <row r="30" spans="1:3" x14ac:dyDescent="0.3">
      <c r="A30" s="36" t="s">
        <v>1105</v>
      </c>
      <c r="B30" s="29">
        <v>12</v>
      </c>
      <c r="C30" s="29">
        <v>12</v>
      </c>
    </row>
    <row r="31" spans="1:3" x14ac:dyDescent="0.3">
      <c r="A31" s="36" t="s">
        <v>1106</v>
      </c>
      <c r="B31" s="29">
        <v>13</v>
      </c>
      <c r="C31" s="29">
        <v>13</v>
      </c>
    </row>
    <row r="32" spans="1:3" x14ac:dyDescent="0.3">
      <c r="A32" s="36" t="s">
        <v>1107</v>
      </c>
      <c r="B32" s="29">
        <v>15</v>
      </c>
      <c r="C32" s="29">
        <v>15</v>
      </c>
    </row>
    <row r="33" spans="1:3" x14ac:dyDescent="0.3">
      <c r="A33" s="36" t="s">
        <v>1108</v>
      </c>
      <c r="B33" s="29">
        <v>8</v>
      </c>
      <c r="C33" s="29">
        <v>8</v>
      </c>
    </row>
    <row r="34" spans="1:3" x14ac:dyDescent="0.3">
      <c r="A34" s="36" t="s">
        <v>1109</v>
      </c>
      <c r="B34" s="29">
        <v>14</v>
      </c>
      <c r="C34" s="29">
        <v>14</v>
      </c>
    </row>
    <row r="35" spans="1:3" x14ac:dyDescent="0.3">
      <c r="A35" s="36" t="s">
        <v>1097</v>
      </c>
      <c r="B35" s="29">
        <v>186</v>
      </c>
      <c r="C35" s="29">
        <v>186</v>
      </c>
    </row>
    <row r="38" spans="1:3" x14ac:dyDescent="0.3">
      <c r="A38" s="37" t="s">
        <v>1121</v>
      </c>
    </row>
    <row r="39" spans="1:3" x14ac:dyDescent="0.3">
      <c r="A39" s="33" t="s">
        <v>1110</v>
      </c>
      <c r="B39" t="s">
        <v>1070</v>
      </c>
    </row>
    <row r="40" spans="1:3" x14ac:dyDescent="0.3">
      <c r="A40" s="36" t="s">
        <v>1128</v>
      </c>
      <c r="B40" s="29">
        <v>25</v>
      </c>
    </row>
    <row r="41" spans="1:3" x14ac:dyDescent="0.3">
      <c r="A41" s="36" t="s">
        <v>1126</v>
      </c>
      <c r="B41" s="29">
        <v>23</v>
      </c>
    </row>
    <row r="42" spans="1:3" x14ac:dyDescent="0.3">
      <c r="A42" s="36" t="s">
        <v>1130</v>
      </c>
      <c r="B42" s="29">
        <v>28</v>
      </c>
    </row>
    <row r="43" spans="1:3" x14ac:dyDescent="0.3">
      <c r="A43" s="36" t="s">
        <v>1131</v>
      </c>
      <c r="B43" s="29">
        <v>29</v>
      </c>
    </row>
    <row r="44" spans="1:3" x14ac:dyDescent="0.3">
      <c r="A44" s="36" t="s">
        <v>1129</v>
      </c>
      <c r="B44" s="29">
        <v>18</v>
      </c>
    </row>
    <row r="45" spans="1:3" x14ac:dyDescent="0.3">
      <c r="A45" s="36" t="s">
        <v>1125</v>
      </c>
      <c r="B45" s="29">
        <v>29</v>
      </c>
    </row>
    <row r="46" spans="1:3" x14ac:dyDescent="0.3">
      <c r="A46" s="36" t="s">
        <v>1127</v>
      </c>
      <c r="B46" s="29">
        <v>34</v>
      </c>
    </row>
    <row r="47" spans="1:3" x14ac:dyDescent="0.3">
      <c r="A47" s="36" t="s">
        <v>1097</v>
      </c>
      <c r="B47" s="29">
        <v>186</v>
      </c>
    </row>
    <row r="55" spans="1:10" x14ac:dyDescent="0.3">
      <c r="A55" s="22" t="s">
        <v>1135</v>
      </c>
      <c r="F55" t="s">
        <v>1137</v>
      </c>
      <c r="I55" t="s">
        <v>1148</v>
      </c>
      <c r="J55" s="40" t="str">
        <f>A66</f>
        <v>R04</v>
      </c>
    </row>
    <row r="57" spans="1:10" x14ac:dyDescent="0.3">
      <c r="A57" s="33" t="s">
        <v>1110</v>
      </c>
      <c r="B57" t="s">
        <v>1070</v>
      </c>
      <c r="C57" t="s">
        <v>1073</v>
      </c>
      <c r="F57" t="s">
        <v>1142</v>
      </c>
      <c r="G57" t="s">
        <v>1143</v>
      </c>
      <c r="H57" t="s">
        <v>1144</v>
      </c>
      <c r="I57" t="s">
        <v>1145</v>
      </c>
      <c r="J57" t="s">
        <v>1146</v>
      </c>
    </row>
    <row r="58" spans="1:10" x14ac:dyDescent="0.3">
      <c r="A58" s="36" t="s">
        <v>33</v>
      </c>
      <c r="B58" s="29">
        <v>189</v>
      </c>
      <c r="C58" s="30">
        <v>18415</v>
      </c>
      <c r="F58" t="str" cm="1">
        <f t="array" ref="F58:H62">A58:C62</f>
        <v>R01</v>
      </c>
      <c r="G58">
        <v>189</v>
      </c>
      <c r="H58" s="38">
        <v>18415</v>
      </c>
      <c r="I58" t="str">
        <f>IF(F58=$J$55,G58,"N/A")</f>
        <v>N/A</v>
      </c>
      <c r="J58" t="str">
        <f>IF(F58=$J$55,H58,"N/A")</f>
        <v>N/A</v>
      </c>
    </row>
    <row r="59" spans="1:10" x14ac:dyDescent="0.3">
      <c r="A59" s="36" t="s">
        <v>27</v>
      </c>
      <c r="B59" s="29">
        <v>218</v>
      </c>
      <c r="C59" s="30">
        <v>20581</v>
      </c>
      <c r="F59" t="str">
        <v>R02</v>
      </c>
      <c r="G59">
        <v>218</v>
      </c>
      <c r="H59" s="38">
        <v>20581</v>
      </c>
      <c r="I59" t="str">
        <f t="shared" ref="I59:I62" si="0">IF(F59=$J$55,G59,"N/A")</f>
        <v>N/A</v>
      </c>
      <c r="J59" t="str">
        <f t="shared" ref="J59:J62" si="1">IF(F59=$J$55,H59,"N/A")</f>
        <v>N/A</v>
      </c>
    </row>
    <row r="60" spans="1:10" x14ac:dyDescent="0.3">
      <c r="A60" s="36" t="s">
        <v>46</v>
      </c>
      <c r="B60" s="29">
        <v>207</v>
      </c>
      <c r="C60" s="30">
        <v>20872</v>
      </c>
      <c r="F60" t="str">
        <v>R03</v>
      </c>
      <c r="G60">
        <v>207</v>
      </c>
      <c r="H60" s="38">
        <v>20872</v>
      </c>
      <c r="I60" t="str">
        <f t="shared" si="0"/>
        <v>N/A</v>
      </c>
      <c r="J60" t="str">
        <f t="shared" si="1"/>
        <v>N/A</v>
      </c>
    </row>
    <row r="61" spans="1:10" x14ac:dyDescent="0.3">
      <c r="A61" s="36" t="s">
        <v>40</v>
      </c>
      <c r="B61" s="29">
        <v>186</v>
      </c>
      <c r="C61" s="30">
        <v>16651</v>
      </c>
      <c r="F61" t="str">
        <v>R04</v>
      </c>
      <c r="G61">
        <v>186</v>
      </c>
      <c r="H61" s="38">
        <v>16651</v>
      </c>
      <c r="I61">
        <f t="shared" si="0"/>
        <v>186</v>
      </c>
      <c r="J61">
        <f t="shared" si="1"/>
        <v>16651</v>
      </c>
    </row>
    <row r="62" spans="1:10" x14ac:dyDescent="0.3">
      <c r="A62" s="36" t="s">
        <v>17</v>
      </c>
      <c r="B62" s="29">
        <v>200</v>
      </c>
      <c r="C62" s="30">
        <v>20104</v>
      </c>
      <c r="F62" t="str">
        <v>R05</v>
      </c>
      <c r="G62">
        <v>200</v>
      </c>
      <c r="H62" s="38">
        <v>20104</v>
      </c>
      <c r="I62" t="str">
        <f t="shared" si="0"/>
        <v>N/A</v>
      </c>
      <c r="J62" t="str">
        <f t="shared" si="1"/>
        <v>N/A</v>
      </c>
    </row>
    <row r="63" spans="1:10" x14ac:dyDescent="0.3">
      <c r="A63" s="36" t="s">
        <v>1097</v>
      </c>
      <c r="B63" s="29">
        <v>1000</v>
      </c>
      <c r="C63" s="30">
        <v>96623</v>
      </c>
    </row>
    <row r="65" spans="1:4" x14ac:dyDescent="0.3">
      <c r="A65" s="33" t="s">
        <v>1110</v>
      </c>
    </row>
    <row r="66" spans="1:4" x14ac:dyDescent="0.3">
      <c r="A66" s="39" t="s">
        <v>40</v>
      </c>
    </row>
    <row r="72" spans="1:4" x14ac:dyDescent="0.3">
      <c r="A72" s="33" t="s">
        <v>1070</v>
      </c>
      <c r="B72" s="33" t="s">
        <v>1160</v>
      </c>
    </row>
    <row r="73" spans="1:4" x14ac:dyDescent="0.3">
      <c r="A73" s="33" t="s">
        <v>1110</v>
      </c>
      <c r="B73" t="s">
        <v>38</v>
      </c>
      <c r="C73" t="s">
        <v>19</v>
      </c>
      <c r="D73" t="s">
        <v>1097</v>
      </c>
    </row>
    <row r="74" spans="1:4" x14ac:dyDescent="0.3">
      <c r="A74" s="36" t="s">
        <v>20</v>
      </c>
      <c r="B74" s="29">
        <v>24</v>
      </c>
      <c r="C74" s="29">
        <v>37</v>
      </c>
      <c r="D74" s="29">
        <v>61</v>
      </c>
    </row>
    <row r="75" spans="1:4" x14ac:dyDescent="0.3">
      <c r="A75" s="36" t="s">
        <v>28</v>
      </c>
      <c r="B75" s="29">
        <v>24</v>
      </c>
      <c r="C75" s="29">
        <v>20</v>
      </c>
      <c r="D75" s="29">
        <v>44</v>
      </c>
    </row>
    <row r="76" spans="1:4" x14ac:dyDescent="0.3">
      <c r="A76" s="36" t="s">
        <v>24</v>
      </c>
      <c r="B76" s="29">
        <v>68</v>
      </c>
      <c r="C76" s="29">
        <v>13</v>
      </c>
      <c r="D76" s="29">
        <v>81</v>
      </c>
    </row>
    <row r="77" spans="1:4" x14ac:dyDescent="0.3">
      <c r="A77" s="36" t="s">
        <v>1097</v>
      </c>
      <c r="B77" s="29">
        <v>116</v>
      </c>
      <c r="C77" s="29">
        <v>70</v>
      </c>
      <c r="D77" s="29">
        <v>186</v>
      </c>
    </row>
    <row r="81" spans="1:12" x14ac:dyDescent="0.3">
      <c r="A81" s="33" t="s">
        <v>1110</v>
      </c>
      <c r="B81" t="s">
        <v>1161</v>
      </c>
    </row>
    <row r="82" spans="1:12" x14ac:dyDescent="0.3">
      <c r="A82" s="36">
        <v>1</v>
      </c>
      <c r="B82" s="82">
        <v>3</v>
      </c>
    </row>
    <row r="83" spans="1:12" x14ac:dyDescent="0.3">
      <c r="A83" s="36">
        <v>2</v>
      </c>
      <c r="B83" s="82">
        <v>10</v>
      </c>
    </row>
    <row r="84" spans="1:12" x14ac:dyDescent="0.3">
      <c r="A84" s="36">
        <v>3</v>
      </c>
      <c r="B84" s="82">
        <v>41</v>
      </c>
    </row>
    <row r="85" spans="1:12" x14ac:dyDescent="0.3">
      <c r="A85" s="36">
        <v>4</v>
      </c>
      <c r="B85" s="82">
        <v>70</v>
      </c>
    </row>
    <row r="86" spans="1:12" x14ac:dyDescent="0.3">
      <c r="A86" s="36">
        <v>5</v>
      </c>
      <c r="B86" s="82">
        <v>62</v>
      </c>
    </row>
    <row r="87" spans="1:12" x14ac:dyDescent="0.3">
      <c r="A87" s="36" t="s">
        <v>1097</v>
      </c>
      <c r="B87" s="82">
        <v>186</v>
      </c>
    </row>
    <row r="95" spans="1:12" x14ac:dyDescent="0.3">
      <c r="A95" s="33" t="s">
        <v>1073</v>
      </c>
      <c r="B95" s="33" t="s">
        <v>1160</v>
      </c>
      <c r="K95" t="s">
        <v>1163</v>
      </c>
    </row>
    <row r="96" spans="1:12" x14ac:dyDescent="0.3">
      <c r="A96" s="33" t="s">
        <v>1110</v>
      </c>
      <c r="B96" t="s">
        <v>33</v>
      </c>
      <c r="C96" t="s">
        <v>27</v>
      </c>
      <c r="D96" t="s">
        <v>46</v>
      </c>
      <c r="E96" t="s">
        <v>40</v>
      </c>
      <c r="F96" t="s">
        <v>17</v>
      </c>
      <c r="G96" t="s">
        <v>1097</v>
      </c>
      <c r="K96" s="20" t="s">
        <v>1164</v>
      </c>
      <c r="L96" s="42">
        <f>A13/A4</f>
        <v>0.186</v>
      </c>
    </row>
    <row r="97" spans="1:12" x14ac:dyDescent="0.3">
      <c r="A97" s="36" t="s">
        <v>28</v>
      </c>
      <c r="K97" t="s">
        <v>1167</v>
      </c>
      <c r="L97">
        <f>_xlfn.XLOOKUP(A66,A58:A62,B58:B62)</f>
        <v>186</v>
      </c>
    </row>
    <row r="98" spans="1:12" x14ac:dyDescent="0.3">
      <c r="A98" s="41" t="s">
        <v>16</v>
      </c>
      <c r="B98" s="30">
        <v>891</v>
      </c>
      <c r="C98" s="30">
        <v>1332</v>
      </c>
      <c r="D98" s="30">
        <v>1282</v>
      </c>
      <c r="E98" s="30">
        <v>739</v>
      </c>
      <c r="F98" s="30">
        <v>560</v>
      </c>
      <c r="G98" s="30">
        <v>4804</v>
      </c>
      <c r="K98" t="s">
        <v>1144</v>
      </c>
      <c r="L98">
        <f>_xlfn.XLOOKUP(A66,A58:A62,C58:C62)</f>
        <v>16651</v>
      </c>
    </row>
    <row r="99" spans="1:12" x14ac:dyDescent="0.3">
      <c r="A99" s="41" t="s">
        <v>22</v>
      </c>
      <c r="B99" s="30">
        <v>1991</v>
      </c>
      <c r="C99" s="30">
        <v>1886</v>
      </c>
      <c r="D99" s="30">
        <v>1206</v>
      </c>
      <c r="E99" s="30">
        <v>884</v>
      </c>
      <c r="F99" s="30">
        <v>1722</v>
      </c>
      <c r="G99" s="30">
        <v>7689</v>
      </c>
    </row>
    <row r="100" spans="1:12" x14ac:dyDescent="0.3">
      <c r="A100" s="41" t="s">
        <v>32</v>
      </c>
      <c r="B100" s="30">
        <v>1163</v>
      </c>
      <c r="C100" s="30">
        <v>1180</v>
      </c>
      <c r="D100" s="30">
        <v>1616</v>
      </c>
      <c r="E100" s="30">
        <v>1043</v>
      </c>
      <c r="F100" s="30">
        <v>1747</v>
      </c>
      <c r="G100" s="30">
        <v>6749</v>
      </c>
      <c r="K100" t="s">
        <v>1165</v>
      </c>
      <c r="L100">
        <f>_xlfn.RANK.AVG(L97,B58:B62)</f>
        <v>5</v>
      </c>
    </row>
    <row r="101" spans="1:12" x14ac:dyDescent="0.3">
      <c r="A101" s="41" t="s">
        <v>50</v>
      </c>
      <c r="B101" s="30">
        <v>1438</v>
      </c>
      <c r="C101" s="30">
        <v>1616</v>
      </c>
      <c r="D101" s="30">
        <v>866</v>
      </c>
      <c r="E101" s="30">
        <v>829</v>
      </c>
      <c r="F101" s="30">
        <v>2070</v>
      </c>
      <c r="G101" s="30">
        <v>6819</v>
      </c>
      <c r="K101" t="s">
        <v>1166</v>
      </c>
      <c r="L101">
        <f>_xlfn.RANK.AVG(L98,C58:C62)</f>
        <v>5</v>
      </c>
    </row>
    <row r="102" spans="1:12" x14ac:dyDescent="0.3">
      <c r="A102" s="36" t="s">
        <v>24</v>
      </c>
    </row>
    <row r="103" spans="1:12" x14ac:dyDescent="0.3">
      <c r="A103" s="41" t="s">
        <v>23</v>
      </c>
      <c r="B103" s="30">
        <v>1233</v>
      </c>
      <c r="C103" s="30">
        <v>223</v>
      </c>
      <c r="D103" s="30">
        <v>1680</v>
      </c>
      <c r="E103" s="30">
        <v>990</v>
      </c>
      <c r="F103" s="30">
        <v>1508</v>
      </c>
      <c r="G103" s="30">
        <v>5634</v>
      </c>
      <c r="K103" t="s">
        <v>1168</v>
      </c>
    </row>
    <row r="104" spans="1:12" x14ac:dyDescent="0.3">
      <c r="A104" s="41" t="s">
        <v>37</v>
      </c>
      <c r="B104" s="30">
        <v>1598</v>
      </c>
      <c r="C104" s="30">
        <v>1907</v>
      </c>
      <c r="D104" s="30">
        <v>869</v>
      </c>
      <c r="E104" s="30">
        <v>1426</v>
      </c>
      <c r="F104" s="30">
        <v>1416</v>
      </c>
      <c r="G104" s="30">
        <v>7216</v>
      </c>
      <c r="L104" t="str">
        <f>"% of Calls: "&amp;TEXT(L96,"0%")</f>
        <v>% of Calls: 19%</v>
      </c>
    </row>
    <row r="105" spans="1:12" x14ac:dyDescent="0.3">
      <c r="A105" s="41" t="s">
        <v>41</v>
      </c>
      <c r="B105" s="30">
        <v>900</v>
      </c>
      <c r="C105" s="30">
        <v>1016</v>
      </c>
      <c r="D105" s="30">
        <v>960</v>
      </c>
      <c r="E105" s="30">
        <v>940</v>
      </c>
      <c r="F105" s="30">
        <v>1193</v>
      </c>
      <c r="G105" s="30">
        <v>5009</v>
      </c>
      <c r="L105" t="str">
        <f>IF(COUNTA(A66:A70)&gt;1,"","Call Rank: "&amp;L97)</f>
        <v>Call Rank: 186</v>
      </c>
    </row>
    <row r="106" spans="1:12" x14ac:dyDescent="0.3">
      <c r="A106" s="41" t="s">
        <v>45</v>
      </c>
      <c r="B106" s="30">
        <v>900</v>
      </c>
      <c r="C106" s="30">
        <v>1470</v>
      </c>
      <c r="D106" s="30">
        <v>1617</v>
      </c>
      <c r="E106" s="30">
        <v>1314</v>
      </c>
      <c r="F106" s="30">
        <v>941</v>
      </c>
      <c r="G106" s="30">
        <v>6242</v>
      </c>
      <c r="L106" t="str">
        <f>IF(COUNTA(A66:A70)&gt;1,"","Amount Rank: "&amp;L98)</f>
        <v>Amount Rank: 16651</v>
      </c>
    </row>
    <row r="107" spans="1:12" x14ac:dyDescent="0.3">
      <c r="A107" s="41" t="s">
        <v>49</v>
      </c>
      <c r="B107" s="30">
        <v>1255</v>
      </c>
      <c r="C107" s="30">
        <v>516</v>
      </c>
      <c r="D107" s="30">
        <v>1874</v>
      </c>
      <c r="E107" s="30">
        <v>1863</v>
      </c>
      <c r="F107" s="30">
        <v>1722</v>
      </c>
      <c r="G107" s="30">
        <v>7230</v>
      </c>
    </row>
    <row r="108" spans="1:12" x14ac:dyDescent="0.3">
      <c r="A108" s="41" t="s">
        <v>54</v>
      </c>
      <c r="B108" s="30">
        <v>1138</v>
      </c>
      <c r="C108" s="30">
        <v>1898</v>
      </c>
      <c r="D108" s="30">
        <v>1482</v>
      </c>
      <c r="E108" s="30">
        <v>846</v>
      </c>
      <c r="F108" s="30">
        <v>1154</v>
      </c>
      <c r="G108" s="30">
        <v>6518</v>
      </c>
      <c r="K108" t="s">
        <v>1169</v>
      </c>
      <c r="L108" t="e" vm="6">
        <f>IF(COUNTA(A66:A70)&gt;1,"",_xlfn.XLOOKUP(PIVOT_Call_Calculation!A66,Icons_Assests_Notes!Q18:Q22,Icons_Assests_Notes!R18:R22))</f>
        <v>#VALUE!</v>
      </c>
    </row>
    <row r="109" spans="1:12" x14ac:dyDescent="0.3">
      <c r="A109" s="36" t="s">
        <v>20</v>
      </c>
    </row>
    <row r="110" spans="1:12" x14ac:dyDescent="0.3">
      <c r="A110" s="41" t="s">
        <v>18</v>
      </c>
      <c r="B110" s="30">
        <v>1655</v>
      </c>
      <c r="C110" s="30">
        <v>805</v>
      </c>
      <c r="D110" s="30">
        <v>2263</v>
      </c>
      <c r="E110" s="30">
        <v>987</v>
      </c>
      <c r="F110" s="30">
        <v>1075</v>
      </c>
      <c r="G110" s="30">
        <v>6785</v>
      </c>
    </row>
    <row r="111" spans="1:12" x14ac:dyDescent="0.3">
      <c r="A111" s="41" t="s">
        <v>26</v>
      </c>
      <c r="B111" s="30">
        <v>1104</v>
      </c>
      <c r="C111" s="30">
        <v>2280</v>
      </c>
      <c r="D111" s="30">
        <v>1445</v>
      </c>
      <c r="E111" s="30">
        <v>1722</v>
      </c>
      <c r="F111" s="30">
        <v>1196</v>
      </c>
      <c r="G111" s="30">
        <v>7747</v>
      </c>
    </row>
    <row r="112" spans="1:12" x14ac:dyDescent="0.3">
      <c r="A112" s="41" t="s">
        <v>35</v>
      </c>
      <c r="B112" s="30">
        <v>372</v>
      </c>
      <c r="C112" s="30">
        <v>1818</v>
      </c>
      <c r="D112" s="30">
        <v>1346</v>
      </c>
      <c r="E112" s="30">
        <v>1156</v>
      </c>
      <c r="F112" s="30">
        <v>1484</v>
      </c>
      <c r="G112" s="30">
        <v>6176</v>
      </c>
    </row>
    <row r="113" spans="1:7" x14ac:dyDescent="0.3">
      <c r="A113" s="41" t="s">
        <v>43</v>
      </c>
      <c r="B113" s="30">
        <v>1415</v>
      </c>
      <c r="C113" s="30">
        <v>1271</v>
      </c>
      <c r="D113" s="30">
        <v>1214</v>
      </c>
      <c r="E113" s="30">
        <v>1135</v>
      </c>
      <c r="F113" s="30">
        <v>1566</v>
      </c>
      <c r="G113" s="30">
        <v>6601</v>
      </c>
    </row>
    <row r="114" spans="1:7" x14ac:dyDescent="0.3">
      <c r="A114" s="41" t="s">
        <v>30</v>
      </c>
      <c r="B114" s="30">
        <v>1362</v>
      </c>
      <c r="C114" s="30">
        <v>1363</v>
      </c>
      <c r="D114" s="30">
        <v>1152</v>
      </c>
      <c r="E114" s="30">
        <v>777</v>
      </c>
      <c r="F114" s="30">
        <v>750</v>
      </c>
      <c r="G114" s="30">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3BF0B-DDCF-48EC-AF66-B6F07994E783}">
  <dimension ref="A1:S36"/>
  <sheetViews>
    <sheetView tabSelected="1" zoomScale="70" zoomScaleNormal="70" workbookViewId="0">
      <selection activeCell="H51" sqref="H51"/>
    </sheetView>
  </sheetViews>
  <sheetFormatPr defaultRowHeight="14.2" x14ac:dyDescent="0.3"/>
  <cols>
    <col min="1" max="1" width="4" bestFit="1" customWidth="1"/>
    <col min="4" max="4" width="32.8984375" customWidth="1"/>
    <col min="5" max="5" width="9.5" customWidth="1"/>
    <col min="10" max="10" width="12.09765625" customWidth="1"/>
    <col min="11" max="11" width="10" customWidth="1"/>
    <col min="12" max="12" width="12.19921875" bestFit="1" customWidth="1"/>
    <col min="13" max="13" width="11.09765625" customWidth="1"/>
    <col min="14" max="15" width="12.19921875" bestFit="1" customWidth="1"/>
    <col min="16" max="16" width="9.3984375" customWidth="1"/>
    <col min="17" max="17" width="12.19921875" bestFit="1" customWidth="1"/>
    <col min="19" max="19" width="6.5" customWidth="1"/>
  </cols>
  <sheetData>
    <row r="1" spans="1:19" s="43" customFormat="1" ht="27.65" customHeight="1" x14ac:dyDescent="0.7">
      <c r="A1" s="1"/>
      <c r="B1" s="1"/>
      <c r="C1" s="1"/>
      <c r="D1" s="1"/>
      <c r="E1" s="54"/>
      <c r="F1" s="54"/>
      <c r="G1" s="54"/>
      <c r="H1" s="1"/>
      <c r="I1" s="55" t="s">
        <v>1171</v>
      </c>
      <c r="J1" s="54"/>
      <c r="K1" s="54"/>
      <c r="L1" s="1"/>
      <c r="M1" s="1"/>
      <c r="N1" s="1"/>
      <c r="O1" s="1"/>
      <c r="P1" s="1"/>
      <c r="Q1" s="1"/>
      <c r="R1" s="1"/>
      <c r="S1" s="56" t="s">
        <v>1170</v>
      </c>
    </row>
    <row r="2" spans="1:19" s="43" customFormat="1" x14ac:dyDescent="0.3">
      <c r="A2" s="44"/>
      <c r="B2" s="44"/>
      <c r="C2" s="44"/>
      <c r="D2" s="44"/>
      <c r="E2" s="44"/>
      <c r="F2" s="44"/>
      <c r="G2" s="44"/>
      <c r="H2" s="44"/>
      <c r="I2" s="44"/>
      <c r="J2" s="44"/>
      <c r="K2" s="44"/>
      <c r="L2" s="44"/>
      <c r="M2" s="44"/>
      <c r="N2" s="44"/>
      <c r="O2" s="44"/>
      <c r="P2" s="44"/>
      <c r="Q2" s="44"/>
      <c r="R2" s="44"/>
      <c r="S2" s="44"/>
    </row>
    <row r="3" spans="1:19" s="43" customFormat="1" x14ac:dyDescent="0.3">
      <c r="A3" s="44"/>
      <c r="B3" s="44"/>
      <c r="C3" s="44"/>
      <c r="D3" s="44"/>
      <c r="E3" s="44"/>
      <c r="F3" s="44"/>
      <c r="G3" s="44"/>
      <c r="H3" s="44"/>
      <c r="I3" s="44"/>
      <c r="J3" s="44"/>
      <c r="K3" s="44"/>
      <c r="L3" s="44"/>
      <c r="M3" s="44"/>
      <c r="N3" s="44"/>
      <c r="O3" s="44"/>
      <c r="P3" s="44"/>
      <c r="Q3" s="44"/>
      <c r="R3" s="44"/>
      <c r="S3" s="44"/>
    </row>
    <row r="4" spans="1:19" s="43" customFormat="1" x14ac:dyDescent="0.3">
      <c r="A4" s="44"/>
      <c r="B4" s="44"/>
      <c r="C4" s="44"/>
      <c r="D4" s="44"/>
      <c r="E4" s="44"/>
      <c r="F4" s="44"/>
      <c r="G4" s="44"/>
      <c r="H4" s="44"/>
      <c r="I4" s="44"/>
      <c r="J4" s="44"/>
      <c r="K4" s="44"/>
      <c r="L4" s="44"/>
      <c r="M4" s="44"/>
      <c r="N4" s="44"/>
      <c r="O4" s="44"/>
      <c r="P4" s="44"/>
      <c r="Q4" s="44"/>
      <c r="R4" s="44"/>
      <c r="S4" s="44"/>
    </row>
    <row r="5" spans="1:19" s="43" customFormat="1" x14ac:dyDescent="0.3">
      <c r="A5" s="44"/>
      <c r="B5" s="44"/>
      <c r="C5" s="44"/>
      <c r="D5" s="44"/>
      <c r="E5" s="44"/>
      <c r="F5" s="44"/>
      <c r="G5" s="44"/>
      <c r="H5" s="44"/>
      <c r="I5" s="44"/>
      <c r="J5" s="44"/>
      <c r="K5" s="44"/>
      <c r="L5" s="44"/>
      <c r="M5" s="44"/>
      <c r="N5" s="44"/>
      <c r="O5" s="44"/>
      <c r="P5" s="44"/>
      <c r="Q5" s="44"/>
      <c r="R5" s="44"/>
      <c r="S5" s="44"/>
    </row>
    <row r="6" spans="1:19" s="43" customFormat="1" x14ac:dyDescent="0.3">
      <c r="A6" s="44"/>
      <c r="B6" s="44"/>
      <c r="C6" s="44"/>
      <c r="D6" s="44"/>
      <c r="E6" s="44"/>
      <c r="F6" s="44"/>
      <c r="G6" s="44"/>
      <c r="H6" s="44"/>
      <c r="I6" s="44"/>
      <c r="J6" s="44"/>
      <c r="K6" s="44"/>
      <c r="L6" s="44"/>
      <c r="M6" s="44"/>
      <c r="N6" s="44"/>
      <c r="O6" s="44"/>
      <c r="P6" s="44"/>
      <c r="Q6" s="44"/>
      <c r="R6" s="44"/>
      <c r="S6" s="44"/>
    </row>
    <row r="7" spans="1:19" s="43" customFormat="1" x14ac:dyDescent="0.3">
      <c r="A7" s="44"/>
      <c r="B7" s="44"/>
      <c r="C7" s="44"/>
      <c r="D7" s="44"/>
      <c r="E7" s="44"/>
      <c r="F7" s="44"/>
      <c r="G7" s="44"/>
      <c r="H7" s="44"/>
      <c r="I7" s="44"/>
      <c r="J7" s="44"/>
      <c r="K7" s="44"/>
      <c r="L7" s="44"/>
      <c r="M7" s="44"/>
      <c r="N7" s="44"/>
      <c r="O7" s="44"/>
      <c r="P7" s="44"/>
      <c r="Q7" s="44"/>
      <c r="R7" s="44"/>
      <c r="S7" s="44"/>
    </row>
    <row r="8" spans="1:19" s="43" customFormat="1" x14ac:dyDescent="0.3">
      <c r="A8" s="44"/>
      <c r="B8" s="44"/>
      <c r="C8" s="44"/>
      <c r="D8" s="44"/>
      <c r="E8" s="44"/>
      <c r="F8" s="44"/>
      <c r="G8" s="44"/>
      <c r="H8" s="44"/>
      <c r="I8" s="44"/>
      <c r="J8" s="44"/>
      <c r="K8" s="44"/>
      <c r="L8" s="44"/>
      <c r="M8" s="44"/>
      <c r="N8" s="44"/>
      <c r="O8" s="44"/>
      <c r="P8" s="44"/>
      <c r="Q8" s="44"/>
      <c r="R8" s="44"/>
      <c r="S8" s="44"/>
    </row>
    <row r="9" spans="1:19" s="43" customFormat="1" x14ac:dyDescent="0.3">
      <c r="A9" s="44"/>
      <c r="B9" s="44"/>
      <c r="C9" s="44"/>
      <c r="D9" s="44"/>
      <c r="E9" s="44"/>
      <c r="F9" s="44"/>
      <c r="G9" s="44"/>
      <c r="H9" s="44"/>
      <c r="I9" s="44"/>
      <c r="J9" s="44"/>
      <c r="K9" s="44"/>
      <c r="L9" s="44"/>
      <c r="M9" s="44"/>
      <c r="N9" s="44"/>
      <c r="O9" s="44"/>
      <c r="P9" s="44"/>
      <c r="Q9" s="44"/>
      <c r="R9" s="44"/>
      <c r="S9" s="44"/>
    </row>
    <row r="10" spans="1:19" s="43" customFormat="1" x14ac:dyDescent="0.3">
      <c r="A10" s="44"/>
      <c r="B10" s="44"/>
      <c r="C10" s="44"/>
      <c r="D10" s="44"/>
      <c r="E10" s="44"/>
      <c r="F10" s="44"/>
      <c r="G10" s="44"/>
      <c r="H10" s="44"/>
      <c r="I10" s="44"/>
      <c r="J10" s="44"/>
      <c r="K10" s="44"/>
      <c r="L10" s="44"/>
      <c r="M10" s="44"/>
      <c r="N10" s="44"/>
      <c r="O10" s="44"/>
      <c r="P10" s="44"/>
      <c r="Q10" s="44"/>
      <c r="R10" s="44"/>
      <c r="S10" s="44"/>
    </row>
    <row r="11" spans="1:19" s="43" customFormat="1" x14ac:dyDescent="0.3">
      <c r="A11" s="44"/>
      <c r="B11" s="44"/>
      <c r="C11" s="44"/>
      <c r="D11" s="44"/>
      <c r="E11" s="44"/>
      <c r="F11" s="44"/>
      <c r="G11" s="44"/>
      <c r="H11" s="44"/>
      <c r="I11" s="44"/>
      <c r="J11" s="44"/>
      <c r="K11" s="44"/>
      <c r="L11" s="44"/>
      <c r="M11" s="44"/>
      <c r="N11" s="44"/>
      <c r="O11" s="44"/>
      <c r="P11" s="44"/>
      <c r="Q11" s="44"/>
      <c r="R11" s="44"/>
      <c r="S11" s="44"/>
    </row>
    <row r="12" spans="1:19" s="43" customFormat="1" x14ac:dyDescent="0.3">
      <c r="A12" s="44"/>
      <c r="B12" s="44"/>
      <c r="C12" s="44"/>
      <c r="D12" s="44"/>
      <c r="E12" s="44"/>
      <c r="F12" s="44"/>
      <c r="G12" s="44"/>
      <c r="H12" s="44"/>
      <c r="I12" s="44"/>
      <c r="J12" s="44"/>
      <c r="K12" s="44"/>
      <c r="L12" s="44"/>
      <c r="M12" s="44"/>
      <c r="N12" s="44"/>
      <c r="O12" s="44"/>
      <c r="P12" s="44"/>
      <c r="Q12" s="44"/>
      <c r="R12" s="44"/>
      <c r="S12" s="44"/>
    </row>
    <row r="13" spans="1:19" s="43" customFormat="1" x14ac:dyDescent="0.3">
      <c r="A13" s="44"/>
      <c r="B13" s="44"/>
      <c r="C13" s="44"/>
      <c r="D13" s="44"/>
      <c r="E13" s="44"/>
      <c r="F13" s="44"/>
      <c r="G13" s="44"/>
      <c r="H13" s="44"/>
      <c r="I13" s="44"/>
      <c r="J13" s="44"/>
      <c r="K13" s="44"/>
      <c r="L13" s="44"/>
      <c r="M13" s="44"/>
      <c r="N13" s="44"/>
      <c r="O13" s="44"/>
      <c r="P13" s="44"/>
      <c r="Q13" s="44"/>
      <c r="R13" s="44"/>
      <c r="S13" s="44"/>
    </row>
    <row r="14" spans="1:19" s="43" customFormat="1" x14ac:dyDescent="0.3">
      <c r="A14" s="44"/>
      <c r="B14" s="44"/>
      <c r="C14" s="44"/>
      <c r="D14" s="44"/>
      <c r="E14" s="44"/>
      <c r="F14" s="44"/>
      <c r="G14" s="44"/>
      <c r="H14" s="44"/>
      <c r="I14" s="44"/>
      <c r="J14" s="44"/>
      <c r="K14" s="44"/>
      <c r="L14" s="44"/>
      <c r="M14" s="44"/>
      <c r="N14" s="44"/>
      <c r="O14" s="44"/>
      <c r="P14" s="44"/>
      <c r="Q14" s="44"/>
      <c r="R14" s="44"/>
      <c r="S14" s="44"/>
    </row>
    <row r="15" spans="1:19" s="43" customFormat="1" x14ac:dyDescent="0.3">
      <c r="A15" s="44"/>
      <c r="B15" s="44"/>
      <c r="C15" s="44"/>
      <c r="D15" s="44"/>
      <c r="E15" s="44"/>
      <c r="F15" s="44"/>
      <c r="G15" s="44"/>
      <c r="H15" s="44"/>
      <c r="I15" s="44"/>
      <c r="J15" s="44"/>
      <c r="K15" s="44"/>
      <c r="L15" s="44"/>
      <c r="M15" s="44"/>
      <c r="N15" s="44"/>
      <c r="O15" s="44"/>
      <c r="P15" s="44"/>
      <c r="Q15" s="44"/>
      <c r="R15" s="44"/>
      <c r="S15" s="44"/>
    </row>
    <row r="16" spans="1:19" s="43" customFormat="1" x14ac:dyDescent="0.3">
      <c r="A16" s="44"/>
      <c r="B16" s="44"/>
      <c r="C16" s="44"/>
      <c r="D16" s="44"/>
      <c r="E16" s="44"/>
      <c r="F16" s="44"/>
      <c r="G16" s="44"/>
      <c r="H16" s="44"/>
      <c r="I16" s="44"/>
      <c r="J16" s="44"/>
      <c r="K16" s="45"/>
      <c r="L16" s="46" t="str" cm="1">
        <f t="array" ref="L16:P16">PIVOT_Call_Calculation!B96:F96</f>
        <v>R01</v>
      </c>
      <c r="M16" s="46" t="str">
        <v>R02</v>
      </c>
      <c r="N16" s="46" t="str">
        <v>R03</v>
      </c>
      <c r="O16" s="46" t="str">
        <v>R04</v>
      </c>
      <c r="P16" s="46" t="str">
        <v>R05</v>
      </c>
      <c r="Q16" s="47" t="s">
        <v>1162</v>
      </c>
      <c r="R16" s="44"/>
      <c r="S16" s="44"/>
    </row>
    <row r="17" spans="1:19" s="43" customFormat="1" x14ac:dyDescent="0.3">
      <c r="A17" s="44"/>
      <c r="B17" s="44"/>
      <c r="C17" s="44"/>
      <c r="D17" s="44"/>
      <c r="E17" s="44"/>
      <c r="F17" s="44"/>
      <c r="G17" s="44"/>
      <c r="H17" s="44"/>
      <c r="I17" s="44"/>
      <c r="J17" s="44"/>
      <c r="K17" s="48" t="str" cm="1">
        <f t="array" ref="K17:Q34">IF(PIVOT_Call_Calculation!A97:G114="","",PIVOT_Call_Calculation!A97:G114)</f>
        <v>Cincinnati</v>
      </c>
      <c r="L17" s="49" t="str">
        <v/>
      </c>
      <c r="M17" s="49" t="str">
        <v/>
      </c>
      <c r="N17" s="49" t="str">
        <v/>
      </c>
      <c r="O17" s="49" t="str">
        <v/>
      </c>
      <c r="P17" s="49" t="str">
        <v/>
      </c>
      <c r="Q17" s="49" t="str">
        <v/>
      </c>
      <c r="R17" s="44"/>
      <c r="S17" s="44"/>
    </row>
    <row r="18" spans="1:19" s="43" customFormat="1" x14ac:dyDescent="0.3">
      <c r="A18" s="44"/>
      <c r="B18" s="44"/>
      <c r="C18" s="44"/>
      <c r="D18" s="44"/>
      <c r="E18" s="44"/>
      <c r="F18" s="44"/>
      <c r="G18" s="44"/>
      <c r="H18" s="44"/>
      <c r="I18" s="44"/>
      <c r="J18" s="44"/>
      <c r="K18" s="50" t="str">
        <v>C0003</v>
      </c>
      <c r="L18" s="51">
        <v>891</v>
      </c>
      <c r="M18" s="51">
        <v>1332</v>
      </c>
      <c r="N18" s="51">
        <v>1282</v>
      </c>
      <c r="O18" s="51">
        <v>739</v>
      </c>
      <c r="P18" s="51">
        <v>560</v>
      </c>
      <c r="Q18" s="51">
        <v>4804</v>
      </c>
      <c r="R18" s="44"/>
      <c r="S18" s="44"/>
    </row>
    <row r="19" spans="1:19" s="43" customFormat="1" x14ac:dyDescent="0.3">
      <c r="A19" s="44"/>
      <c r="B19" s="44"/>
      <c r="C19" s="44"/>
      <c r="D19" s="44"/>
      <c r="E19" s="44"/>
      <c r="F19" s="44"/>
      <c r="G19" s="44"/>
      <c r="H19" s="44"/>
      <c r="I19" s="44"/>
      <c r="J19" s="44"/>
      <c r="K19" s="50" t="str">
        <v>C0004</v>
      </c>
      <c r="L19" s="51">
        <v>1991</v>
      </c>
      <c r="M19" s="51">
        <v>1886</v>
      </c>
      <c r="N19" s="51">
        <v>1206</v>
      </c>
      <c r="O19" s="51">
        <v>884</v>
      </c>
      <c r="P19" s="51">
        <v>1722</v>
      </c>
      <c r="Q19" s="51">
        <v>7689</v>
      </c>
      <c r="R19" s="44"/>
      <c r="S19" s="44"/>
    </row>
    <row r="20" spans="1:19" s="43" customFormat="1" x14ac:dyDescent="0.3">
      <c r="A20" s="44"/>
      <c r="B20" s="44"/>
      <c r="C20" s="44"/>
      <c r="D20" s="44"/>
      <c r="E20" s="44"/>
      <c r="F20" s="44"/>
      <c r="G20" s="44"/>
      <c r="H20" s="44"/>
      <c r="I20" s="44"/>
      <c r="J20" s="44"/>
      <c r="K20" s="50" t="str">
        <v>C0011</v>
      </c>
      <c r="L20" s="51">
        <v>1163</v>
      </c>
      <c r="M20" s="51">
        <v>1180</v>
      </c>
      <c r="N20" s="51">
        <v>1616</v>
      </c>
      <c r="O20" s="51">
        <v>1043</v>
      </c>
      <c r="P20" s="51">
        <v>1747</v>
      </c>
      <c r="Q20" s="51">
        <v>6749</v>
      </c>
      <c r="R20" s="44"/>
      <c r="S20" s="44"/>
    </row>
    <row r="21" spans="1:19" s="43" customFormat="1" x14ac:dyDescent="0.3">
      <c r="A21" s="44"/>
      <c r="B21" s="44"/>
      <c r="C21" s="44"/>
      <c r="D21" s="44"/>
      <c r="E21" s="44"/>
      <c r="F21" s="44"/>
      <c r="G21" s="44"/>
      <c r="H21" s="44"/>
      <c r="I21" s="44"/>
      <c r="J21" s="44"/>
      <c r="K21" s="50" t="str">
        <v>C0012</v>
      </c>
      <c r="L21" s="51">
        <v>1438</v>
      </c>
      <c r="M21" s="51">
        <v>1616</v>
      </c>
      <c r="N21" s="51">
        <v>866</v>
      </c>
      <c r="O21" s="51">
        <v>829</v>
      </c>
      <c r="P21" s="51">
        <v>2070</v>
      </c>
      <c r="Q21" s="51">
        <v>6819</v>
      </c>
      <c r="R21" s="44"/>
      <c r="S21" s="44"/>
    </row>
    <row r="22" spans="1:19" s="43" customFormat="1" x14ac:dyDescent="0.3">
      <c r="A22" s="44"/>
      <c r="B22" s="44"/>
      <c r="C22" s="44"/>
      <c r="D22" s="44"/>
      <c r="E22" s="44"/>
      <c r="F22" s="44"/>
      <c r="G22" s="44"/>
      <c r="H22" s="44"/>
      <c r="I22" s="44"/>
      <c r="J22" s="44"/>
      <c r="K22" s="48" t="str">
        <v>Cleveland</v>
      </c>
      <c r="L22" s="52" t="str">
        <v/>
      </c>
      <c r="M22" s="52" t="str">
        <v/>
      </c>
      <c r="N22" s="52" t="str">
        <v/>
      </c>
      <c r="O22" s="52" t="str">
        <v/>
      </c>
      <c r="P22" s="52" t="str">
        <v/>
      </c>
      <c r="Q22" s="52" t="str">
        <v/>
      </c>
      <c r="R22" s="44"/>
      <c r="S22" s="44"/>
    </row>
    <row r="23" spans="1:19" s="43" customFormat="1" x14ac:dyDescent="0.3">
      <c r="A23" s="44"/>
      <c r="B23" s="44"/>
      <c r="C23" s="44"/>
      <c r="D23" s="44"/>
      <c r="E23" s="44"/>
      <c r="F23" s="44"/>
      <c r="G23" s="44"/>
      <c r="H23" s="44"/>
      <c r="I23" s="44"/>
      <c r="J23" s="44"/>
      <c r="K23" s="50" t="str">
        <v>C0002</v>
      </c>
      <c r="L23" s="51">
        <v>1233</v>
      </c>
      <c r="M23" s="51">
        <v>223</v>
      </c>
      <c r="N23" s="51">
        <v>1680</v>
      </c>
      <c r="O23" s="51">
        <v>990</v>
      </c>
      <c r="P23" s="51">
        <v>1508</v>
      </c>
      <c r="Q23" s="51">
        <v>5634</v>
      </c>
      <c r="R23" s="44"/>
      <c r="S23" s="44"/>
    </row>
    <row r="24" spans="1:19" s="43" customFormat="1" x14ac:dyDescent="0.3">
      <c r="A24" s="44"/>
      <c r="B24" s="44"/>
      <c r="C24" s="44"/>
      <c r="D24" s="44"/>
      <c r="E24" s="44"/>
      <c r="F24" s="44"/>
      <c r="G24" s="44"/>
      <c r="H24" s="44"/>
      <c r="I24" s="44"/>
      <c r="J24" s="44"/>
      <c r="K24" s="50" t="str">
        <v>C0007</v>
      </c>
      <c r="L24" s="51">
        <v>1598</v>
      </c>
      <c r="M24" s="51">
        <v>1907</v>
      </c>
      <c r="N24" s="51">
        <v>869</v>
      </c>
      <c r="O24" s="51">
        <v>1426</v>
      </c>
      <c r="P24" s="51">
        <v>1416</v>
      </c>
      <c r="Q24" s="51">
        <v>7216</v>
      </c>
      <c r="R24" s="44"/>
      <c r="S24" s="44"/>
    </row>
    <row r="25" spans="1:19" s="43" customFormat="1" ht="14.75" thickBot="1" x14ac:dyDescent="0.35">
      <c r="A25" s="44"/>
      <c r="B25" s="44"/>
      <c r="C25" s="44"/>
      <c r="D25" s="44"/>
      <c r="E25" s="44"/>
      <c r="F25" s="44"/>
      <c r="G25" s="44"/>
      <c r="H25" s="53"/>
      <c r="I25" s="53"/>
      <c r="J25" s="53"/>
      <c r="K25" s="50" t="str">
        <v>C0008</v>
      </c>
      <c r="L25" s="51">
        <v>900</v>
      </c>
      <c r="M25" s="51">
        <v>1016</v>
      </c>
      <c r="N25" s="51">
        <v>960</v>
      </c>
      <c r="O25" s="51">
        <v>940</v>
      </c>
      <c r="P25" s="51">
        <v>1193</v>
      </c>
      <c r="Q25" s="51">
        <v>5009</v>
      </c>
      <c r="R25" s="44"/>
      <c r="S25" s="44"/>
    </row>
    <row r="26" spans="1:19" s="43" customFormat="1" x14ac:dyDescent="0.3">
      <c r="A26" s="44"/>
      <c r="B26" s="44"/>
      <c r="C26" s="44"/>
      <c r="D26" s="44"/>
      <c r="E26" s="44"/>
      <c r="F26" s="44"/>
      <c r="G26" s="44"/>
      <c r="H26" s="73" t="e" vm="6">
        <f>PIVOT_Call_Calculation!L108</f>
        <v>#VALUE!</v>
      </c>
      <c r="I26" s="74"/>
      <c r="J26" s="75"/>
      <c r="K26" s="50" t="str">
        <v>C0010</v>
      </c>
      <c r="L26" s="51">
        <v>900</v>
      </c>
      <c r="M26" s="51">
        <v>1470</v>
      </c>
      <c r="N26" s="51">
        <v>1617</v>
      </c>
      <c r="O26" s="51">
        <v>1314</v>
      </c>
      <c r="P26" s="51">
        <v>941</v>
      </c>
      <c r="Q26" s="51">
        <v>6242</v>
      </c>
      <c r="R26" s="44"/>
      <c r="S26" s="44"/>
    </row>
    <row r="27" spans="1:19" s="43" customFormat="1" x14ac:dyDescent="0.3">
      <c r="A27" s="44"/>
      <c r="B27" s="44"/>
      <c r="C27" s="44"/>
      <c r="D27" s="44"/>
      <c r="E27" s="44"/>
      <c r="F27" s="44"/>
      <c r="G27" s="44"/>
      <c r="H27" s="76"/>
      <c r="I27" s="77"/>
      <c r="J27" s="78"/>
      <c r="K27" s="50" t="str">
        <v>C0013</v>
      </c>
      <c r="L27" s="51">
        <v>1255</v>
      </c>
      <c r="M27" s="51">
        <v>516</v>
      </c>
      <c r="N27" s="51">
        <v>1874</v>
      </c>
      <c r="O27" s="51">
        <v>1863</v>
      </c>
      <c r="P27" s="51">
        <v>1722</v>
      </c>
      <c r="Q27" s="51">
        <v>7230</v>
      </c>
      <c r="R27" s="44"/>
      <c r="S27" s="44"/>
    </row>
    <row r="28" spans="1:19" s="43" customFormat="1" x14ac:dyDescent="0.3">
      <c r="A28" s="44"/>
      <c r="B28" s="44"/>
      <c r="C28" s="44"/>
      <c r="D28" s="44"/>
      <c r="E28" s="44"/>
      <c r="F28" s="44"/>
      <c r="G28" s="44"/>
      <c r="H28" s="76"/>
      <c r="I28" s="77"/>
      <c r="J28" s="78"/>
      <c r="K28" s="50" t="str">
        <v>C0015</v>
      </c>
      <c r="L28" s="51">
        <v>1138</v>
      </c>
      <c r="M28" s="51">
        <v>1898</v>
      </c>
      <c r="N28" s="51">
        <v>1482</v>
      </c>
      <c r="O28" s="51">
        <v>846</v>
      </c>
      <c r="P28" s="51">
        <v>1154</v>
      </c>
      <c r="Q28" s="51">
        <v>6518</v>
      </c>
      <c r="R28" s="44"/>
      <c r="S28" s="44"/>
    </row>
    <row r="29" spans="1:19" s="43" customFormat="1" x14ac:dyDescent="0.3">
      <c r="A29" s="44"/>
      <c r="B29" s="44"/>
      <c r="C29" s="44"/>
      <c r="D29" s="44"/>
      <c r="E29" s="44"/>
      <c r="F29" s="44"/>
      <c r="G29" s="44"/>
      <c r="H29" s="76"/>
      <c r="I29" s="77"/>
      <c r="J29" s="78"/>
      <c r="K29" s="48" t="str">
        <v>Columbus</v>
      </c>
      <c r="L29" s="52" t="str">
        <v/>
      </c>
      <c r="M29" s="52" t="str">
        <v/>
      </c>
      <c r="N29" s="52" t="str">
        <v/>
      </c>
      <c r="O29" s="52" t="str">
        <v/>
      </c>
      <c r="P29" s="52" t="str">
        <v/>
      </c>
      <c r="Q29" s="52" t="str">
        <v/>
      </c>
      <c r="R29" s="44"/>
      <c r="S29" s="44"/>
    </row>
    <row r="30" spans="1:19" s="43" customFormat="1" x14ac:dyDescent="0.3">
      <c r="A30" s="44"/>
      <c r="B30" s="44"/>
      <c r="C30" s="44"/>
      <c r="D30" s="44"/>
      <c r="E30" s="44"/>
      <c r="F30" s="44"/>
      <c r="G30" s="44"/>
      <c r="H30" s="76"/>
      <c r="I30" s="77"/>
      <c r="J30" s="78"/>
      <c r="K30" s="50" t="str">
        <v>C0001</v>
      </c>
      <c r="L30" s="51">
        <v>1655</v>
      </c>
      <c r="M30" s="51">
        <v>805</v>
      </c>
      <c r="N30" s="51">
        <v>2263</v>
      </c>
      <c r="O30" s="51">
        <v>987</v>
      </c>
      <c r="P30" s="51">
        <v>1075</v>
      </c>
      <c r="Q30" s="51">
        <v>6785</v>
      </c>
      <c r="R30" s="44"/>
      <c r="S30" s="44"/>
    </row>
    <row r="31" spans="1:19" s="43" customFormat="1" x14ac:dyDescent="0.3">
      <c r="A31" s="44"/>
      <c r="B31" s="44"/>
      <c r="C31" s="44"/>
      <c r="D31" s="44"/>
      <c r="E31" s="44"/>
      <c r="F31" s="44"/>
      <c r="G31" s="44"/>
      <c r="H31" s="76"/>
      <c r="I31" s="77"/>
      <c r="J31" s="78"/>
      <c r="K31" s="50" t="str">
        <v>C0005</v>
      </c>
      <c r="L31" s="51">
        <v>1104</v>
      </c>
      <c r="M31" s="51">
        <v>2280</v>
      </c>
      <c r="N31" s="51">
        <v>1445</v>
      </c>
      <c r="O31" s="51">
        <v>1722</v>
      </c>
      <c r="P31" s="51">
        <v>1196</v>
      </c>
      <c r="Q31" s="51">
        <v>7747</v>
      </c>
      <c r="R31" s="44"/>
      <c r="S31" s="44"/>
    </row>
    <row r="32" spans="1:19" s="43" customFormat="1" x14ac:dyDescent="0.3">
      <c r="A32" s="44"/>
      <c r="B32" s="44"/>
      <c r="C32" s="44"/>
      <c r="D32" s="44"/>
      <c r="E32" s="44"/>
      <c r="F32" s="44"/>
      <c r="G32" s="44"/>
      <c r="H32" s="70" t="str">
        <f>PIVOT_Call_Calculation!L105</f>
        <v>Call Rank: 186</v>
      </c>
      <c r="I32" s="71"/>
      <c r="J32" s="72"/>
      <c r="K32" s="50" t="str">
        <v>C0006</v>
      </c>
      <c r="L32" s="51">
        <v>372</v>
      </c>
      <c r="M32" s="51">
        <v>1818</v>
      </c>
      <c r="N32" s="51">
        <v>1346</v>
      </c>
      <c r="O32" s="51">
        <v>1156</v>
      </c>
      <c r="P32" s="51">
        <v>1484</v>
      </c>
      <c r="Q32" s="51">
        <v>6176</v>
      </c>
      <c r="R32" s="44"/>
      <c r="S32" s="44"/>
    </row>
    <row r="33" spans="1:19" s="43" customFormat="1" x14ac:dyDescent="0.3">
      <c r="A33" s="44"/>
      <c r="B33" s="44"/>
      <c r="C33" s="44"/>
      <c r="D33" s="44"/>
      <c r="E33" s="44"/>
      <c r="F33" s="44"/>
      <c r="G33" s="44"/>
      <c r="H33" s="70" t="str">
        <f>PIVOT_Call_Calculation!L104</f>
        <v>% of Calls: 19%</v>
      </c>
      <c r="I33" s="71"/>
      <c r="J33" s="72"/>
      <c r="K33" s="50" t="str">
        <v>C0009</v>
      </c>
      <c r="L33" s="51">
        <v>1415</v>
      </c>
      <c r="M33" s="51">
        <v>1271</v>
      </c>
      <c r="N33" s="51">
        <v>1214</v>
      </c>
      <c r="O33" s="51">
        <v>1135</v>
      </c>
      <c r="P33" s="51">
        <v>1566</v>
      </c>
      <c r="Q33" s="51">
        <v>6601</v>
      </c>
      <c r="R33" s="44"/>
      <c r="S33" s="44"/>
    </row>
    <row r="34" spans="1:19" s="43" customFormat="1" ht="14.75" thickBot="1" x14ac:dyDescent="0.35">
      <c r="A34" s="44"/>
      <c r="B34" s="44"/>
      <c r="C34" s="44"/>
      <c r="D34" s="44"/>
      <c r="E34" s="44"/>
      <c r="F34" s="44"/>
      <c r="G34" s="44"/>
      <c r="H34" s="79" t="str">
        <f>PIVOT_Call_Calculation!L106</f>
        <v>Amount Rank: 16651</v>
      </c>
      <c r="I34" s="80"/>
      <c r="J34" s="81"/>
      <c r="K34" s="50" t="str">
        <v>C0014</v>
      </c>
      <c r="L34" s="51">
        <v>1362</v>
      </c>
      <c r="M34" s="51">
        <v>1363</v>
      </c>
      <c r="N34" s="51">
        <v>1152</v>
      </c>
      <c r="O34" s="51">
        <v>777</v>
      </c>
      <c r="P34" s="51">
        <v>750</v>
      </c>
      <c r="Q34" s="51">
        <v>5404</v>
      </c>
      <c r="R34" s="44"/>
      <c r="S34" s="44"/>
    </row>
    <row r="35" spans="1:19" s="43" customFormat="1" x14ac:dyDescent="0.3">
      <c r="A35" s="44"/>
      <c r="B35" s="44"/>
      <c r="C35" s="44"/>
      <c r="D35" s="44"/>
      <c r="E35" s="44"/>
      <c r="F35" s="44"/>
      <c r="G35" s="44"/>
      <c r="H35" s="44"/>
      <c r="I35" s="44"/>
      <c r="J35" s="44"/>
      <c r="K35" s="44"/>
      <c r="L35" s="44"/>
      <c r="M35" s="44"/>
      <c r="N35" s="44"/>
      <c r="O35" s="44"/>
      <c r="P35" s="44"/>
      <c r="Q35" s="44"/>
      <c r="R35" s="44"/>
      <c r="S35" s="44"/>
    </row>
    <row r="36" spans="1:19" s="43" customFormat="1" x14ac:dyDescent="0.3">
      <c r="A36" s="24" t="s">
        <v>1170</v>
      </c>
      <c r="B36" s="44"/>
      <c r="C36" s="44"/>
      <c r="D36" s="44"/>
      <c r="E36" s="44"/>
      <c r="F36" s="44"/>
      <c r="G36" s="44"/>
      <c r="H36" s="44"/>
      <c r="I36" s="44"/>
      <c r="J36" s="44"/>
      <c r="K36" s="44"/>
      <c r="L36" s="44"/>
      <c r="M36" s="44"/>
      <c r="N36" s="44"/>
      <c r="O36" s="44"/>
      <c r="P36" s="44"/>
      <c r="Q36" s="44"/>
      <c r="R36" s="44"/>
      <c r="S36" s="44"/>
    </row>
  </sheetData>
  <mergeCells count="4">
    <mergeCell ref="H33:J33"/>
    <mergeCell ref="H26:J31"/>
    <mergeCell ref="H32:J32"/>
    <mergeCell ref="H34:J34"/>
  </mergeCells>
  <conditionalFormatting sqref="L18:P34">
    <cfRule type="dataBar" priority="3">
      <dataBar>
        <cfvo type="num" val="0"/>
        <cfvo type="formula" val="MAX($L$18:$P$34)*2"/>
        <color theme="8"/>
      </dataBar>
      <extLst>
        <ext xmlns:x14="http://schemas.microsoft.com/office/spreadsheetml/2009/9/main" uri="{B025F937-C7B1-47D3-B67F-A62EFF666E3E}">
          <x14:id>{27FFF6EC-5AA9-4090-B82D-92546663C176}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50AF5FED-27C0-41F9-967F-0D7FA33B8BD0}">
            <xm:f>L$16=PIVOT_Call_Calculation!$A$66</xm:f>
            <x14:dxf>
              <fill>
                <patternFill>
                  <bgColor theme="8" tint="0.59996337778862885"/>
                </patternFill>
              </fill>
              <border>
                <vertical/>
                <horizontal/>
              </border>
            </x14:dxf>
          </x14:cfRule>
          <x14:cfRule type="expression" priority="2" id="{49726291-A89F-4EF1-A8D4-B0A0A1CC6020}">
            <xm:f>L$16=PIVOT_Call_Calculation!$A$67</xm:f>
            <x14:dxf/>
          </x14:cfRule>
          <xm:sqref>L16:P34</xm:sqref>
        </x14:conditionalFormatting>
        <x14:conditionalFormatting xmlns:xm="http://schemas.microsoft.com/office/excel/2006/main">
          <x14:cfRule type="dataBar" id="{27FFF6EC-5AA9-4090-B82D-92546663C176}">
            <x14:dataBar minLength="0" maxLength="100" gradient="0">
              <x14:cfvo type="num">
                <xm:f>0</xm:f>
              </x14:cfvo>
              <x14:cfvo type="formula">
                <xm:f>MAX($L$18:$P$34)*2</xm:f>
              </x14:cfvo>
              <x14:negativeFillColor rgb="FFFF0000"/>
              <x14:axisColor rgb="FF000000"/>
            </x14:dataBar>
          </x14:cfRule>
          <xm:sqref>L18:P34</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893FA0-5185-4000-BCCD-B4B1DF81C6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Call_Data_Table_Sheet</vt:lpstr>
      <vt:lpstr>Icons_Assests_Notes</vt:lpstr>
      <vt:lpstr>PIVOT_Call_Calculation</vt:lpstr>
      <vt:lpstr>Call Center DashBoard_1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Ananda Ranganathan Harikrishnan</dc:creator>
  <cp:lastModifiedBy>Ananda Ranganathan Harikrishnan</cp:lastModifiedBy>
  <dcterms:created xsi:type="dcterms:W3CDTF">2015-06-05T18:17:20Z</dcterms:created>
  <dcterms:modified xsi:type="dcterms:W3CDTF">2026-01-21T17:38:17Z</dcterms:modified>
</cp:coreProperties>
</file>