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trlProps/ctrlProp2.xml" ContentType="application/vnd.ms-excel.controlproperties+xml"/>
  <Override PartName="/xl/drawings/drawing8.xml" ContentType="application/vnd.openxmlformats-officedocument.drawing+xml"/>
  <Override PartName="/xl/ctrlProps/ctrlProp3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986bd22b0a0d7d/Desktop/IT/Learnings/Data^FScience^M/Hands-On/Excel/"/>
    </mc:Choice>
  </mc:AlternateContent>
  <xr:revisionPtr revIDLastSave="0" documentId="13_ncr:1_{0342C700-940F-4089-948D-5B67CE726B85}" xr6:coauthVersionLast="47" xr6:coauthVersionMax="47" xr10:uidLastSave="{00000000-0000-0000-0000-000000000000}"/>
  <bookViews>
    <workbookView visibility="hidden" xWindow="-108" yWindow="-108" windowWidth="23256" windowHeight="12456" firstSheet="20" activeTab="27" xr2:uid="{995F1CC3-0435-40BD-8FC8-CB83E5469386}"/>
  </bookViews>
  <sheets>
    <sheet name="TOC Gallery" sheetId="46" r:id="rId1"/>
    <sheet name="Simple List" sheetId="4" r:id="rId2"/>
    <sheet name="CF" sheetId="5" r:id="rId3"/>
    <sheet name="IF" sheetId="14" r:id="rId4"/>
    <sheet name="IF + CF" sheetId="24" r:id="rId5"/>
    <sheet name="Compare Rows" sheetId="20" r:id="rId6"/>
    <sheet name="CF Other Cells" sheetId="1" r:id="rId7"/>
    <sheet name="Advanced CF" sheetId="16" r:id="rId8"/>
    <sheet name="Inv Details" sheetId="30" r:id="rId9"/>
    <sheet name="Inv Details (2)" sheetId="42" r:id="rId10"/>
    <sheet name="Inv Details (3)" sheetId="43" r:id="rId11"/>
    <sheet name="Sales Data" sheetId="31" r:id="rId12"/>
    <sheet name="Call Details" sheetId="29" r:id="rId13"/>
    <sheet name="Customer List" sheetId="28" r:id="rId14"/>
    <sheet name="Chart Data" sheetId="34" r:id="rId15"/>
    <sheet name="Count" sheetId="37" r:id="rId16"/>
    <sheet name="Attendance" sheetId="6" r:id="rId17"/>
    <sheet name="Progress Bars" sheetId="26" r:id="rId18"/>
    <sheet name="Tables" sheetId="35" r:id="rId19"/>
    <sheet name="Reveal" sheetId="22" r:id="rId20"/>
    <sheet name="Invisible" sheetId="23" r:id="rId21"/>
    <sheet name="Calendar" sheetId="15" r:id="rId22"/>
    <sheet name="Interactive Cal" sheetId="18" r:id="rId23"/>
    <sheet name="Reset" sheetId="39" r:id="rId24"/>
    <sheet name="Select All" sheetId="41" r:id="rId25"/>
    <sheet name="Toggle Chart" sheetId="13" r:id="rId26"/>
    <sheet name="Pivot Chart" sheetId="33" r:id="rId27"/>
    <sheet name="Resources" sheetId="44" r:id="rId28"/>
  </sheets>
  <definedNames>
    <definedName name="rngReset" localSheetId="23">Reset!$F$7:$R$12</definedName>
    <definedName name="rngSelectAll" localSheetId="24">'Select All'!$B$5:$B$19</definedName>
    <definedName name="rngTest">TRUE</definedName>
    <definedName name="Slicer_Genre">#REF!</definedName>
    <definedName name="Slicer_Status">#REF!</definedName>
  </definedNames>
  <calcPr calcId="191029"/>
  <pivotCaches>
    <pivotCache cacheId="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7" l="1"/>
  <c r="O4" i="43" a="1"/>
  <c r="O4" i="43" s="1"/>
  <c r="J4" i="43" s="1" a="1"/>
  <c r="J4" i="42" a="1"/>
  <c r="J4" i="42" s="1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6" i="42"/>
  <c r="G35" i="42"/>
  <c r="G34" i="42"/>
  <c r="G33" i="42"/>
  <c r="G32" i="42"/>
  <c r="G31" i="42"/>
  <c r="G30" i="42"/>
  <c r="G29" i="42"/>
  <c r="G28" i="42"/>
  <c r="G27" i="42"/>
  <c r="G26" i="42"/>
  <c r="G25" i="42"/>
  <c r="G24" i="42"/>
  <c r="G23" i="42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4" i="42"/>
  <c r="G18" i="6"/>
  <c r="F18" i="6"/>
  <c r="E18" i="6"/>
  <c r="D18" i="6"/>
  <c r="C18" i="6"/>
  <c r="J4" i="30" a="1"/>
  <c r="J4" i="29" a="1"/>
  <c r="O17" i="13"/>
  <c r="O16" i="13"/>
  <c r="O15" i="13"/>
  <c r="O14" i="13"/>
  <c r="O13" i="13"/>
  <c r="O12" i="13"/>
  <c r="O11" i="13"/>
  <c r="O10" i="13"/>
  <c r="O9" i="13"/>
  <c r="O8" i="13"/>
  <c r="O7" i="13"/>
  <c r="O6" i="13"/>
  <c r="U4" i="39"/>
  <c r="G4" i="39"/>
  <c r="I4" i="39" s="1"/>
  <c r="K4" i="39" s="1"/>
  <c r="M4" i="39" s="1"/>
  <c r="O4" i="39" s="1"/>
  <c r="Q4" i="39" s="1"/>
  <c r="U4" i="18"/>
  <c r="E7" i="18" s="1"/>
  <c r="G7" i="18" s="1"/>
  <c r="I7" i="18" s="1"/>
  <c r="K7" i="18" s="1"/>
  <c r="M7" i="18" s="1"/>
  <c r="O7" i="18" s="1"/>
  <c r="Q7" i="18" s="1"/>
  <c r="E8" i="18" s="1"/>
  <c r="G8" i="18" s="1"/>
  <c r="I8" i="18" s="1"/>
  <c r="K8" i="18" s="1"/>
  <c r="M8" i="18" s="1"/>
  <c r="O8" i="18" s="1"/>
  <c r="Q8" i="18" s="1"/>
  <c r="E9" i="18" s="1"/>
  <c r="G9" i="18" s="1"/>
  <c r="I9" i="18" s="1"/>
  <c r="K9" i="18" s="1"/>
  <c r="M9" i="18" s="1"/>
  <c r="O9" i="18" s="1"/>
  <c r="Q9" i="18" s="1"/>
  <c r="E10" i="18" s="1"/>
  <c r="G10" i="18" s="1"/>
  <c r="I10" i="18" s="1"/>
  <c r="K10" i="18" s="1"/>
  <c r="M10" i="18" s="1"/>
  <c r="O10" i="18" s="1"/>
  <c r="Q10" i="18" s="1"/>
  <c r="E11" i="18" s="1"/>
  <c r="G11" i="18" s="1"/>
  <c r="I11" i="18" s="1"/>
  <c r="K11" i="18" s="1"/>
  <c r="M11" i="18" s="1"/>
  <c r="O11" i="18" s="1"/>
  <c r="Q11" i="18" s="1"/>
  <c r="E12" i="18" s="1"/>
  <c r="G12" i="18" s="1"/>
  <c r="I12" i="18" s="1"/>
  <c r="K12" i="18" s="1"/>
  <c r="M12" i="18" s="1"/>
  <c r="O12" i="18" s="1"/>
  <c r="Q12" i="18" s="1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5" i="24"/>
  <c r="K6" i="34" a="1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Q662" i="31"/>
  <c r="P662" i="31"/>
  <c r="O662" i="31"/>
  <c r="N662" i="31"/>
  <c r="Q661" i="31"/>
  <c r="P661" i="31"/>
  <c r="O661" i="31"/>
  <c r="N661" i="31"/>
  <c r="Q660" i="31"/>
  <c r="P660" i="31"/>
  <c r="O660" i="31"/>
  <c r="N660" i="31"/>
  <c r="Q659" i="31"/>
  <c r="P659" i="31"/>
  <c r="O659" i="31"/>
  <c r="N659" i="31"/>
  <c r="Q658" i="31"/>
  <c r="P658" i="31"/>
  <c r="O658" i="31"/>
  <c r="N658" i="31"/>
  <c r="Q657" i="31"/>
  <c r="P657" i="31"/>
  <c r="O657" i="31"/>
  <c r="N657" i="31"/>
  <c r="Q656" i="31"/>
  <c r="P656" i="31"/>
  <c r="O656" i="31"/>
  <c r="N656" i="31"/>
  <c r="Q655" i="31"/>
  <c r="P655" i="31"/>
  <c r="O655" i="31"/>
  <c r="N655" i="31"/>
  <c r="Q654" i="31"/>
  <c r="P654" i="31"/>
  <c r="O654" i="31"/>
  <c r="N654" i="31"/>
  <c r="Q653" i="31"/>
  <c r="P653" i="31"/>
  <c r="O653" i="31"/>
  <c r="N653" i="31"/>
  <c r="Q652" i="31"/>
  <c r="P652" i="31"/>
  <c r="O652" i="31"/>
  <c r="N652" i="31"/>
  <c r="Q651" i="31"/>
  <c r="P651" i="31"/>
  <c r="O651" i="31"/>
  <c r="N651" i="31"/>
  <c r="Q650" i="31"/>
  <c r="P650" i="31"/>
  <c r="O650" i="31"/>
  <c r="N650" i="31"/>
  <c r="Q649" i="31"/>
  <c r="P649" i="31"/>
  <c r="O649" i="31"/>
  <c r="N649" i="31"/>
  <c r="Q648" i="31"/>
  <c r="P648" i="31"/>
  <c r="O648" i="31"/>
  <c r="N648" i="31"/>
  <c r="Q647" i="31"/>
  <c r="P647" i="31"/>
  <c r="O647" i="31"/>
  <c r="N647" i="31"/>
  <c r="Q646" i="31"/>
  <c r="P646" i="31"/>
  <c r="O646" i="31"/>
  <c r="N646" i="31"/>
  <c r="Q645" i="31"/>
  <c r="P645" i="31"/>
  <c r="O645" i="31"/>
  <c r="N645" i="31"/>
  <c r="Q644" i="31"/>
  <c r="P644" i="31"/>
  <c r="O644" i="31"/>
  <c r="N644" i="31"/>
  <c r="Q643" i="31"/>
  <c r="P643" i="31"/>
  <c r="O643" i="31"/>
  <c r="N643" i="31"/>
  <c r="Q642" i="31"/>
  <c r="P642" i="31"/>
  <c r="O642" i="31"/>
  <c r="N642" i="31"/>
  <c r="Q641" i="31"/>
  <c r="P641" i="31"/>
  <c r="O641" i="31"/>
  <c r="N641" i="31"/>
  <c r="Q640" i="31"/>
  <c r="P640" i="31"/>
  <c r="O640" i="31"/>
  <c r="N640" i="31"/>
  <c r="Q639" i="31"/>
  <c r="P639" i="31"/>
  <c r="O639" i="31"/>
  <c r="N639" i="31"/>
  <c r="Q638" i="31"/>
  <c r="P638" i="31"/>
  <c r="O638" i="31"/>
  <c r="N638" i="31"/>
  <c r="Q637" i="31"/>
  <c r="P637" i="31"/>
  <c r="O637" i="31"/>
  <c r="N637" i="31"/>
  <c r="Q636" i="31"/>
  <c r="P636" i="31"/>
  <c r="O636" i="31"/>
  <c r="N636" i="31"/>
  <c r="Q635" i="31"/>
  <c r="P635" i="31"/>
  <c r="O635" i="31"/>
  <c r="N635" i="31"/>
  <c r="Q634" i="31"/>
  <c r="P634" i="31"/>
  <c r="O634" i="31"/>
  <c r="N634" i="31"/>
  <c r="Q633" i="31"/>
  <c r="P633" i="31"/>
  <c r="O633" i="31"/>
  <c r="N633" i="31"/>
  <c r="Q632" i="31"/>
  <c r="P632" i="31"/>
  <c r="O632" i="31"/>
  <c r="N632" i="31"/>
  <c r="Q631" i="31"/>
  <c r="P631" i="31"/>
  <c r="O631" i="31"/>
  <c r="N631" i="31"/>
  <c r="Q630" i="31"/>
  <c r="P630" i="31"/>
  <c r="O630" i="31"/>
  <c r="N630" i="31"/>
  <c r="Q629" i="31"/>
  <c r="P629" i="31"/>
  <c r="O629" i="31"/>
  <c r="N629" i="31"/>
  <c r="Q628" i="31"/>
  <c r="P628" i="31"/>
  <c r="O628" i="31"/>
  <c r="N628" i="31"/>
  <c r="Q627" i="31"/>
  <c r="P627" i="31"/>
  <c r="O627" i="31"/>
  <c r="N627" i="31"/>
  <c r="Q626" i="31"/>
  <c r="P626" i="31"/>
  <c r="O626" i="31"/>
  <c r="N626" i="31"/>
  <c r="Q625" i="31"/>
  <c r="P625" i="31"/>
  <c r="O625" i="31"/>
  <c r="N625" i="31"/>
  <c r="Q624" i="31"/>
  <c r="P624" i="31"/>
  <c r="O624" i="31"/>
  <c r="N624" i="31"/>
  <c r="Q623" i="31"/>
  <c r="P623" i="31"/>
  <c r="O623" i="31"/>
  <c r="N623" i="31"/>
  <c r="Q622" i="31"/>
  <c r="P622" i="31"/>
  <c r="O622" i="31"/>
  <c r="N622" i="31"/>
  <c r="Q621" i="31"/>
  <c r="P621" i="31"/>
  <c r="O621" i="31"/>
  <c r="N621" i="31"/>
  <c r="Q620" i="31"/>
  <c r="P620" i="31"/>
  <c r="O620" i="31"/>
  <c r="N620" i="31"/>
  <c r="Q619" i="31"/>
  <c r="P619" i="31"/>
  <c r="O619" i="31"/>
  <c r="N619" i="31"/>
  <c r="Q618" i="31"/>
  <c r="P618" i="31"/>
  <c r="O618" i="31"/>
  <c r="N618" i="31"/>
  <c r="Q617" i="31"/>
  <c r="P617" i="31"/>
  <c r="O617" i="31"/>
  <c r="N617" i="31"/>
  <c r="Q616" i="31"/>
  <c r="P616" i="31"/>
  <c r="O616" i="31"/>
  <c r="N616" i="31"/>
  <c r="Q615" i="31"/>
  <c r="P615" i="31"/>
  <c r="O615" i="31"/>
  <c r="N615" i="31"/>
  <c r="Q614" i="31"/>
  <c r="P614" i="31"/>
  <c r="O614" i="31"/>
  <c r="N614" i="31"/>
  <c r="Q613" i="31"/>
  <c r="P613" i="31"/>
  <c r="O613" i="31"/>
  <c r="N613" i="31"/>
  <c r="Q612" i="31"/>
  <c r="P612" i="31"/>
  <c r="O612" i="31"/>
  <c r="N612" i="31"/>
  <c r="Q611" i="31"/>
  <c r="P611" i="31"/>
  <c r="O611" i="31"/>
  <c r="N611" i="31"/>
  <c r="Q610" i="31"/>
  <c r="P610" i="31"/>
  <c r="O610" i="31"/>
  <c r="N610" i="31"/>
  <c r="Q609" i="31"/>
  <c r="P609" i="31"/>
  <c r="O609" i="31"/>
  <c r="N609" i="31"/>
  <c r="Q608" i="31"/>
  <c r="P608" i="31"/>
  <c r="O608" i="31"/>
  <c r="N608" i="31"/>
  <c r="Q607" i="31"/>
  <c r="P607" i="31"/>
  <c r="O607" i="31"/>
  <c r="N607" i="31"/>
  <c r="Q606" i="31"/>
  <c r="P606" i="31"/>
  <c r="O606" i="31"/>
  <c r="N606" i="31"/>
  <c r="Q605" i="31"/>
  <c r="P605" i="31"/>
  <c r="O605" i="31"/>
  <c r="N605" i="31"/>
  <c r="Q604" i="31"/>
  <c r="P604" i="31"/>
  <c r="O604" i="31"/>
  <c r="N604" i="31"/>
  <c r="Q603" i="31"/>
  <c r="P603" i="31"/>
  <c r="O603" i="31"/>
  <c r="N603" i="31"/>
  <c r="Q602" i="31"/>
  <c r="P602" i="31"/>
  <c r="O602" i="31"/>
  <c r="N602" i="31"/>
  <c r="Q601" i="31"/>
  <c r="P601" i="31"/>
  <c r="O601" i="31"/>
  <c r="N601" i="31"/>
  <c r="Q600" i="31"/>
  <c r="P600" i="31"/>
  <c r="O600" i="31"/>
  <c r="N600" i="31"/>
  <c r="Q599" i="31"/>
  <c r="P599" i="31"/>
  <c r="O599" i="31"/>
  <c r="N599" i="31"/>
  <c r="Q598" i="31"/>
  <c r="P598" i="31"/>
  <c r="O598" i="31"/>
  <c r="N598" i="31"/>
  <c r="Q597" i="31"/>
  <c r="P597" i="31"/>
  <c r="O597" i="31"/>
  <c r="N597" i="31"/>
  <c r="Q596" i="31"/>
  <c r="P596" i="31"/>
  <c r="O596" i="31"/>
  <c r="N596" i="31"/>
  <c r="Q595" i="31"/>
  <c r="P595" i="31"/>
  <c r="O595" i="31"/>
  <c r="N595" i="31"/>
  <c r="Q594" i="31"/>
  <c r="P594" i="31"/>
  <c r="O594" i="31"/>
  <c r="N594" i="31"/>
  <c r="Q593" i="31"/>
  <c r="P593" i="31"/>
  <c r="O593" i="31"/>
  <c r="N593" i="31"/>
  <c r="Q592" i="31"/>
  <c r="P592" i="31"/>
  <c r="O592" i="31"/>
  <c r="N592" i="31"/>
  <c r="Q591" i="31"/>
  <c r="P591" i="31"/>
  <c r="O591" i="31"/>
  <c r="N591" i="31"/>
  <c r="Q590" i="31"/>
  <c r="P590" i="31"/>
  <c r="O590" i="31"/>
  <c r="N590" i="31"/>
  <c r="Q589" i="31"/>
  <c r="P589" i="31"/>
  <c r="O589" i="31"/>
  <c r="N589" i="31"/>
  <c r="Q588" i="31"/>
  <c r="P588" i="31"/>
  <c r="O588" i="31"/>
  <c r="N588" i="31"/>
  <c r="Q587" i="31"/>
  <c r="P587" i="31"/>
  <c r="O587" i="31"/>
  <c r="N587" i="31"/>
  <c r="Q586" i="31"/>
  <c r="P586" i="31"/>
  <c r="O586" i="31"/>
  <c r="N586" i="31"/>
  <c r="Q585" i="31"/>
  <c r="P585" i="31"/>
  <c r="O585" i="31"/>
  <c r="N585" i="31"/>
  <c r="Q584" i="31"/>
  <c r="P584" i="31"/>
  <c r="O584" i="31"/>
  <c r="N584" i="31"/>
  <c r="Q583" i="31"/>
  <c r="P583" i="31"/>
  <c r="O583" i="31"/>
  <c r="N583" i="31"/>
  <c r="Q582" i="31"/>
  <c r="P582" i="31"/>
  <c r="O582" i="31"/>
  <c r="N582" i="31"/>
  <c r="Q581" i="31"/>
  <c r="P581" i="31"/>
  <c r="O581" i="31"/>
  <c r="N581" i="31"/>
  <c r="Q580" i="31"/>
  <c r="P580" i="31"/>
  <c r="O580" i="31"/>
  <c r="N580" i="31"/>
  <c r="Q579" i="31"/>
  <c r="P579" i="31"/>
  <c r="O579" i="31"/>
  <c r="N579" i="31"/>
  <c r="Q578" i="31"/>
  <c r="P578" i="31"/>
  <c r="O578" i="31"/>
  <c r="N578" i="31"/>
  <c r="Q577" i="31"/>
  <c r="P577" i="31"/>
  <c r="O577" i="31"/>
  <c r="N577" i="31"/>
  <c r="Q576" i="31"/>
  <c r="P576" i="31"/>
  <c r="O576" i="31"/>
  <c r="N576" i="31"/>
  <c r="Q575" i="31"/>
  <c r="P575" i="31"/>
  <c r="O575" i="31"/>
  <c r="N575" i="31"/>
  <c r="Q574" i="31"/>
  <c r="P574" i="31"/>
  <c r="O574" i="31"/>
  <c r="N574" i="31"/>
  <c r="Q573" i="31"/>
  <c r="P573" i="31"/>
  <c r="O573" i="31"/>
  <c r="N573" i="31"/>
  <c r="Q572" i="31"/>
  <c r="P572" i="31"/>
  <c r="O572" i="31"/>
  <c r="N572" i="31"/>
  <c r="Q571" i="31"/>
  <c r="P571" i="31"/>
  <c r="O571" i="31"/>
  <c r="N571" i="31"/>
  <c r="Q570" i="31"/>
  <c r="P570" i="31"/>
  <c r="O570" i="31"/>
  <c r="N570" i="31"/>
  <c r="Q569" i="31"/>
  <c r="P569" i="31"/>
  <c r="O569" i="31"/>
  <c r="N569" i="31"/>
  <c r="Q568" i="31"/>
  <c r="P568" i="31"/>
  <c r="O568" i="31"/>
  <c r="N568" i="31"/>
  <c r="Q567" i="31"/>
  <c r="P567" i="31"/>
  <c r="O567" i="31"/>
  <c r="N567" i="31"/>
  <c r="Q566" i="31"/>
  <c r="P566" i="31"/>
  <c r="O566" i="31"/>
  <c r="N566" i="31"/>
  <c r="Q565" i="31"/>
  <c r="P565" i="31"/>
  <c r="O565" i="31"/>
  <c r="N565" i="31"/>
  <c r="Q564" i="31"/>
  <c r="P564" i="31"/>
  <c r="O564" i="31"/>
  <c r="N564" i="31"/>
  <c r="Q563" i="31"/>
  <c r="P563" i="31"/>
  <c r="O563" i="31"/>
  <c r="N563" i="31"/>
  <c r="Q562" i="31"/>
  <c r="P562" i="31"/>
  <c r="O562" i="31"/>
  <c r="N562" i="31"/>
  <c r="Q561" i="31"/>
  <c r="P561" i="31"/>
  <c r="O561" i="31"/>
  <c r="N561" i="31"/>
  <c r="Q560" i="31"/>
  <c r="P560" i="31"/>
  <c r="O560" i="31"/>
  <c r="N560" i="31"/>
  <c r="Q559" i="31"/>
  <c r="P559" i="31"/>
  <c r="O559" i="31"/>
  <c r="N559" i="31"/>
  <c r="Q558" i="31"/>
  <c r="P558" i="31"/>
  <c r="O558" i="31"/>
  <c r="N558" i="31"/>
  <c r="Q557" i="31"/>
  <c r="P557" i="31"/>
  <c r="O557" i="31"/>
  <c r="N557" i="31"/>
  <c r="Q556" i="31"/>
  <c r="P556" i="31"/>
  <c r="O556" i="31"/>
  <c r="N556" i="31"/>
  <c r="Q555" i="31"/>
  <c r="P555" i="31"/>
  <c r="O555" i="31"/>
  <c r="N555" i="31"/>
  <c r="Q554" i="31"/>
  <c r="P554" i="31"/>
  <c r="O554" i="31"/>
  <c r="N554" i="31"/>
  <c r="Q553" i="31"/>
  <c r="P553" i="31"/>
  <c r="O553" i="31"/>
  <c r="N553" i="31"/>
  <c r="Q552" i="31"/>
  <c r="P552" i="31"/>
  <c r="O552" i="31"/>
  <c r="N552" i="31"/>
  <c r="Q551" i="31"/>
  <c r="P551" i="31"/>
  <c r="O551" i="31"/>
  <c r="N551" i="31"/>
  <c r="Q550" i="31"/>
  <c r="P550" i="31"/>
  <c r="O550" i="31"/>
  <c r="N550" i="31"/>
  <c r="Q549" i="31"/>
  <c r="P549" i="31"/>
  <c r="O549" i="31"/>
  <c r="N549" i="31"/>
  <c r="Q548" i="31"/>
  <c r="P548" i="31"/>
  <c r="O548" i="31"/>
  <c r="N548" i="31"/>
  <c r="Q547" i="31"/>
  <c r="P547" i="31"/>
  <c r="O547" i="31"/>
  <c r="N547" i="31"/>
  <c r="Q546" i="31"/>
  <c r="P546" i="31"/>
  <c r="O546" i="31"/>
  <c r="N546" i="31"/>
  <c r="Q545" i="31"/>
  <c r="P545" i="31"/>
  <c r="O545" i="31"/>
  <c r="N545" i="31"/>
  <c r="Q544" i="31"/>
  <c r="P544" i="31"/>
  <c r="O544" i="31"/>
  <c r="N544" i="31"/>
  <c r="Q543" i="31"/>
  <c r="P543" i="31"/>
  <c r="O543" i="31"/>
  <c r="N543" i="31"/>
  <c r="Q542" i="31"/>
  <c r="P542" i="31"/>
  <c r="O542" i="31"/>
  <c r="N542" i="31"/>
  <c r="Q541" i="31"/>
  <c r="P541" i="31"/>
  <c r="O541" i="31"/>
  <c r="N541" i="31"/>
  <c r="Q540" i="31"/>
  <c r="P540" i="31"/>
  <c r="O540" i="31"/>
  <c r="N540" i="31"/>
  <c r="Q539" i="31"/>
  <c r="P539" i="31"/>
  <c r="O539" i="31"/>
  <c r="N539" i="31"/>
  <c r="Q538" i="31"/>
  <c r="P538" i="31"/>
  <c r="O538" i="31"/>
  <c r="N538" i="31"/>
  <c r="Q537" i="31"/>
  <c r="P537" i="31"/>
  <c r="O537" i="31"/>
  <c r="N537" i="31"/>
  <c r="Q536" i="31"/>
  <c r="P536" i="31"/>
  <c r="O536" i="31"/>
  <c r="N536" i="31"/>
  <c r="Q535" i="31"/>
  <c r="P535" i="31"/>
  <c r="O535" i="31"/>
  <c r="N535" i="31"/>
  <c r="Q534" i="31"/>
  <c r="P534" i="31"/>
  <c r="O534" i="31"/>
  <c r="N534" i="31"/>
  <c r="Q533" i="31"/>
  <c r="P533" i="31"/>
  <c r="O533" i="31"/>
  <c r="N533" i="31"/>
  <c r="Q532" i="31"/>
  <c r="P532" i="31"/>
  <c r="O532" i="31"/>
  <c r="N532" i="31"/>
  <c r="Q531" i="31"/>
  <c r="P531" i="31"/>
  <c r="O531" i="31"/>
  <c r="N531" i="31"/>
  <c r="Q530" i="31"/>
  <c r="P530" i="31"/>
  <c r="O530" i="31"/>
  <c r="N530" i="31"/>
  <c r="Q529" i="31"/>
  <c r="P529" i="31"/>
  <c r="O529" i="31"/>
  <c r="N529" i="31"/>
  <c r="Q528" i="31"/>
  <c r="P528" i="31"/>
  <c r="O528" i="31"/>
  <c r="N528" i="31"/>
  <c r="Q527" i="31"/>
  <c r="P527" i="31"/>
  <c r="O527" i="31"/>
  <c r="N527" i="31"/>
  <c r="Q526" i="31"/>
  <c r="P526" i="31"/>
  <c r="O526" i="31"/>
  <c r="N526" i="31"/>
  <c r="Q525" i="31"/>
  <c r="P525" i="31"/>
  <c r="O525" i="31"/>
  <c r="N525" i="31"/>
  <c r="Q524" i="31"/>
  <c r="P524" i="31"/>
  <c r="O524" i="31"/>
  <c r="N524" i="31"/>
  <c r="Q523" i="31"/>
  <c r="P523" i="31"/>
  <c r="O523" i="31"/>
  <c r="N523" i="31"/>
  <c r="Q522" i="31"/>
  <c r="P522" i="31"/>
  <c r="O522" i="31"/>
  <c r="N522" i="31"/>
  <c r="Q521" i="31"/>
  <c r="P521" i="31"/>
  <c r="O521" i="31"/>
  <c r="N521" i="31"/>
  <c r="Q520" i="31"/>
  <c r="P520" i="31"/>
  <c r="O520" i="31"/>
  <c r="N520" i="31"/>
  <c r="Q519" i="31"/>
  <c r="P519" i="31"/>
  <c r="O519" i="31"/>
  <c r="N519" i="31"/>
  <c r="Q518" i="31"/>
  <c r="P518" i="31"/>
  <c r="O518" i="31"/>
  <c r="N518" i="31"/>
  <c r="Q517" i="31"/>
  <c r="P517" i="31"/>
  <c r="O517" i="31"/>
  <c r="N517" i="31"/>
  <c r="Q516" i="31"/>
  <c r="P516" i="31"/>
  <c r="O516" i="31"/>
  <c r="N516" i="31"/>
  <c r="Q515" i="31"/>
  <c r="P515" i="31"/>
  <c r="O515" i="31"/>
  <c r="N515" i="31"/>
  <c r="Q514" i="31"/>
  <c r="P514" i="31"/>
  <c r="O514" i="31"/>
  <c r="N514" i="31"/>
  <c r="Q513" i="31"/>
  <c r="P513" i="31"/>
  <c r="O513" i="31"/>
  <c r="N513" i="31"/>
  <c r="Q512" i="31"/>
  <c r="P512" i="31"/>
  <c r="O512" i="31"/>
  <c r="N512" i="31"/>
  <c r="Q511" i="31"/>
  <c r="P511" i="31"/>
  <c r="O511" i="31"/>
  <c r="N511" i="31"/>
  <c r="Q510" i="31"/>
  <c r="P510" i="31"/>
  <c r="O510" i="31"/>
  <c r="N510" i="31"/>
  <c r="Q509" i="31"/>
  <c r="P509" i="31"/>
  <c r="O509" i="31"/>
  <c r="N509" i="31"/>
  <c r="Q508" i="31"/>
  <c r="P508" i="31"/>
  <c r="O508" i="31"/>
  <c r="N508" i="31"/>
  <c r="Q507" i="31"/>
  <c r="P507" i="31"/>
  <c r="O507" i="31"/>
  <c r="N507" i="31"/>
  <c r="Q506" i="31"/>
  <c r="P506" i="31"/>
  <c r="O506" i="31"/>
  <c r="N506" i="31"/>
  <c r="Q505" i="31"/>
  <c r="P505" i="31"/>
  <c r="O505" i="31"/>
  <c r="N505" i="31"/>
  <c r="Q504" i="31"/>
  <c r="P504" i="31"/>
  <c r="O504" i="31"/>
  <c r="N504" i="31"/>
  <c r="Q503" i="31"/>
  <c r="P503" i="31"/>
  <c r="O503" i="31"/>
  <c r="N503" i="31"/>
  <c r="Q502" i="31"/>
  <c r="P502" i="31"/>
  <c r="O502" i="31"/>
  <c r="N502" i="31"/>
  <c r="Q501" i="31"/>
  <c r="P501" i="31"/>
  <c r="O501" i="31"/>
  <c r="N501" i="31"/>
  <c r="Q500" i="31"/>
  <c r="P500" i="31"/>
  <c r="O500" i="31"/>
  <c r="N500" i="31"/>
  <c r="Q499" i="31"/>
  <c r="P499" i="31"/>
  <c r="O499" i="31"/>
  <c r="N499" i="31"/>
  <c r="Q498" i="31"/>
  <c r="P498" i="31"/>
  <c r="O498" i="31"/>
  <c r="N498" i="31"/>
  <c r="Q497" i="31"/>
  <c r="P497" i="31"/>
  <c r="O497" i="31"/>
  <c r="N497" i="31"/>
  <c r="Q496" i="31"/>
  <c r="P496" i="31"/>
  <c r="O496" i="31"/>
  <c r="N496" i="31"/>
  <c r="Q495" i="31"/>
  <c r="P495" i="31"/>
  <c r="O495" i="31"/>
  <c r="N495" i="31"/>
  <c r="Q494" i="31"/>
  <c r="P494" i="31"/>
  <c r="O494" i="31"/>
  <c r="N494" i="31"/>
  <c r="Q493" i="31"/>
  <c r="P493" i="31"/>
  <c r="O493" i="31"/>
  <c r="N493" i="31"/>
  <c r="Q492" i="31"/>
  <c r="P492" i="31"/>
  <c r="O492" i="31"/>
  <c r="N492" i="31"/>
  <c r="Q491" i="31"/>
  <c r="P491" i="31"/>
  <c r="O491" i="31"/>
  <c r="N491" i="31"/>
  <c r="Q490" i="31"/>
  <c r="P490" i="31"/>
  <c r="O490" i="31"/>
  <c r="N490" i="31"/>
  <c r="Q489" i="31"/>
  <c r="P489" i="31"/>
  <c r="O489" i="31"/>
  <c r="N489" i="31"/>
  <c r="Q488" i="31"/>
  <c r="P488" i="31"/>
  <c r="O488" i="31"/>
  <c r="N488" i="31"/>
  <c r="Q487" i="31"/>
  <c r="P487" i="31"/>
  <c r="O487" i="31"/>
  <c r="N487" i="31"/>
  <c r="Q486" i="31"/>
  <c r="P486" i="31"/>
  <c r="O486" i="31"/>
  <c r="N486" i="31"/>
  <c r="Q485" i="31"/>
  <c r="P485" i="31"/>
  <c r="O485" i="31"/>
  <c r="N485" i="31"/>
  <c r="Q484" i="31"/>
  <c r="P484" i="31"/>
  <c r="O484" i="31"/>
  <c r="N484" i="31"/>
  <c r="Q483" i="31"/>
  <c r="P483" i="31"/>
  <c r="O483" i="31"/>
  <c r="N483" i="31"/>
  <c r="Q482" i="31"/>
  <c r="P482" i="31"/>
  <c r="O482" i="31"/>
  <c r="N482" i="31"/>
  <c r="Q481" i="31"/>
  <c r="P481" i="31"/>
  <c r="O481" i="31"/>
  <c r="N481" i="31"/>
  <c r="Q480" i="31"/>
  <c r="P480" i="31"/>
  <c r="O480" i="31"/>
  <c r="N480" i="31"/>
  <c r="Q479" i="31"/>
  <c r="P479" i="31"/>
  <c r="O479" i="31"/>
  <c r="N479" i="31"/>
  <c r="Q478" i="31"/>
  <c r="P478" i="31"/>
  <c r="O478" i="31"/>
  <c r="N478" i="31"/>
  <c r="Q477" i="31"/>
  <c r="P477" i="31"/>
  <c r="O477" i="31"/>
  <c r="N477" i="31"/>
  <c r="Q476" i="31"/>
  <c r="P476" i="31"/>
  <c r="O476" i="31"/>
  <c r="N476" i="31"/>
  <c r="Q475" i="31"/>
  <c r="P475" i="31"/>
  <c r="O475" i="31"/>
  <c r="N475" i="31"/>
  <c r="Q474" i="31"/>
  <c r="P474" i="31"/>
  <c r="O474" i="31"/>
  <c r="N474" i="31"/>
  <c r="Q473" i="31"/>
  <c r="P473" i="31"/>
  <c r="O473" i="31"/>
  <c r="N473" i="31"/>
  <c r="Q472" i="31"/>
  <c r="P472" i="31"/>
  <c r="O472" i="31"/>
  <c r="N472" i="31"/>
  <c r="Q471" i="31"/>
  <c r="P471" i="31"/>
  <c r="O471" i="31"/>
  <c r="N471" i="31"/>
  <c r="Q470" i="31"/>
  <c r="P470" i="31"/>
  <c r="O470" i="31"/>
  <c r="N470" i="31"/>
  <c r="Q469" i="31"/>
  <c r="P469" i="31"/>
  <c r="O469" i="31"/>
  <c r="N469" i="31"/>
  <c r="Q468" i="31"/>
  <c r="P468" i="31"/>
  <c r="O468" i="31"/>
  <c r="N468" i="31"/>
  <c r="Q467" i="31"/>
  <c r="P467" i="31"/>
  <c r="O467" i="31"/>
  <c r="N467" i="31"/>
  <c r="Q466" i="31"/>
  <c r="P466" i="31"/>
  <c r="O466" i="31"/>
  <c r="N466" i="31"/>
  <c r="Q465" i="31"/>
  <c r="P465" i="31"/>
  <c r="O465" i="31"/>
  <c r="N465" i="31"/>
  <c r="Q464" i="31"/>
  <c r="P464" i="31"/>
  <c r="O464" i="31"/>
  <c r="N464" i="31"/>
  <c r="Q463" i="31"/>
  <c r="P463" i="31"/>
  <c r="O463" i="31"/>
  <c r="N463" i="31"/>
  <c r="Q462" i="31"/>
  <c r="P462" i="31"/>
  <c r="O462" i="31"/>
  <c r="N462" i="31"/>
  <c r="Q461" i="31"/>
  <c r="P461" i="31"/>
  <c r="O461" i="31"/>
  <c r="N461" i="31"/>
  <c r="Q460" i="31"/>
  <c r="P460" i="31"/>
  <c r="O460" i="31"/>
  <c r="N460" i="31"/>
  <c r="Q459" i="31"/>
  <c r="P459" i="31"/>
  <c r="O459" i="31"/>
  <c r="N459" i="31"/>
  <c r="Q458" i="31"/>
  <c r="P458" i="31"/>
  <c r="O458" i="31"/>
  <c r="N458" i="31"/>
  <c r="Q457" i="31"/>
  <c r="P457" i="31"/>
  <c r="O457" i="31"/>
  <c r="N457" i="31"/>
  <c r="Q456" i="31"/>
  <c r="P456" i="31"/>
  <c r="O456" i="31"/>
  <c r="N456" i="31"/>
  <c r="Q455" i="31"/>
  <c r="P455" i="31"/>
  <c r="O455" i="31"/>
  <c r="N455" i="31"/>
  <c r="Q454" i="31"/>
  <c r="P454" i="31"/>
  <c r="O454" i="31"/>
  <c r="N454" i="31"/>
  <c r="Q453" i="31"/>
  <c r="P453" i="31"/>
  <c r="O453" i="31"/>
  <c r="N453" i="31"/>
  <c r="Q452" i="31"/>
  <c r="P452" i="31"/>
  <c r="O452" i="31"/>
  <c r="N452" i="31"/>
  <c r="Q451" i="31"/>
  <c r="P451" i="31"/>
  <c r="O451" i="31"/>
  <c r="N451" i="31"/>
  <c r="Q450" i="31"/>
  <c r="P450" i="31"/>
  <c r="O450" i="31"/>
  <c r="N450" i="31"/>
  <c r="Q449" i="31"/>
  <c r="P449" i="31"/>
  <c r="O449" i="31"/>
  <c r="N449" i="31"/>
  <c r="Q448" i="31"/>
  <c r="P448" i="31"/>
  <c r="O448" i="31"/>
  <c r="N448" i="31"/>
  <c r="Q447" i="31"/>
  <c r="P447" i="31"/>
  <c r="O447" i="31"/>
  <c r="N447" i="31"/>
  <c r="Q446" i="31"/>
  <c r="P446" i="31"/>
  <c r="O446" i="31"/>
  <c r="N446" i="31"/>
  <c r="Q445" i="31"/>
  <c r="P445" i="31"/>
  <c r="O445" i="31"/>
  <c r="N445" i="31"/>
  <c r="Q444" i="31"/>
  <c r="P444" i="31"/>
  <c r="O444" i="31"/>
  <c r="N444" i="31"/>
  <c r="Q443" i="31"/>
  <c r="P443" i="31"/>
  <c r="O443" i="31"/>
  <c r="N443" i="31"/>
  <c r="Q442" i="31"/>
  <c r="P442" i="31"/>
  <c r="O442" i="31"/>
  <c r="N442" i="31"/>
  <c r="Q441" i="31"/>
  <c r="P441" i="31"/>
  <c r="O441" i="31"/>
  <c r="N441" i="31"/>
  <c r="Q440" i="31"/>
  <c r="P440" i="31"/>
  <c r="O440" i="31"/>
  <c r="N440" i="31"/>
  <c r="Q439" i="31"/>
  <c r="P439" i="31"/>
  <c r="O439" i="31"/>
  <c r="N439" i="31"/>
  <c r="Q438" i="31"/>
  <c r="P438" i="31"/>
  <c r="O438" i="31"/>
  <c r="N438" i="31"/>
  <c r="Q437" i="31"/>
  <c r="P437" i="31"/>
  <c r="O437" i="31"/>
  <c r="N437" i="31"/>
  <c r="Q436" i="31"/>
  <c r="P436" i="31"/>
  <c r="O436" i="31"/>
  <c r="N436" i="31"/>
  <c r="Q435" i="31"/>
  <c r="P435" i="31"/>
  <c r="O435" i="31"/>
  <c r="N435" i="31"/>
  <c r="Q434" i="31"/>
  <c r="P434" i="31"/>
  <c r="O434" i="31"/>
  <c r="N434" i="31"/>
  <c r="Q433" i="31"/>
  <c r="P433" i="31"/>
  <c r="O433" i="31"/>
  <c r="N433" i="31"/>
  <c r="Q432" i="31"/>
  <c r="P432" i="31"/>
  <c r="O432" i="31"/>
  <c r="N432" i="31"/>
  <c r="Q431" i="31"/>
  <c r="P431" i="31"/>
  <c r="O431" i="31"/>
  <c r="N431" i="31"/>
  <c r="Q430" i="31"/>
  <c r="P430" i="31"/>
  <c r="O430" i="31"/>
  <c r="N430" i="31"/>
  <c r="Q429" i="31"/>
  <c r="P429" i="31"/>
  <c r="O429" i="31"/>
  <c r="N429" i="31"/>
  <c r="Q428" i="31"/>
  <c r="P428" i="31"/>
  <c r="O428" i="31"/>
  <c r="N428" i="31"/>
  <c r="Q427" i="31"/>
  <c r="P427" i="31"/>
  <c r="O427" i="31"/>
  <c r="N427" i="31"/>
  <c r="Q426" i="31"/>
  <c r="P426" i="31"/>
  <c r="O426" i="31"/>
  <c r="N426" i="31"/>
  <c r="Q425" i="31"/>
  <c r="P425" i="31"/>
  <c r="O425" i="31"/>
  <c r="N425" i="31"/>
  <c r="Q424" i="31"/>
  <c r="P424" i="31"/>
  <c r="O424" i="31"/>
  <c r="N424" i="31"/>
  <c r="Q423" i="31"/>
  <c r="P423" i="31"/>
  <c r="O423" i="31"/>
  <c r="N423" i="31"/>
  <c r="Q422" i="31"/>
  <c r="P422" i="31"/>
  <c r="O422" i="31"/>
  <c r="N422" i="31"/>
  <c r="Q421" i="31"/>
  <c r="P421" i="31"/>
  <c r="O421" i="31"/>
  <c r="N421" i="31"/>
  <c r="Q420" i="31"/>
  <c r="P420" i="31"/>
  <c r="O420" i="31"/>
  <c r="N420" i="31"/>
  <c r="Q419" i="31"/>
  <c r="P419" i="31"/>
  <c r="O419" i="31"/>
  <c r="N419" i="31"/>
  <c r="Q418" i="31"/>
  <c r="P418" i="31"/>
  <c r="O418" i="31"/>
  <c r="N418" i="31"/>
  <c r="Q417" i="31"/>
  <c r="P417" i="31"/>
  <c r="O417" i="31"/>
  <c r="N417" i="31"/>
  <c r="Q416" i="31"/>
  <c r="P416" i="31"/>
  <c r="O416" i="31"/>
  <c r="N416" i="31"/>
  <c r="Q415" i="31"/>
  <c r="P415" i="31"/>
  <c r="O415" i="31"/>
  <c r="N415" i="31"/>
  <c r="Q414" i="31"/>
  <c r="P414" i="31"/>
  <c r="O414" i="31"/>
  <c r="N414" i="31"/>
  <c r="Q413" i="31"/>
  <c r="P413" i="31"/>
  <c r="O413" i="31"/>
  <c r="N413" i="31"/>
  <c r="Q412" i="31"/>
  <c r="P412" i="31"/>
  <c r="O412" i="31"/>
  <c r="N412" i="31"/>
  <c r="Q411" i="31"/>
  <c r="P411" i="31"/>
  <c r="O411" i="31"/>
  <c r="N411" i="31"/>
  <c r="Q410" i="31"/>
  <c r="P410" i="31"/>
  <c r="O410" i="31"/>
  <c r="N410" i="31"/>
  <c r="Q409" i="31"/>
  <c r="P409" i="31"/>
  <c r="O409" i="31"/>
  <c r="N409" i="31"/>
  <c r="Q408" i="31"/>
  <c r="P408" i="31"/>
  <c r="O408" i="31"/>
  <c r="N408" i="31"/>
  <c r="Q407" i="31"/>
  <c r="P407" i="31"/>
  <c r="O407" i="31"/>
  <c r="N407" i="31"/>
  <c r="Q406" i="31"/>
  <c r="P406" i="31"/>
  <c r="O406" i="31"/>
  <c r="N406" i="31"/>
  <c r="Q405" i="31"/>
  <c r="P405" i="31"/>
  <c r="O405" i="31"/>
  <c r="N405" i="31"/>
  <c r="Q404" i="31"/>
  <c r="P404" i="31"/>
  <c r="O404" i="31"/>
  <c r="N404" i="31"/>
  <c r="Q403" i="31"/>
  <c r="P403" i="31"/>
  <c r="O403" i="31"/>
  <c r="N403" i="31"/>
  <c r="Q402" i="31"/>
  <c r="P402" i="31"/>
  <c r="O402" i="31"/>
  <c r="N402" i="31"/>
  <c r="Q401" i="31"/>
  <c r="P401" i="31"/>
  <c r="O401" i="31"/>
  <c r="N401" i="31"/>
  <c r="Q400" i="31"/>
  <c r="P400" i="31"/>
  <c r="O400" i="31"/>
  <c r="N400" i="31"/>
  <c r="Q399" i="31"/>
  <c r="P399" i="31"/>
  <c r="O399" i="31"/>
  <c r="N399" i="31"/>
  <c r="Q398" i="31"/>
  <c r="P398" i="31"/>
  <c r="O398" i="31"/>
  <c r="N398" i="31"/>
  <c r="Q397" i="31"/>
  <c r="P397" i="31"/>
  <c r="O397" i="31"/>
  <c r="N397" i="31"/>
  <c r="Q396" i="31"/>
  <c r="P396" i="31"/>
  <c r="O396" i="31"/>
  <c r="N396" i="31"/>
  <c r="Q395" i="31"/>
  <c r="P395" i="31"/>
  <c r="O395" i="31"/>
  <c r="N395" i="31"/>
  <c r="Q394" i="31"/>
  <c r="P394" i="31"/>
  <c r="O394" i="31"/>
  <c r="N394" i="31"/>
  <c r="Q393" i="31"/>
  <c r="P393" i="31"/>
  <c r="O393" i="31"/>
  <c r="N393" i="31"/>
  <c r="Q392" i="31"/>
  <c r="P392" i="31"/>
  <c r="O392" i="31"/>
  <c r="N392" i="31"/>
  <c r="Q391" i="31"/>
  <c r="P391" i="31"/>
  <c r="O391" i="31"/>
  <c r="N391" i="31"/>
  <c r="Q390" i="31"/>
  <c r="P390" i="31"/>
  <c r="O390" i="31"/>
  <c r="N390" i="31"/>
  <c r="Q389" i="31"/>
  <c r="P389" i="31"/>
  <c r="O389" i="31"/>
  <c r="N389" i="31"/>
  <c r="Q388" i="31"/>
  <c r="P388" i="31"/>
  <c r="O388" i="31"/>
  <c r="N388" i="31"/>
  <c r="Q387" i="31"/>
  <c r="P387" i="31"/>
  <c r="O387" i="31"/>
  <c r="N387" i="31"/>
  <c r="Q386" i="31"/>
  <c r="P386" i="31"/>
  <c r="O386" i="31"/>
  <c r="N386" i="31"/>
  <c r="Q385" i="31"/>
  <c r="P385" i="31"/>
  <c r="O385" i="31"/>
  <c r="N385" i="31"/>
  <c r="Q384" i="31"/>
  <c r="P384" i="31"/>
  <c r="O384" i="31"/>
  <c r="N384" i="31"/>
  <c r="Q383" i="31"/>
  <c r="P383" i="31"/>
  <c r="O383" i="31"/>
  <c r="N383" i="31"/>
  <c r="Q382" i="31"/>
  <c r="P382" i="31"/>
  <c r="O382" i="31"/>
  <c r="N382" i="31"/>
  <c r="Q381" i="31"/>
  <c r="P381" i="31"/>
  <c r="O381" i="31"/>
  <c r="N381" i="31"/>
  <c r="Q380" i="31"/>
  <c r="P380" i="31"/>
  <c r="O380" i="31"/>
  <c r="N380" i="31"/>
  <c r="Q379" i="31"/>
  <c r="P379" i="31"/>
  <c r="O379" i="31"/>
  <c r="N379" i="31"/>
  <c r="Q378" i="31"/>
  <c r="P378" i="31"/>
  <c r="O378" i="31"/>
  <c r="N378" i="31"/>
  <c r="Q377" i="31"/>
  <c r="P377" i="31"/>
  <c r="O377" i="31"/>
  <c r="N377" i="31"/>
  <c r="Q376" i="31"/>
  <c r="P376" i="31"/>
  <c r="O376" i="31"/>
  <c r="N376" i="31"/>
  <c r="Q375" i="31"/>
  <c r="P375" i="31"/>
  <c r="O375" i="31"/>
  <c r="N375" i="31"/>
  <c r="Q374" i="31"/>
  <c r="P374" i="31"/>
  <c r="O374" i="31"/>
  <c r="N374" i="31"/>
  <c r="Q373" i="31"/>
  <c r="P373" i="31"/>
  <c r="O373" i="31"/>
  <c r="N373" i="31"/>
  <c r="Q372" i="31"/>
  <c r="P372" i="31"/>
  <c r="O372" i="31"/>
  <c r="N372" i="31"/>
  <c r="Q371" i="31"/>
  <c r="P371" i="31"/>
  <c r="O371" i="31"/>
  <c r="N371" i="31"/>
  <c r="Q370" i="31"/>
  <c r="P370" i="31"/>
  <c r="O370" i="31"/>
  <c r="N370" i="31"/>
  <c r="Q369" i="31"/>
  <c r="P369" i="31"/>
  <c r="O369" i="31"/>
  <c r="N369" i="31"/>
  <c r="Q368" i="31"/>
  <c r="P368" i="31"/>
  <c r="O368" i="31"/>
  <c r="N368" i="31"/>
  <c r="Q367" i="31"/>
  <c r="P367" i="31"/>
  <c r="O367" i="31"/>
  <c r="N367" i="31"/>
  <c r="Q366" i="31"/>
  <c r="P366" i="31"/>
  <c r="O366" i="31"/>
  <c r="N366" i="31"/>
  <c r="Q365" i="31"/>
  <c r="P365" i="31"/>
  <c r="O365" i="31"/>
  <c r="N365" i="31"/>
  <c r="Q364" i="31"/>
  <c r="P364" i="31"/>
  <c r="O364" i="31"/>
  <c r="N364" i="31"/>
  <c r="Q363" i="31"/>
  <c r="P363" i="31"/>
  <c r="O363" i="31"/>
  <c r="N363" i="31"/>
  <c r="Q362" i="31"/>
  <c r="P362" i="31"/>
  <c r="O362" i="31"/>
  <c r="N362" i="31"/>
  <c r="Q361" i="31"/>
  <c r="P361" i="31"/>
  <c r="O361" i="31"/>
  <c r="N361" i="31"/>
  <c r="Q360" i="31"/>
  <c r="P360" i="31"/>
  <c r="O360" i="31"/>
  <c r="N360" i="31"/>
  <c r="Q359" i="31"/>
  <c r="P359" i="31"/>
  <c r="O359" i="31"/>
  <c r="N359" i="31"/>
  <c r="Q358" i="31"/>
  <c r="P358" i="31"/>
  <c r="O358" i="31"/>
  <c r="N358" i="31"/>
  <c r="Q357" i="31"/>
  <c r="P357" i="31"/>
  <c r="O357" i="31"/>
  <c r="N357" i="31"/>
  <c r="Q356" i="31"/>
  <c r="P356" i="31"/>
  <c r="O356" i="31"/>
  <c r="N356" i="31"/>
  <c r="Q355" i="31"/>
  <c r="P355" i="31"/>
  <c r="O355" i="31"/>
  <c r="N355" i="31"/>
  <c r="Q354" i="31"/>
  <c r="P354" i="31"/>
  <c r="O354" i="31"/>
  <c r="N354" i="31"/>
  <c r="Q353" i="31"/>
  <c r="P353" i="31"/>
  <c r="O353" i="31"/>
  <c r="N353" i="31"/>
  <c r="Q352" i="31"/>
  <c r="P352" i="31"/>
  <c r="O352" i="31"/>
  <c r="N352" i="31"/>
  <c r="Q351" i="31"/>
  <c r="P351" i="31"/>
  <c r="O351" i="31"/>
  <c r="N351" i="31"/>
  <c r="Q350" i="31"/>
  <c r="P350" i="31"/>
  <c r="O350" i="31"/>
  <c r="N350" i="31"/>
  <c r="Q349" i="31"/>
  <c r="P349" i="31"/>
  <c r="O349" i="31"/>
  <c r="N349" i="31"/>
  <c r="Q348" i="31"/>
  <c r="P348" i="31"/>
  <c r="O348" i="31"/>
  <c r="N348" i="31"/>
  <c r="Q347" i="31"/>
  <c r="P347" i="31"/>
  <c r="O347" i="31"/>
  <c r="N347" i="31"/>
  <c r="Q346" i="31"/>
  <c r="P346" i="31"/>
  <c r="O346" i="31"/>
  <c r="N346" i="31"/>
  <c r="Q345" i="31"/>
  <c r="P345" i="31"/>
  <c r="O345" i="31"/>
  <c r="N345" i="31"/>
  <c r="Q344" i="31"/>
  <c r="P344" i="31"/>
  <c r="O344" i="31"/>
  <c r="N344" i="31"/>
  <c r="Q343" i="31"/>
  <c r="P343" i="31"/>
  <c r="O343" i="31"/>
  <c r="N343" i="31"/>
  <c r="Q342" i="31"/>
  <c r="P342" i="31"/>
  <c r="O342" i="31"/>
  <c r="N342" i="31"/>
  <c r="Q341" i="31"/>
  <c r="P341" i="31"/>
  <c r="O341" i="31"/>
  <c r="N341" i="31"/>
  <c r="Q340" i="31"/>
  <c r="P340" i="31"/>
  <c r="O340" i="31"/>
  <c r="N340" i="31"/>
  <c r="Q339" i="31"/>
  <c r="P339" i="31"/>
  <c r="O339" i="31"/>
  <c r="N339" i="31"/>
  <c r="Q338" i="31"/>
  <c r="P338" i="31"/>
  <c r="O338" i="31"/>
  <c r="N338" i="31"/>
  <c r="Q337" i="31"/>
  <c r="P337" i="31"/>
  <c r="O337" i="31"/>
  <c r="N337" i="31"/>
  <c r="Q336" i="31"/>
  <c r="P336" i="31"/>
  <c r="O336" i="31"/>
  <c r="N336" i="31"/>
  <c r="Q335" i="31"/>
  <c r="P335" i="31"/>
  <c r="O335" i="31"/>
  <c r="N335" i="31"/>
  <c r="Q334" i="31"/>
  <c r="P334" i="31"/>
  <c r="O334" i="31"/>
  <c r="N334" i="31"/>
  <c r="Q333" i="31"/>
  <c r="P333" i="31"/>
  <c r="O333" i="31"/>
  <c r="N333" i="31"/>
  <c r="Q332" i="31"/>
  <c r="P332" i="31"/>
  <c r="O332" i="31"/>
  <c r="N332" i="31"/>
  <c r="Q331" i="31"/>
  <c r="P331" i="31"/>
  <c r="O331" i="31"/>
  <c r="N331" i="31"/>
  <c r="Q330" i="31"/>
  <c r="P330" i="31"/>
  <c r="O330" i="31"/>
  <c r="N330" i="31"/>
  <c r="Q329" i="31"/>
  <c r="P329" i="31"/>
  <c r="O329" i="31"/>
  <c r="N329" i="31"/>
  <c r="Q328" i="31"/>
  <c r="P328" i="31"/>
  <c r="O328" i="31"/>
  <c r="N328" i="31"/>
  <c r="Q327" i="31"/>
  <c r="P327" i="31"/>
  <c r="O327" i="31"/>
  <c r="N327" i="31"/>
  <c r="Q326" i="31"/>
  <c r="P326" i="31"/>
  <c r="O326" i="31"/>
  <c r="N326" i="31"/>
  <c r="Q325" i="31"/>
  <c r="P325" i="31"/>
  <c r="O325" i="31"/>
  <c r="N325" i="31"/>
  <c r="Q324" i="31"/>
  <c r="P324" i="31"/>
  <c r="O324" i="31"/>
  <c r="N324" i="31"/>
  <c r="Q323" i="31"/>
  <c r="P323" i="31"/>
  <c r="O323" i="31"/>
  <c r="N323" i="31"/>
  <c r="Q322" i="31"/>
  <c r="P322" i="31"/>
  <c r="O322" i="31"/>
  <c r="N322" i="31"/>
  <c r="Q321" i="31"/>
  <c r="P321" i="31"/>
  <c r="O321" i="31"/>
  <c r="N321" i="31"/>
  <c r="Q320" i="31"/>
  <c r="P320" i="31"/>
  <c r="O320" i="31"/>
  <c r="N320" i="31"/>
  <c r="Q319" i="31"/>
  <c r="P319" i="31"/>
  <c r="O319" i="31"/>
  <c r="N319" i="31"/>
  <c r="Q318" i="31"/>
  <c r="P318" i="31"/>
  <c r="O318" i="31"/>
  <c r="N318" i="31"/>
  <c r="Q317" i="31"/>
  <c r="P317" i="31"/>
  <c r="O317" i="31"/>
  <c r="N317" i="31"/>
  <c r="Q316" i="31"/>
  <c r="P316" i="31"/>
  <c r="O316" i="31"/>
  <c r="N316" i="31"/>
  <c r="Q315" i="31"/>
  <c r="P315" i="31"/>
  <c r="O315" i="31"/>
  <c r="N315" i="31"/>
  <c r="Q314" i="31"/>
  <c r="P314" i="31"/>
  <c r="O314" i="31"/>
  <c r="N314" i="31"/>
  <c r="Q313" i="31"/>
  <c r="P313" i="31"/>
  <c r="O313" i="31"/>
  <c r="N313" i="31"/>
  <c r="Q312" i="31"/>
  <c r="P312" i="31"/>
  <c r="O312" i="31"/>
  <c r="N312" i="31"/>
  <c r="Q311" i="31"/>
  <c r="P311" i="31"/>
  <c r="O311" i="31"/>
  <c r="N311" i="31"/>
  <c r="Q310" i="31"/>
  <c r="P310" i="31"/>
  <c r="O310" i="31"/>
  <c r="N310" i="31"/>
  <c r="Q309" i="31"/>
  <c r="P309" i="31"/>
  <c r="O309" i="31"/>
  <c r="N309" i="31"/>
  <c r="Q308" i="31"/>
  <c r="P308" i="31"/>
  <c r="O308" i="31"/>
  <c r="N308" i="31"/>
  <c r="Q307" i="31"/>
  <c r="P307" i="31"/>
  <c r="O307" i="31"/>
  <c r="N307" i="31"/>
  <c r="Q306" i="31"/>
  <c r="P306" i="31"/>
  <c r="O306" i="31"/>
  <c r="N306" i="31"/>
  <c r="Q305" i="31"/>
  <c r="P305" i="31"/>
  <c r="O305" i="31"/>
  <c r="N305" i="31"/>
  <c r="Q304" i="31"/>
  <c r="P304" i="31"/>
  <c r="O304" i="31"/>
  <c r="N304" i="31"/>
  <c r="Q303" i="31"/>
  <c r="P303" i="31"/>
  <c r="O303" i="31"/>
  <c r="N303" i="31"/>
  <c r="Q302" i="31"/>
  <c r="P302" i="31"/>
  <c r="O302" i="31"/>
  <c r="N302" i="31"/>
  <c r="Q301" i="31"/>
  <c r="P301" i="31"/>
  <c r="O301" i="31"/>
  <c r="N301" i="31"/>
  <c r="Q300" i="31"/>
  <c r="P300" i="31"/>
  <c r="O300" i="31"/>
  <c r="N300" i="31"/>
  <c r="Q299" i="31"/>
  <c r="P299" i="31"/>
  <c r="O299" i="31"/>
  <c r="N299" i="31"/>
  <c r="Q298" i="31"/>
  <c r="P298" i="31"/>
  <c r="O298" i="31"/>
  <c r="N298" i="31"/>
  <c r="Q297" i="31"/>
  <c r="P297" i="31"/>
  <c r="O297" i="31"/>
  <c r="N297" i="31"/>
  <c r="Q296" i="31"/>
  <c r="P296" i="31"/>
  <c r="O296" i="31"/>
  <c r="N296" i="31"/>
  <c r="Q295" i="31"/>
  <c r="P295" i="31"/>
  <c r="O295" i="31"/>
  <c r="N295" i="31"/>
  <c r="Q294" i="31"/>
  <c r="P294" i="31"/>
  <c r="O294" i="31"/>
  <c r="N294" i="31"/>
  <c r="Q293" i="31"/>
  <c r="P293" i="31"/>
  <c r="O293" i="31"/>
  <c r="N293" i="31"/>
  <c r="Q292" i="31"/>
  <c r="P292" i="31"/>
  <c r="O292" i="31"/>
  <c r="N292" i="31"/>
  <c r="Q291" i="31"/>
  <c r="P291" i="31"/>
  <c r="O291" i="31"/>
  <c r="N291" i="31"/>
  <c r="Q290" i="31"/>
  <c r="P290" i="31"/>
  <c r="O290" i="31"/>
  <c r="N290" i="31"/>
  <c r="Q289" i="31"/>
  <c r="P289" i="31"/>
  <c r="O289" i="31"/>
  <c r="N289" i="31"/>
  <c r="Q288" i="31"/>
  <c r="P288" i="31"/>
  <c r="O288" i="31"/>
  <c r="N288" i="31"/>
  <c r="Q287" i="31"/>
  <c r="P287" i="31"/>
  <c r="O287" i="31"/>
  <c r="N287" i="31"/>
  <c r="Q286" i="31"/>
  <c r="P286" i="31"/>
  <c r="O286" i="31"/>
  <c r="N286" i="31"/>
  <c r="Q285" i="31"/>
  <c r="P285" i="31"/>
  <c r="O285" i="31"/>
  <c r="N285" i="31"/>
  <c r="Q284" i="31"/>
  <c r="P284" i="31"/>
  <c r="O284" i="31"/>
  <c r="N284" i="31"/>
  <c r="Q283" i="31"/>
  <c r="P283" i="31"/>
  <c r="O283" i="31"/>
  <c r="N283" i="31"/>
  <c r="Q282" i="31"/>
  <c r="P282" i="31"/>
  <c r="O282" i="31"/>
  <c r="N282" i="31"/>
  <c r="Q281" i="31"/>
  <c r="P281" i="31"/>
  <c r="O281" i="31"/>
  <c r="N281" i="31"/>
  <c r="Q280" i="31"/>
  <c r="P280" i="31"/>
  <c r="O280" i="31"/>
  <c r="N280" i="31"/>
  <c r="Q279" i="31"/>
  <c r="P279" i="31"/>
  <c r="O279" i="31"/>
  <c r="N279" i="31"/>
  <c r="Q278" i="31"/>
  <c r="P278" i="31"/>
  <c r="O278" i="31"/>
  <c r="N278" i="31"/>
  <c r="Q277" i="31"/>
  <c r="P277" i="31"/>
  <c r="O277" i="31"/>
  <c r="N277" i="31"/>
  <c r="Q276" i="31"/>
  <c r="P276" i="31"/>
  <c r="O276" i="31"/>
  <c r="N276" i="31"/>
  <c r="Q275" i="31"/>
  <c r="P275" i="31"/>
  <c r="O275" i="31"/>
  <c r="N275" i="31"/>
  <c r="Q274" i="31"/>
  <c r="P274" i="31"/>
  <c r="O274" i="31"/>
  <c r="N274" i="31"/>
  <c r="Q273" i="31"/>
  <c r="P273" i="31"/>
  <c r="O273" i="31"/>
  <c r="N273" i="31"/>
  <c r="Q272" i="31"/>
  <c r="P272" i="31"/>
  <c r="O272" i="31"/>
  <c r="N272" i="31"/>
  <c r="Q271" i="31"/>
  <c r="P271" i="31"/>
  <c r="O271" i="31"/>
  <c r="N271" i="31"/>
  <c r="Q270" i="31"/>
  <c r="P270" i="31"/>
  <c r="O270" i="31"/>
  <c r="N270" i="31"/>
  <c r="Q269" i="31"/>
  <c r="P269" i="31"/>
  <c r="O269" i="31"/>
  <c r="N269" i="31"/>
  <c r="Q268" i="31"/>
  <c r="P268" i="31"/>
  <c r="O268" i="31"/>
  <c r="N268" i="31"/>
  <c r="Q267" i="31"/>
  <c r="P267" i="31"/>
  <c r="O267" i="31"/>
  <c r="N267" i="31"/>
  <c r="Q266" i="31"/>
  <c r="P266" i="31"/>
  <c r="O266" i="31"/>
  <c r="N266" i="31"/>
  <c r="Q265" i="31"/>
  <c r="P265" i="31"/>
  <c r="O265" i="31"/>
  <c r="N265" i="31"/>
  <c r="Q264" i="31"/>
  <c r="P264" i="31"/>
  <c r="O264" i="31"/>
  <c r="N264" i="31"/>
  <c r="Q263" i="31"/>
  <c r="P263" i="31"/>
  <c r="O263" i="31"/>
  <c r="N263" i="31"/>
  <c r="Q262" i="31"/>
  <c r="P262" i="31"/>
  <c r="O262" i="31"/>
  <c r="N262" i="31"/>
  <c r="Q261" i="31"/>
  <c r="P261" i="31"/>
  <c r="O261" i="31"/>
  <c r="N261" i="31"/>
  <c r="Q260" i="31"/>
  <c r="P260" i="31"/>
  <c r="O260" i="31"/>
  <c r="N260" i="31"/>
  <c r="Q259" i="31"/>
  <c r="P259" i="31"/>
  <c r="O259" i="31"/>
  <c r="N259" i="31"/>
  <c r="Q258" i="31"/>
  <c r="P258" i="31"/>
  <c r="O258" i="31"/>
  <c r="N258" i="31"/>
  <c r="Q257" i="31"/>
  <c r="P257" i="31"/>
  <c r="O257" i="31"/>
  <c r="N257" i="31"/>
  <c r="Q256" i="31"/>
  <c r="P256" i="31"/>
  <c r="O256" i="31"/>
  <c r="N256" i="31"/>
  <c r="Q255" i="31"/>
  <c r="P255" i="31"/>
  <c r="O255" i="31"/>
  <c r="N255" i="31"/>
  <c r="Q254" i="31"/>
  <c r="P254" i="31"/>
  <c r="O254" i="31"/>
  <c r="N254" i="31"/>
  <c r="Q253" i="31"/>
  <c r="P253" i="31"/>
  <c r="O253" i="31"/>
  <c r="N253" i="31"/>
  <c r="Q252" i="31"/>
  <c r="P252" i="31"/>
  <c r="O252" i="31"/>
  <c r="N252" i="31"/>
  <c r="Q251" i="31"/>
  <c r="P251" i="31"/>
  <c r="O251" i="31"/>
  <c r="N251" i="31"/>
  <c r="Q250" i="31"/>
  <c r="P250" i="31"/>
  <c r="O250" i="31"/>
  <c r="N250" i="31"/>
  <c r="Q249" i="31"/>
  <c r="P249" i="31"/>
  <c r="O249" i="31"/>
  <c r="N249" i="31"/>
  <c r="Q248" i="31"/>
  <c r="P248" i="31"/>
  <c r="O248" i="31"/>
  <c r="N248" i="31"/>
  <c r="Q247" i="31"/>
  <c r="P247" i="31"/>
  <c r="O247" i="31"/>
  <c r="N247" i="31"/>
  <c r="Q246" i="31"/>
  <c r="P246" i="31"/>
  <c r="O246" i="31"/>
  <c r="N246" i="31"/>
  <c r="Q245" i="31"/>
  <c r="P245" i="31"/>
  <c r="O245" i="31"/>
  <c r="N245" i="31"/>
  <c r="Q244" i="31"/>
  <c r="P244" i="31"/>
  <c r="O244" i="31"/>
  <c r="N244" i="31"/>
  <c r="Q243" i="31"/>
  <c r="P243" i="31"/>
  <c r="O243" i="31"/>
  <c r="N243" i="31"/>
  <c r="Q242" i="31"/>
  <c r="P242" i="31"/>
  <c r="O242" i="31"/>
  <c r="N242" i="31"/>
  <c r="Q241" i="31"/>
  <c r="P241" i="31"/>
  <c r="O241" i="31"/>
  <c r="N241" i="31"/>
  <c r="Q240" i="31"/>
  <c r="P240" i="31"/>
  <c r="O240" i="31"/>
  <c r="N240" i="31"/>
  <c r="Q239" i="31"/>
  <c r="P239" i="31"/>
  <c r="O239" i="31"/>
  <c r="N239" i="31"/>
  <c r="Q238" i="31"/>
  <c r="P238" i="31"/>
  <c r="O238" i="31"/>
  <c r="N238" i="31"/>
  <c r="Q237" i="31"/>
  <c r="P237" i="31"/>
  <c r="O237" i="31"/>
  <c r="N237" i="31"/>
  <c r="Q236" i="31"/>
  <c r="P236" i="31"/>
  <c r="O236" i="31"/>
  <c r="N236" i="31"/>
  <c r="Q235" i="31"/>
  <c r="P235" i="31"/>
  <c r="O235" i="31"/>
  <c r="N235" i="31"/>
  <c r="Q234" i="31"/>
  <c r="P234" i="31"/>
  <c r="O234" i="31"/>
  <c r="N234" i="31"/>
  <c r="Q233" i="31"/>
  <c r="P233" i="31"/>
  <c r="O233" i="31"/>
  <c r="N233" i="31"/>
  <c r="Q232" i="31"/>
  <c r="P232" i="31"/>
  <c r="O232" i="31"/>
  <c r="N232" i="31"/>
  <c r="Q231" i="31"/>
  <c r="P231" i="31"/>
  <c r="O231" i="31"/>
  <c r="N231" i="31"/>
  <c r="Q230" i="31"/>
  <c r="P230" i="31"/>
  <c r="O230" i="31"/>
  <c r="N230" i="31"/>
  <c r="Q229" i="31"/>
  <c r="P229" i="31"/>
  <c r="O229" i="31"/>
  <c r="N229" i="31"/>
  <c r="Q228" i="31"/>
  <c r="P228" i="31"/>
  <c r="O228" i="31"/>
  <c r="N228" i="31"/>
  <c r="Q227" i="31"/>
  <c r="P227" i="31"/>
  <c r="O227" i="31"/>
  <c r="N227" i="31"/>
  <c r="Q226" i="31"/>
  <c r="P226" i="31"/>
  <c r="O226" i="31"/>
  <c r="N226" i="31"/>
  <c r="Q225" i="31"/>
  <c r="P225" i="31"/>
  <c r="O225" i="31"/>
  <c r="N225" i="31"/>
  <c r="Q224" i="31"/>
  <c r="P224" i="31"/>
  <c r="O224" i="31"/>
  <c r="N224" i="31"/>
  <c r="Q223" i="31"/>
  <c r="P223" i="31"/>
  <c r="O223" i="31"/>
  <c r="N223" i="31"/>
  <c r="Q222" i="31"/>
  <c r="P222" i="31"/>
  <c r="O222" i="31"/>
  <c r="N222" i="31"/>
  <c r="Q221" i="31"/>
  <c r="P221" i="31"/>
  <c r="O221" i="31"/>
  <c r="N221" i="31"/>
  <c r="Q220" i="31"/>
  <c r="P220" i="31"/>
  <c r="O220" i="31"/>
  <c r="N220" i="31"/>
  <c r="Q219" i="31"/>
  <c r="P219" i="31"/>
  <c r="O219" i="31"/>
  <c r="N219" i="31"/>
  <c r="Q218" i="31"/>
  <c r="P218" i="31"/>
  <c r="O218" i="31"/>
  <c r="N218" i="31"/>
  <c r="Q217" i="31"/>
  <c r="P217" i="31"/>
  <c r="O217" i="31"/>
  <c r="N217" i="31"/>
  <c r="Q216" i="31"/>
  <c r="P216" i="31"/>
  <c r="O216" i="31"/>
  <c r="N216" i="31"/>
  <c r="Q215" i="31"/>
  <c r="P215" i="31"/>
  <c r="O215" i="31"/>
  <c r="N215" i="31"/>
  <c r="Q214" i="31"/>
  <c r="P214" i="31"/>
  <c r="O214" i="31"/>
  <c r="N214" i="31"/>
  <c r="Q213" i="31"/>
  <c r="P213" i="31"/>
  <c r="O213" i="31"/>
  <c r="N213" i="31"/>
  <c r="Q212" i="31"/>
  <c r="P212" i="31"/>
  <c r="O212" i="31"/>
  <c r="N212" i="31"/>
  <c r="Q211" i="31"/>
  <c r="P211" i="31"/>
  <c r="O211" i="31"/>
  <c r="N211" i="31"/>
  <c r="Q210" i="31"/>
  <c r="P210" i="31"/>
  <c r="O210" i="31"/>
  <c r="N210" i="31"/>
  <c r="Q209" i="31"/>
  <c r="P209" i="31"/>
  <c r="O209" i="31"/>
  <c r="N209" i="31"/>
  <c r="Q208" i="31"/>
  <c r="P208" i="31"/>
  <c r="O208" i="31"/>
  <c r="N208" i="31"/>
  <c r="Q207" i="31"/>
  <c r="P207" i="31"/>
  <c r="O207" i="31"/>
  <c r="N207" i="31"/>
  <c r="Q206" i="31"/>
  <c r="P206" i="31"/>
  <c r="O206" i="31"/>
  <c r="N206" i="31"/>
  <c r="Q205" i="31"/>
  <c r="P205" i="31"/>
  <c r="O205" i="31"/>
  <c r="N205" i="31"/>
  <c r="Q204" i="31"/>
  <c r="P204" i="31"/>
  <c r="O204" i="31"/>
  <c r="N204" i="31"/>
  <c r="Q203" i="31"/>
  <c r="P203" i="31"/>
  <c r="O203" i="31"/>
  <c r="N203" i="31"/>
  <c r="Q202" i="31"/>
  <c r="P202" i="31"/>
  <c r="O202" i="31"/>
  <c r="N202" i="31"/>
  <c r="Q201" i="31"/>
  <c r="P201" i="31"/>
  <c r="O201" i="31"/>
  <c r="N201" i="31"/>
  <c r="Q200" i="31"/>
  <c r="P200" i="31"/>
  <c r="O200" i="31"/>
  <c r="N200" i="31"/>
  <c r="Q199" i="31"/>
  <c r="P199" i="31"/>
  <c r="O199" i="31"/>
  <c r="N199" i="31"/>
  <c r="Q198" i="31"/>
  <c r="P198" i="31"/>
  <c r="O198" i="31"/>
  <c r="N198" i="31"/>
  <c r="Q197" i="31"/>
  <c r="P197" i="31"/>
  <c r="O197" i="31"/>
  <c r="N197" i="31"/>
  <c r="Q196" i="31"/>
  <c r="P196" i="31"/>
  <c r="O196" i="31"/>
  <c r="N196" i="31"/>
  <c r="Q195" i="31"/>
  <c r="P195" i="31"/>
  <c r="O195" i="31"/>
  <c r="N195" i="31"/>
  <c r="Q194" i="31"/>
  <c r="P194" i="31"/>
  <c r="O194" i="31"/>
  <c r="N194" i="31"/>
  <c r="Q193" i="31"/>
  <c r="P193" i="31"/>
  <c r="O193" i="31"/>
  <c r="N193" i="31"/>
  <c r="Q192" i="31"/>
  <c r="P192" i="31"/>
  <c r="O192" i="31"/>
  <c r="N192" i="31"/>
  <c r="Q191" i="31"/>
  <c r="P191" i="31"/>
  <c r="O191" i="31"/>
  <c r="N191" i="31"/>
  <c r="Q190" i="31"/>
  <c r="P190" i="31"/>
  <c r="O190" i="31"/>
  <c r="N190" i="31"/>
  <c r="Q189" i="31"/>
  <c r="P189" i="31"/>
  <c r="O189" i="31"/>
  <c r="N189" i="31"/>
  <c r="Q188" i="31"/>
  <c r="P188" i="31"/>
  <c r="O188" i="31"/>
  <c r="N188" i="31"/>
  <c r="Q187" i="31"/>
  <c r="P187" i="31"/>
  <c r="O187" i="31"/>
  <c r="N187" i="31"/>
  <c r="Q186" i="31"/>
  <c r="P186" i="31"/>
  <c r="O186" i="31"/>
  <c r="N186" i="31"/>
  <c r="Q185" i="31"/>
  <c r="P185" i="31"/>
  <c r="O185" i="31"/>
  <c r="N185" i="31"/>
  <c r="Q184" i="31"/>
  <c r="P184" i="31"/>
  <c r="O184" i="31"/>
  <c r="N184" i="31"/>
  <c r="Q183" i="31"/>
  <c r="P183" i="31"/>
  <c r="O183" i="31"/>
  <c r="N183" i="31"/>
  <c r="Q182" i="31"/>
  <c r="P182" i="31"/>
  <c r="O182" i="31"/>
  <c r="N182" i="31"/>
  <c r="Q181" i="31"/>
  <c r="P181" i="31"/>
  <c r="O181" i="31"/>
  <c r="N181" i="31"/>
  <c r="Q180" i="31"/>
  <c r="P180" i="31"/>
  <c r="O180" i="31"/>
  <c r="N180" i="31"/>
  <c r="Q179" i="31"/>
  <c r="P179" i="31"/>
  <c r="O179" i="31"/>
  <c r="N179" i="31"/>
  <c r="Q178" i="31"/>
  <c r="P178" i="31"/>
  <c r="O178" i="31"/>
  <c r="N178" i="31"/>
  <c r="Q177" i="31"/>
  <c r="P177" i="31"/>
  <c r="O177" i="31"/>
  <c r="N177" i="31"/>
  <c r="Q176" i="31"/>
  <c r="P176" i="31"/>
  <c r="O176" i="31"/>
  <c r="N176" i="31"/>
  <c r="Q175" i="31"/>
  <c r="P175" i="31"/>
  <c r="O175" i="31"/>
  <c r="N175" i="31"/>
  <c r="Q174" i="31"/>
  <c r="P174" i="31"/>
  <c r="O174" i="31"/>
  <c r="N174" i="31"/>
  <c r="Q173" i="31"/>
  <c r="P173" i="31"/>
  <c r="O173" i="31"/>
  <c r="N173" i="31"/>
  <c r="Q172" i="31"/>
  <c r="P172" i="31"/>
  <c r="O172" i="31"/>
  <c r="N172" i="31"/>
  <c r="Q171" i="31"/>
  <c r="P171" i="31"/>
  <c r="O171" i="31"/>
  <c r="N171" i="31"/>
  <c r="Q170" i="31"/>
  <c r="P170" i="31"/>
  <c r="O170" i="31"/>
  <c r="N170" i="31"/>
  <c r="Q169" i="31"/>
  <c r="P169" i="31"/>
  <c r="O169" i="31"/>
  <c r="N169" i="31"/>
  <c r="Q168" i="31"/>
  <c r="P168" i="31"/>
  <c r="O168" i="31"/>
  <c r="N168" i="31"/>
  <c r="Q167" i="31"/>
  <c r="P167" i="31"/>
  <c r="O167" i="31"/>
  <c r="N167" i="31"/>
  <c r="Q166" i="31"/>
  <c r="P166" i="31"/>
  <c r="O166" i="31"/>
  <c r="N166" i="31"/>
  <c r="Q165" i="31"/>
  <c r="P165" i="31"/>
  <c r="O165" i="31"/>
  <c r="N165" i="31"/>
  <c r="Q164" i="31"/>
  <c r="P164" i="31"/>
  <c r="O164" i="31"/>
  <c r="N164" i="31"/>
  <c r="Q163" i="31"/>
  <c r="P163" i="31"/>
  <c r="O163" i="31"/>
  <c r="N163" i="31"/>
  <c r="Q162" i="31"/>
  <c r="P162" i="31"/>
  <c r="O162" i="31"/>
  <c r="N162" i="31"/>
  <c r="Q161" i="31"/>
  <c r="P161" i="31"/>
  <c r="O161" i="31"/>
  <c r="N161" i="31"/>
  <c r="Q160" i="31"/>
  <c r="P160" i="31"/>
  <c r="O160" i="31"/>
  <c r="N160" i="31"/>
  <c r="Q159" i="31"/>
  <c r="P159" i="31"/>
  <c r="O159" i="31"/>
  <c r="N159" i="31"/>
  <c r="Q158" i="31"/>
  <c r="P158" i="31"/>
  <c r="O158" i="31"/>
  <c r="N158" i="31"/>
  <c r="Q157" i="31"/>
  <c r="P157" i="31"/>
  <c r="O157" i="31"/>
  <c r="N157" i="31"/>
  <c r="Q156" i="31"/>
  <c r="P156" i="31"/>
  <c r="O156" i="31"/>
  <c r="N156" i="31"/>
  <c r="Q155" i="31"/>
  <c r="P155" i="31"/>
  <c r="O155" i="31"/>
  <c r="N155" i="31"/>
  <c r="Q154" i="31"/>
  <c r="P154" i="31"/>
  <c r="O154" i="31"/>
  <c r="N154" i="31"/>
  <c r="Q153" i="31"/>
  <c r="P153" i="31"/>
  <c r="O153" i="31"/>
  <c r="N153" i="31"/>
  <c r="Q152" i="31"/>
  <c r="P152" i="31"/>
  <c r="O152" i="31"/>
  <c r="N152" i="31"/>
  <c r="Q151" i="31"/>
  <c r="P151" i="31"/>
  <c r="O151" i="31"/>
  <c r="N151" i="31"/>
  <c r="Q150" i="31"/>
  <c r="P150" i="31"/>
  <c r="O150" i="31"/>
  <c r="N150" i="31"/>
  <c r="Q149" i="31"/>
  <c r="P149" i="31"/>
  <c r="O149" i="31"/>
  <c r="N149" i="31"/>
  <c r="Q148" i="31"/>
  <c r="P148" i="31"/>
  <c r="O148" i="31"/>
  <c r="N148" i="31"/>
  <c r="Q147" i="31"/>
  <c r="P147" i="31"/>
  <c r="O147" i="31"/>
  <c r="N147" i="31"/>
  <c r="Q146" i="31"/>
  <c r="P146" i="31"/>
  <c r="O146" i="31"/>
  <c r="N146" i="31"/>
  <c r="Q145" i="31"/>
  <c r="P145" i="31"/>
  <c r="O145" i="31"/>
  <c r="N145" i="31"/>
  <c r="Q144" i="31"/>
  <c r="P144" i="31"/>
  <c r="O144" i="31"/>
  <c r="N144" i="31"/>
  <c r="Q143" i="31"/>
  <c r="P143" i="31"/>
  <c r="O143" i="31"/>
  <c r="N143" i="31"/>
  <c r="Q142" i="31"/>
  <c r="P142" i="31"/>
  <c r="O142" i="31"/>
  <c r="N142" i="31"/>
  <c r="Q141" i="31"/>
  <c r="P141" i="31"/>
  <c r="O141" i="31"/>
  <c r="N141" i="31"/>
  <c r="Q140" i="31"/>
  <c r="P140" i="31"/>
  <c r="O140" i="31"/>
  <c r="N140" i="31"/>
  <c r="Q139" i="31"/>
  <c r="P139" i="31"/>
  <c r="O139" i="31"/>
  <c r="N139" i="31"/>
  <c r="Q138" i="31"/>
  <c r="P138" i="31"/>
  <c r="O138" i="31"/>
  <c r="N138" i="31"/>
  <c r="Q137" i="31"/>
  <c r="P137" i="31"/>
  <c r="O137" i="31"/>
  <c r="N137" i="31"/>
  <c r="Q136" i="31"/>
  <c r="P136" i="31"/>
  <c r="O136" i="31"/>
  <c r="N136" i="31"/>
  <c r="Q135" i="31"/>
  <c r="P135" i="31"/>
  <c r="O135" i="31"/>
  <c r="N135" i="31"/>
  <c r="Q134" i="31"/>
  <c r="P134" i="31"/>
  <c r="O134" i="31"/>
  <c r="N134" i="31"/>
  <c r="Q133" i="31"/>
  <c r="P133" i="31"/>
  <c r="O133" i="31"/>
  <c r="N133" i="31"/>
  <c r="Q132" i="31"/>
  <c r="P132" i="31"/>
  <c r="O132" i="31"/>
  <c r="N132" i="31"/>
  <c r="Q131" i="31"/>
  <c r="P131" i="31"/>
  <c r="O131" i="31"/>
  <c r="N131" i="31"/>
  <c r="Q130" i="31"/>
  <c r="P130" i="31"/>
  <c r="O130" i="31"/>
  <c r="N130" i="31"/>
  <c r="Q129" i="31"/>
  <c r="P129" i="31"/>
  <c r="O129" i="31"/>
  <c r="N129" i="31"/>
  <c r="Q128" i="31"/>
  <c r="P128" i="31"/>
  <c r="O128" i="31"/>
  <c r="N128" i="31"/>
  <c r="Q127" i="31"/>
  <c r="P127" i="31"/>
  <c r="O127" i="31"/>
  <c r="N127" i="31"/>
  <c r="Q126" i="31"/>
  <c r="P126" i="31"/>
  <c r="O126" i="31"/>
  <c r="N126" i="31"/>
  <c r="Q125" i="31"/>
  <c r="P125" i="31"/>
  <c r="O125" i="31"/>
  <c r="N125" i="31"/>
  <c r="Q124" i="31"/>
  <c r="P124" i="31"/>
  <c r="O124" i="31"/>
  <c r="N124" i="31"/>
  <c r="Q123" i="31"/>
  <c r="P123" i="31"/>
  <c r="O123" i="31"/>
  <c r="N123" i="31"/>
  <c r="Q122" i="31"/>
  <c r="P122" i="31"/>
  <c r="O122" i="31"/>
  <c r="N122" i="31"/>
  <c r="Q121" i="31"/>
  <c r="P121" i="31"/>
  <c r="O121" i="31"/>
  <c r="N121" i="31"/>
  <c r="Q120" i="31"/>
  <c r="P120" i="31"/>
  <c r="O120" i="31"/>
  <c r="N120" i="31"/>
  <c r="Q119" i="31"/>
  <c r="P119" i="31"/>
  <c r="O119" i="31"/>
  <c r="N119" i="31"/>
  <c r="Q118" i="31"/>
  <c r="P118" i="31"/>
  <c r="O118" i="31"/>
  <c r="N118" i="31"/>
  <c r="Q117" i="31"/>
  <c r="P117" i="31"/>
  <c r="O117" i="31"/>
  <c r="N117" i="31"/>
  <c r="Q116" i="31"/>
  <c r="P116" i="31"/>
  <c r="O116" i="31"/>
  <c r="N116" i="31"/>
  <c r="Q115" i="31"/>
  <c r="P115" i="31"/>
  <c r="O115" i="31"/>
  <c r="N115" i="31"/>
  <c r="Q114" i="31"/>
  <c r="P114" i="31"/>
  <c r="O114" i="31"/>
  <c r="N114" i="31"/>
  <c r="Q113" i="31"/>
  <c r="P113" i="31"/>
  <c r="O113" i="31"/>
  <c r="N113" i="31"/>
  <c r="Q112" i="31"/>
  <c r="P112" i="31"/>
  <c r="O112" i="31"/>
  <c r="N112" i="31"/>
  <c r="Q111" i="31"/>
  <c r="P111" i="31"/>
  <c r="O111" i="31"/>
  <c r="N111" i="31"/>
  <c r="Q110" i="31"/>
  <c r="P110" i="31"/>
  <c r="O110" i="31"/>
  <c r="N110" i="31"/>
  <c r="Q109" i="31"/>
  <c r="P109" i="31"/>
  <c r="O109" i="31"/>
  <c r="N109" i="31"/>
  <c r="Q108" i="31"/>
  <c r="P108" i="31"/>
  <c r="O108" i="31"/>
  <c r="N108" i="31"/>
  <c r="Q107" i="31"/>
  <c r="P107" i="31"/>
  <c r="O107" i="31"/>
  <c r="N107" i="31"/>
  <c r="Q106" i="31"/>
  <c r="P106" i="31"/>
  <c r="O106" i="31"/>
  <c r="N106" i="31"/>
  <c r="Q105" i="31"/>
  <c r="P105" i="31"/>
  <c r="O105" i="31"/>
  <c r="N105" i="31"/>
  <c r="Q104" i="31"/>
  <c r="P104" i="31"/>
  <c r="O104" i="31"/>
  <c r="N104" i="31"/>
  <c r="Q103" i="31"/>
  <c r="P103" i="31"/>
  <c r="O103" i="31"/>
  <c r="N103" i="31"/>
  <c r="Q102" i="31"/>
  <c r="P102" i="31"/>
  <c r="O102" i="31"/>
  <c r="N102" i="31"/>
  <c r="Q101" i="31"/>
  <c r="P101" i="31"/>
  <c r="O101" i="31"/>
  <c r="N101" i="31"/>
  <c r="Q100" i="31"/>
  <c r="P100" i="31"/>
  <c r="O100" i="31"/>
  <c r="N100" i="31"/>
  <c r="Q99" i="31"/>
  <c r="P99" i="31"/>
  <c r="O99" i="31"/>
  <c r="N99" i="31"/>
  <c r="Q98" i="31"/>
  <c r="P98" i="31"/>
  <c r="O98" i="31"/>
  <c r="N98" i="31"/>
  <c r="Q97" i="31"/>
  <c r="P97" i="31"/>
  <c r="O97" i="31"/>
  <c r="N97" i="31"/>
  <c r="Q96" i="31"/>
  <c r="P96" i="31"/>
  <c r="O96" i="31"/>
  <c r="N96" i="31"/>
  <c r="Q95" i="31"/>
  <c r="P95" i="31"/>
  <c r="O95" i="31"/>
  <c r="N95" i="31"/>
  <c r="Q94" i="31"/>
  <c r="P94" i="31"/>
  <c r="O94" i="31"/>
  <c r="N94" i="31"/>
  <c r="Q93" i="31"/>
  <c r="P93" i="31"/>
  <c r="O93" i="31"/>
  <c r="N93" i="31"/>
  <c r="Q92" i="31"/>
  <c r="P92" i="31"/>
  <c r="O92" i="31"/>
  <c r="N92" i="31"/>
  <c r="Q91" i="31"/>
  <c r="P91" i="31"/>
  <c r="O91" i="31"/>
  <c r="N91" i="31"/>
  <c r="Q90" i="31"/>
  <c r="P90" i="31"/>
  <c r="O90" i="31"/>
  <c r="N90" i="31"/>
  <c r="Q89" i="31"/>
  <c r="P89" i="31"/>
  <c r="O89" i="31"/>
  <c r="N89" i="31"/>
  <c r="Q88" i="31"/>
  <c r="P88" i="31"/>
  <c r="O88" i="31"/>
  <c r="N88" i="31"/>
  <c r="Q87" i="31"/>
  <c r="P87" i="31"/>
  <c r="O87" i="31"/>
  <c r="N87" i="31"/>
  <c r="Q86" i="31"/>
  <c r="P86" i="31"/>
  <c r="O86" i="31"/>
  <c r="N86" i="31"/>
  <c r="Q85" i="31"/>
  <c r="P85" i="31"/>
  <c r="O85" i="31"/>
  <c r="N85" i="31"/>
  <c r="Q84" i="31"/>
  <c r="P84" i="31"/>
  <c r="O84" i="31"/>
  <c r="N84" i="31"/>
  <c r="Q83" i="31"/>
  <c r="P83" i="31"/>
  <c r="O83" i="31"/>
  <c r="N83" i="31"/>
  <c r="Q82" i="31"/>
  <c r="P82" i="31"/>
  <c r="O82" i="31"/>
  <c r="N82" i="31"/>
  <c r="Q81" i="31"/>
  <c r="P81" i="31"/>
  <c r="O81" i="31"/>
  <c r="N81" i="31"/>
  <c r="Q80" i="31"/>
  <c r="P80" i="31"/>
  <c r="O80" i="31"/>
  <c r="N80" i="31"/>
  <c r="Q79" i="31"/>
  <c r="P79" i="31"/>
  <c r="O79" i="31"/>
  <c r="N79" i="31"/>
  <c r="Q78" i="31"/>
  <c r="P78" i="31"/>
  <c r="O78" i="31"/>
  <c r="N78" i="31"/>
  <c r="Q77" i="31"/>
  <c r="P77" i="31"/>
  <c r="O77" i="31"/>
  <c r="N77" i="31"/>
  <c r="Q76" i="31"/>
  <c r="P76" i="31"/>
  <c r="O76" i="31"/>
  <c r="N76" i="31"/>
  <c r="Q75" i="31"/>
  <c r="P75" i="31"/>
  <c r="O75" i="31"/>
  <c r="N75" i="31"/>
  <c r="Q74" i="31"/>
  <c r="P74" i="31"/>
  <c r="O74" i="31"/>
  <c r="N74" i="31"/>
  <c r="Q73" i="31"/>
  <c r="P73" i="31"/>
  <c r="O73" i="31"/>
  <c r="N73" i="31"/>
  <c r="Q72" i="31"/>
  <c r="P72" i="31"/>
  <c r="O72" i="31"/>
  <c r="N72" i="31"/>
  <c r="Q71" i="31"/>
  <c r="P71" i="31"/>
  <c r="O71" i="31"/>
  <c r="N71" i="31"/>
  <c r="Q70" i="31"/>
  <c r="P70" i="31"/>
  <c r="O70" i="31"/>
  <c r="N70" i="31"/>
  <c r="Q69" i="31"/>
  <c r="P69" i="31"/>
  <c r="O69" i="31"/>
  <c r="N69" i="31"/>
  <c r="Q68" i="31"/>
  <c r="P68" i="31"/>
  <c r="O68" i="31"/>
  <c r="N68" i="31"/>
  <c r="Q67" i="31"/>
  <c r="P67" i="31"/>
  <c r="O67" i="31"/>
  <c r="N67" i="31"/>
  <c r="Q66" i="31"/>
  <c r="P66" i="31"/>
  <c r="O66" i="31"/>
  <c r="N66" i="31"/>
  <c r="Q65" i="31"/>
  <c r="P65" i="31"/>
  <c r="O65" i="31"/>
  <c r="N65" i="31"/>
  <c r="Q64" i="31"/>
  <c r="P64" i="31"/>
  <c r="O64" i="31"/>
  <c r="N64" i="31"/>
  <c r="Q63" i="31"/>
  <c r="P63" i="31"/>
  <c r="O63" i="31"/>
  <c r="N63" i="31"/>
  <c r="Q62" i="31"/>
  <c r="P62" i="31"/>
  <c r="O62" i="31"/>
  <c r="N62" i="31"/>
  <c r="Q61" i="31"/>
  <c r="P61" i="31"/>
  <c r="O61" i="31"/>
  <c r="N61" i="31"/>
  <c r="Q60" i="31"/>
  <c r="P60" i="31"/>
  <c r="O60" i="31"/>
  <c r="N60" i="31"/>
  <c r="Q59" i="31"/>
  <c r="P59" i="31"/>
  <c r="O59" i="31"/>
  <c r="N59" i="31"/>
  <c r="Q58" i="31"/>
  <c r="P58" i="31"/>
  <c r="O58" i="31"/>
  <c r="N58" i="31"/>
  <c r="Q57" i="31"/>
  <c r="P57" i="31"/>
  <c r="O57" i="31"/>
  <c r="N57" i="31"/>
  <c r="Q56" i="31"/>
  <c r="P56" i="31"/>
  <c r="O56" i="31"/>
  <c r="N56" i="31"/>
  <c r="Q55" i="31"/>
  <c r="P55" i="31"/>
  <c r="O55" i="31"/>
  <c r="N55" i="31"/>
  <c r="Q54" i="31"/>
  <c r="P54" i="31"/>
  <c r="O54" i="31"/>
  <c r="N54" i="31"/>
  <c r="Q53" i="31"/>
  <c r="P53" i="31"/>
  <c r="O53" i="31"/>
  <c r="N53" i="31"/>
  <c r="Q52" i="31"/>
  <c r="P52" i="31"/>
  <c r="O52" i="31"/>
  <c r="N52" i="31"/>
  <c r="Q51" i="31"/>
  <c r="P51" i="31"/>
  <c r="O51" i="31"/>
  <c r="N51" i="31"/>
  <c r="Q50" i="31"/>
  <c r="P50" i="31"/>
  <c r="O50" i="31"/>
  <c r="N50" i="31"/>
  <c r="Q49" i="31"/>
  <c r="P49" i="31"/>
  <c r="O49" i="31"/>
  <c r="N49" i="31"/>
  <c r="Q48" i="31"/>
  <c r="P48" i="31"/>
  <c r="O48" i="31"/>
  <c r="N48" i="31"/>
  <c r="Q47" i="31"/>
  <c r="P47" i="31"/>
  <c r="O47" i="31"/>
  <c r="N47" i="31"/>
  <c r="Q46" i="31"/>
  <c r="P46" i="31"/>
  <c r="O46" i="31"/>
  <c r="N46" i="31"/>
  <c r="Q45" i="31"/>
  <c r="P45" i="31"/>
  <c r="O45" i="31"/>
  <c r="N45" i="31"/>
  <c r="Q44" i="31"/>
  <c r="P44" i="31"/>
  <c r="O44" i="31"/>
  <c r="N44" i="31"/>
  <c r="Q43" i="31"/>
  <c r="P43" i="31"/>
  <c r="O43" i="31"/>
  <c r="N43" i="31"/>
  <c r="Q42" i="31"/>
  <c r="P42" i="31"/>
  <c r="O42" i="31"/>
  <c r="N42" i="31"/>
  <c r="Q41" i="31"/>
  <c r="P41" i="31"/>
  <c r="O41" i="31"/>
  <c r="N41" i="31"/>
  <c r="Q40" i="31"/>
  <c r="P40" i="31"/>
  <c r="O40" i="31"/>
  <c r="N40" i="31"/>
  <c r="Q39" i="31"/>
  <c r="P39" i="31"/>
  <c r="O39" i="31"/>
  <c r="N39" i="31"/>
  <c r="Q38" i="31"/>
  <c r="P38" i="31"/>
  <c r="O38" i="31"/>
  <c r="N38" i="31"/>
  <c r="Q37" i="31"/>
  <c r="P37" i="31"/>
  <c r="O37" i="31"/>
  <c r="N37" i="31"/>
  <c r="Q36" i="31"/>
  <c r="P36" i="31"/>
  <c r="O36" i="31"/>
  <c r="N36" i="31"/>
  <c r="Q35" i="31"/>
  <c r="P35" i="31"/>
  <c r="O35" i="31"/>
  <c r="N35" i="31"/>
  <c r="Q34" i="31"/>
  <c r="P34" i="31"/>
  <c r="O34" i="31"/>
  <c r="N34" i="31"/>
  <c r="Q33" i="31"/>
  <c r="P33" i="31"/>
  <c r="O33" i="31"/>
  <c r="N33" i="31"/>
  <c r="Q32" i="31"/>
  <c r="P32" i="31"/>
  <c r="O32" i="31"/>
  <c r="N32" i="31"/>
  <c r="Q31" i="31"/>
  <c r="P31" i="31"/>
  <c r="O31" i="31"/>
  <c r="N31" i="31"/>
  <c r="Q30" i="31"/>
  <c r="P30" i="31"/>
  <c r="O30" i="31"/>
  <c r="N30" i="31"/>
  <c r="Q29" i="31"/>
  <c r="P29" i="31"/>
  <c r="O29" i="31"/>
  <c r="N29" i="31"/>
  <c r="Q28" i="31"/>
  <c r="P28" i="31"/>
  <c r="O28" i="31"/>
  <c r="N28" i="31"/>
  <c r="Q27" i="31"/>
  <c r="P27" i="31"/>
  <c r="O27" i="31"/>
  <c r="N27" i="31"/>
  <c r="Q26" i="31"/>
  <c r="P26" i="31"/>
  <c r="O26" i="31"/>
  <c r="N26" i="31"/>
  <c r="Q25" i="31"/>
  <c r="P25" i="31"/>
  <c r="O25" i="31"/>
  <c r="N25" i="31"/>
  <c r="Q24" i="31"/>
  <c r="P24" i="31"/>
  <c r="O24" i="31"/>
  <c r="N24" i="31"/>
  <c r="Q23" i="31"/>
  <c r="P23" i="31"/>
  <c r="O23" i="31"/>
  <c r="N23" i="31"/>
  <c r="Q22" i="31"/>
  <c r="P22" i="31"/>
  <c r="O22" i="31"/>
  <c r="N22" i="31"/>
  <c r="Q21" i="31"/>
  <c r="P21" i="31"/>
  <c r="O21" i="31"/>
  <c r="N21" i="31"/>
  <c r="Q20" i="31"/>
  <c r="P20" i="31"/>
  <c r="O20" i="31"/>
  <c r="N20" i="31"/>
  <c r="Q19" i="31"/>
  <c r="P19" i="31"/>
  <c r="O19" i="31"/>
  <c r="N19" i="31"/>
  <c r="Q18" i="31"/>
  <c r="P18" i="31"/>
  <c r="O18" i="31"/>
  <c r="N18" i="31"/>
  <c r="Q17" i="31"/>
  <c r="P17" i="31"/>
  <c r="O17" i="31"/>
  <c r="N17" i="31"/>
  <c r="Q16" i="31"/>
  <c r="P16" i="31"/>
  <c r="O16" i="31"/>
  <c r="N16" i="31"/>
  <c r="Q15" i="31"/>
  <c r="P15" i="31"/>
  <c r="O15" i="31"/>
  <c r="N15" i="31"/>
  <c r="Q14" i="31"/>
  <c r="P14" i="31"/>
  <c r="O14" i="31"/>
  <c r="N14" i="31"/>
  <c r="Q13" i="31"/>
  <c r="P13" i="31"/>
  <c r="O13" i="31"/>
  <c r="N13" i="31"/>
  <c r="Q12" i="31"/>
  <c r="P12" i="31"/>
  <c r="O12" i="31"/>
  <c r="N12" i="31"/>
  <c r="Q11" i="31"/>
  <c r="P11" i="31"/>
  <c r="O11" i="31"/>
  <c r="N11" i="31"/>
  <c r="Q10" i="31"/>
  <c r="P10" i="31"/>
  <c r="O10" i="31"/>
  <c r="N10" i="31"/>
  <c r="Q9" i="31"/>
  <c r="P9" i="31"/>
  <c r="O9" i="31"/>
  <c r="N9" i="31"/>
  <c r="Q8" i="31"/>
  <c r="P8" i="31"/>
  <c r="O8" i="31"/>
  <c r="N8" i="31"/>
  <c r="Q7" i="31"/>
  <c r="P7" i="31"/>
  <c r="O7" i="31"/>
  <c r="N7" i="31"/>
  <c r="Q6" i="31"/>
  <c r="P6" i="31"/>
  <c r="O6" i="31"/>
  <c r="N6" i="31"/>
  <c r="Q5" i="31"/>
  <c r="P5" i="31"/>
  <c r="O5" i="31"/>
  <c r="N5" i="31"/>
  <c r="Q4" i="31"/>
  <c r="P4" i="31"/>
  <c r="O4" i="31"/>
  <c r="N4" i="31"/>
  <c r="Q3" i="31"/>
  <c r="P3" i="31"/>
  <c r="O3" i="31"/>
  <c r="N3" i="31"/>
  <c r="Q2" i="31"/>
  <c r="P2" i="31"/>
  <c r="O2" i="31"/>
  <c r="N2" i="31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V5" i="26"/>
  <c r="W5" i="26" s="1"/>
  <c r="G4" i="18"/>
  <c r="I4" i="18" s="1"/>
  <c r="K4" i="18" s="1"/>
  <c r="M4" i="18" s="1"/>
  <c r="O4" i="18" s="1"/>
  <c r="Q4" i="18" s="1"/>
  <c r="F4" i="14"/>
  <c r="F5" i="14"/>
  <c r="F6" i="14"/>
  <c r="F7" i="14"/>
  <c r="F8" i="14"/>
  <c r="F9" i="14"/>
  <c r="F10" i="14"/>
  <c r="F11" i="14"/>
  <c r="F12" i="14"/>
  <c r="F13" i="14"/>
  <c r="F14" i="14"/>
  <c r="F15" i="14"/>
  <c r="AN18" i="15"/>
  <c r="AN25" i="15" s="1"/>
  <c r="AN32" i="15" s="1"/>
  <c r="AN39" i="15" s="1"/>
  <c r="AN46" i="15" s="1"/>
  <c r="AK18" i="15"/>
  <c r="AK25" i="15" s="1"/>
  <c r="AK32" i="15" s="1"/>
  <c r="AK39" i="15" s="1"/>
  <c r="AK46" i="15" s="1"/>
  <c r="AG18" i="15"/>
  <c r="AG25" i="15" s="1"/>
  <c r="AG32" i="15" s="1"/>
  <c r="AG39" i="15" s="1"/>
  <c r="AG46" i="15" s="1"/>
  <c r="AF18" i="15"/>
  <c r="AF25" i="15" s="1"/>
  <c r="AF32" i="15" s="1"/>
  <c r="AF39" i="15" s="1"/>
  <c r="AN17" i="15"/>
  <c r="AN24" i="15" s="1"/>
  <c r="AN31" i="15" s="1"/>
  <c r="AN38" i="15" s="1"/>
  <c r="AN45" i="15" s="1"/>
  <c r="AK17" i="15"/>
  <c r="AK24" i="15" s="1"/>
  <c r="AK31" i="15" s="1"/>
  <c r="AK38" i="15" s="1"/>
  <c r="AK45" i="15" s="1"/>
  <c r="AG17" i="15"/>
  <c r="AG24" i="15" s="1"/>
  <c r="AG31" i="15" s="1"/>
  <c r="AG38" i="15" s="1"/>
  <c r="AG45" i="15" s="1"/>
  <c r="AF17" i="15"/>
  <c r="AF24" i="15" s="1"/>
  <c r="AF31" i="15" s="1"/>
  <c r="AF38" i="15" s="1"/>
  <c r="AF45" i="15" s="1"/>
  <c r="AN16" i="15"/>
  <c r="AN23" i="15" s="1"/>
  <c r="AN30" i="15" s="1"/>
  <c r="AN37" i="15" s="1"/>
  <c r="AN44" i="15" s="1"/>
  <c r="AK16" i="15"/>
  <c r="AK23" i="15" s="1"/>
  <c r="AK30" i="15" s="1"/>
  <c r="AK37" i="15" s="1"/>
  <c r="AK44" i="15" s="1"/>
  <c r="AG16" i="15"/>
  <c r="AG23" i="15" s="1"/>
  <c r="AG30" i="15" s="1"/>
  <c r="AG37" i="15" s="1"/>
  <c r="AG44" i="15" s="1"/>
  <c r="AF16" i="15"/>
  <c r="AF23" i="15" s="1"/>
  <c r="AN15" i="15"/>
  <c r="AN22" i="15" s="1"/>
  <c r="AN29" i="15" s="1"/>
  <c r="AN36" i="15" s="1"/>
  <c r="AN43" i="15" s="1"/>
  <c r="AK15" i="15"/>
  <c r="AK22" i="15" s="1"/>
  <c r="AK29" i="15" s="1"/>
  <c r="AK36" i="15" s="1"/>
  <c r="AK43" i="15" s="1"/>
  <c r="AG15" i="15"/>
  <c r="AG22" i="15" s="1"/>
  <c r="AG29" i="15" s="1"/>
  <c r="AG36" i="15" s="1"/>
  <c r="AG43" i="15" s="1"/>
  <c r="AF15" i="15"/>
  <c r="AF22" i="15" s="1"/>
  <c r="AF29" i="15" s="1"/>
  <c r="AN14" i="15"/>
  <c r="AN21" i="15" s="1"/>
  <c r="AN28" i="15" s="1"/>
  <c r="AN35" i="15" s="1"/>
  <c r="AN42" i="15" s="1"/>
  <c r="AK14" i="15"/>
  <c r="AK21" i="15" s="1"/>
  <c r="AK28" i="15" s="1"/>
  <c r="AK35" i="15" s="1"/>
  <c r="AK42" i="15" s="1"/>
  <c r="AG14" i="15"/>
  <c r="AG21" i="15" s="1"/>
  <c r="AG28" i="15" s="1"/>
  <c r="AG35" i="15" s="1"/>
  <c r="AG42" i="15" s="1"/>
  <c r="AF14" i="15"/>
  <c r="AF21" i="15" s="1"/>
  <c r="AF28" i="15" s="1"/>
  <c r="AN13" i="15"/>
  <c r="AN20" i="15" s="1"/>
  <c r="AN27" i="15" s="1"/>
  <c r="AN34" i="15" s="1"/>
  <c r="AN41" i="15" s="1"/>
  <c r="AK13" i="15"/>
  <c r="AK20" i="15" s="1"/>
  <c r="AK27" i="15" s="1"/>
  <c r="AK34" i="15" s="1"/>
  <c r="AK41" i="15" s="1"/>
  <c r="AG13" i="15"/>
  <c r="AG20" i="15" s="1"/>
  <c r="AG27" i="15" s="1"/>
  <c r="AG34" i="15" s="1"/>
  <c r="AG41" i="15" s="1"/>
  <c r="AF13" i="15"/>
  <c r="AN12" i="15"/>
  <c r="AN19" i="15" s="1"/>
  <c r="AN26" i="15" s="1"/>
  <c r="AN33" i="15" s="1"/>
  <c r="AN40" i="15" s="1"/>
  <c r="AK12" i="15"/>
  <c r="AK19" i="15" s="1"/>
  <c r="AK26" i="15" s="1"/>
  <c r="AK33" i="15" s="1"/>
  <c r="AK40" i="15" s="1"/>
  <c r="AG12" i="15"/>
  <c r="AG19" i="15" s="1"/>
  <c r="AG26" i="15" s="1"/>
  <c r="AG33" i="15" s="1"/>
  <c r="AG40" i="15" s="1"/>
  <c r="AF12" i="15"/>
  <c r="AF19" i="15" s="1"/>
  <c r="AF26" i="15" s="1"/>
  <c r="AF33" i="15" s="1"/>
  <c r="AF40" i="15" s="1"/>
  <c r="AT8" i="15"/>
  <c r="AT4" i="15"/>
  <c r="J4" i="43" l="1"/>
  <c r="J4" i="30"/>
  <c r="J4" i="29"/>
  <c r="E7" i="39"/>
  <c r="G7" i="39" s="1"/>
  <c r="I7" i="39" s="1"/>
  <c r="K7" i="39" s="1"/>
  <c r="M7" i="39" s="1"/>
  <c r="O7" i="39" s="1"/>
  <c r="Q7" i="39" s="1"/>
  <c r="E8" i="39" s="1"/>
  <c r="G8" i="39" s="1"/>
  <c r="I8" i="39" s="1"/>
  <c r="K8" i="39" s="1"/>
  <c r="M8" i="39" s="1"/>
  <c r="O8" i="39" s="1"/>
  <c r="Q8" i="39" s="1"/>
  <c r="E9" i="39" s="1"/>
  <c r="M5" i="39"/>
  <c r="V4" i="39"/>
  <c r="K6" i="34"/>
  <c r="V6" i="26"/>
  <c r="W6" i="26" s="1"/>
  <c r="V4" i="18"/>
  <c r="M5" i="18"/>
  <c r="AH30" i="15"/>
  <c r="AM30" i="15" s="1"/>
  <c r="AH31" i="15"/>
  <c r="AM31" i="15" s="1"/>
  <c r="AT5" i="15"/>
  <c r="AH10" i="15"/>
  <c r="AM10" i="15" s="1"/>
  <c r="AH14" i="15"/>
  <c r="AM14" i="15" s="1"/>
  <c r="AH17" i="15"/>
  <c r="AH22" i="15"/>
  <c r="AM22" i="15" s="1"/>
  <c r="AH32" i="15"/>
  <c r="AM32" i="15" s="1"/>
  <c r="AH11" i="15"/>
  <c r="AH33" i="15"/>
  <c r="AH23" i="15"/>
  <c r="AH34" i="15"/>
  <c r="AH12" i="15"/>
  <c r="AM12" i="15" s="1"/>
  <c r="AH15" i="15"/>
  <c r="AM15" i="15" s="1"/>
  <c r="AH18" i="15"/>
  <c r="AM18" i="15" s="1"/>
  <c r="AH24" i="15"/>
  <c r="AH42" i="15"/>
  <c r="AM42" i="15" s="1"/>
  <c r="AH38" i="15"/>
  <c r="AM38" i="15" s="1"/>
  <c r="AH5" i="15"/>
  <c r="AH36" i="15"/>
  <c r="AH25" i="15"/>
  <c r="AM25" i="15" s="1"/>
  <c r="AH39" i="15"/>
  <c r="AH40" i="15"/>
  <c r="AM40" i="15" s="1"/>
  <c r="AH6" i="15"/>
  <c r="AH16" i="15"/>
  <c r="AM16" i="15" s="1"/>
  <c r="AH27" i="15"/>
  <c r="AM27" i="15" s="1"/>
  <c r="AH41" i="15"/>
  <c r="AH7" i="15"/>
  <c r="AM7" i="15" s="1"/>
  <c r="AH13" i="15"/>
  <c r="AH20" i="15"/>
  <c r="AH43" i="15"/>
  <c r="AM43" i="15" s="1"/>
  <c r="AH28" i="15"/>
  <c r="AM28" i="15" s="1"/>
  <c r="AH44" i="15"/>
  <c r="AM44" i="15" s="1"/>
  <c r="AH8" i="15"/>
  <c r="AH29" i="15"/>
  <c r="AH45" i="15"/>
  <c r="AF46" i="15"/>
  <c r="AF35" i="15"/>
  <c r="AF42" i="15" s="1"/>
  <c r="AF36" i="15"/>
  <c r="AF43" i="15" s="1"/>
  <c r="AF30" i="15"/>
  <c r="AF37" i="15" s="1"/>
  <c r="AF44" i="15" s="1"/>
  <c r="AF20" i="15"/>
  <c r="AF27" i="15" s="1"/>
  <c r="AF34" i="15" s="1"/>
  <c r="AF41" i="15" s="1"/>
  <c r="AH46" i="15"/>
  <c r="AM46" i="15" s="1"/>
  <c r="AH21" i="15"/>
  <c r="AM21" i="15" s="1"/>
  <c r="AH37" i="15"/>
  <c r="AM37" i="15" s="1"/>
  <c r="AH19" i="15"/>
  <c r="AM19" i="15" s="1"/>
  <c r="AH35" i="15"/>
  <c r="AM35" i="15" s="1"/>
  <c r="AH9" i="15"/>
  <c r="AM9" i="15" s="1"/>
  <c r="AH26" i="15"/>
  <c r="AM26" i="15" s="1"/>
  <c r="G9" i="39" l="1"/>
  <c r="I9" i="39" s="1"/>
  <c r="K9" i="39" s="1"/>
  <c r="M9" i="39" s="1"/>
  <c r="O9" i="39" s="1"/>
  <c r="Q9" i="39" s="1"/>
  <c r="C7" i="39"/>
  <c r="C8" i="39"/>
  <c r="C12" i="18"/>
  <c r="C10" i="18"/>
  <c r="C8" i="18"/>
  <c r="C9" i="18"/>
  <c r="C11" i="18"/>
  <c r="C7" i="18"/>
  <c r="AJ30" i="15"/>
  <c r="AJ12" i="15"/>
  <c r="AJ34" i="15"/>
  <c r="AM34" i="15"/>
  <c r="AJ8" i="15"/>
  <c r="AM8" i="15"/>
  <c r="AJ41" i="15"/>
  <c r="AM41" i="15"/>
  <c r="AJ23" i="15"/>
  <c r="AM23" i="15"/>
  <c r="AJ33" i="15"/>
  <c r="AM33" i="15"/>
  <c r="AJ13" i="15"/>
  <c r="AM13" i="15"/>
  <c r="AP11" i="15"/>
  <c r="AM11" i="15"/>
  <c r="AP6" i="15"/>
  <c r="AM6" i="15"/>
  <c r="AJ24" i="15"/>
  <c r="AM24" i="15"/>
  <c r="AJ20" i="15"/>
  <c r="AM20" i="15"/>
  <c r="AJ39" i="15"/>
  <c r="AM39" i="15"/>
  <c r="AJ17" i="15"/>
  <c r="AM17" i="15"/>
  <c r="AJ45" i="15"/>
  <c r="AM45" i="15"/>
  <c r="AJ36" i="15"/>
  <c r="AM36" i="15"/>
  <c r="AJ29" i="15"/>
  <c r="AM29" i="15"/>
  <c r="AJ5" i="15"/>
  <c r="AM5" i="15"/>
  <c r="AJ18" i="15"/>
  <c r="AJ25" i="15"/>
  <c r="AJ44" i="15"/>
  <c r="AJ15" i="15"/>
  <c r="AJ40" i="15"/>
  <c r="AJ14" i="15"/>
  <c r="AJ16" i="15"/>
  <c r="AJ31" i="15"/>
  <c r="AJ27" i="15"/>
  <c r="AJ28" i="15"/>
  <c r="AJ42" i="15"/>
  <c r="AJ46" i="15"/>
  <c r="AJ6" i="15"/>
  <c r="AJ43" i="15"/>
  <c r="AP7" i="15"/>
  <c r="AJ7" i="15"/>
  <c r="AJ32" i="15"/>
  <c r="AJ22" i="15"/>
  <c r="AJ11" i="15"/>
  <c r="AP5" i="15"/>
  <c r="AP8" i="15"/>
  <c r="AJ38" i="15"/>
  <c r="AP10" i="15"/>
  <c r="AJ10" i="15"/>
  <c r="AJ37" i="15"/>
  <c r="AJ21" i="15"/>
  <c r="AJ35" i="15"/>
  <c r="AJ26" i="15"/>
  <c r="AJ19" i="15"/>
  <c r="AJ9" i="15"/>
  <c r="AP9" i="15"/>
  <c r="E10" i="39" l="1"/>
  <c r="G10" i="39" s="1"/>
  <c r="C9" i="39"/>
  <c r="O5" i="13"/>
  <c r="I10" i="39" l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K10" i="39" l="1"/>
  <c r="M10" i="39" l="1"/>
  <c r="O10" i="39" l="1"/>
  <c r="Q10" i="39" l="1"/>
  <c r="E11" i="39" l="1"/>
  <c r="G11" i="39" s="1"/>
  <c r="I11" i="39" s="1"/>
  <c r="K11" i="39" s="1"/>
  <c r="M11" i="39" s="1"/>
  <c r="C10" i="39"/>
  <c r="O11" i="39" l="1"/>
  <c r="Q11" i="39" l="1"/>
  <c r="E12" i="39" l="1"/>
  <c r="G12" i="39" s="1"/>
  <c r="I12" i="39" s="1"/>
  <c r="K12" i="39" s="1"/>
  <c r="M12" i="39" s="1"/>
  <c r="O12" i="39" s="1"/>
  <c r="C11" i="39"/>
  <c r="Q12" i="39" l="1"/>
  <c r="C12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<sst xmlns="http://schemas.openxmlformats.org/spreadsheetml/2006/main" count="6205" uniqueCount="1157">
  <si>
    <t>I'm bored, can we automate this?</t>
  </si>
  <si>
    <t>Complete</t>
  </si>
  <si>
    <t>Name</t>
  </si>
  <si>
    <t>Gift Ideas</t>
  </si>
  <si>
    <t>Budget</t>
  </si>
  <si>
    <t>Spent</t>
  </si>
  <si>
    <t>Bought</t>
  </si>
  <si>
    <t>Wrapped</t>
  </si>
  <si>
    <t>No.</t>
  </si>
  <si>
    <t>M</t>
  </si>
  <si>
    <t>T</t>
  </si>
  <si>
    <t>W</t>
  </si>
  <si>
    <t>F</t>
  </si>
  <si>
    <t>Total</t>
  </si>
  <si>
    <t/>
  </si>
  <si>
    <t>Segue</t>
  </si>
  <si>
    <t>Scorecard</t>
  </si>
  <si>
    <t>Rock review</t>
  </si>
  <si>
    <t>Customer/Employee Headlines</t>
  </si>
  <si>
    <t>To-Do List</t>
  </si>
  <si>
    <t>Conclude</t>
  </si>
  <si>
    <t>Issues</t>
  </si>
  <si>
    <t>Amelia</t>
  </si>
  <si>
    <t>Benjamin</t>
  </si>
  <si>
    <t>Clara</t>
  </si>
  <si>
    <t>David</t>
  </si>
  <si>
    <t>Elise</t>
  </si>
  <si>
    <t>Francisco</t>
  </si>
  <si>
    <t>Gabriella</t>
  </si>
  <si>
    <t>Henry</t>
  </si>
  <si>
    <t>Isabella</t>
  </si>
  <si>
    <t>Jackson</t>
  </si>
  <si>
    <t>Keira</t>
  </si>
  <si>
    <t>Liam</t>
  </si>
  <si>
    <t>Maria</t>
  </si>
  <si>
    <t>Nathan</t>
  </si>
  <si>
    <t>Olivia</t>
  </si>
  <si>
    <t>Preston</t>
  </si>
  <si>
    <t>Quinn</t>
  </si>
  <si>
    <t>Legos</t>
  </si>
  <si>
    <t>Watch</t>
  </si>
  <si>
    <t>Headphones</t>
  </si>
  <si>
    <t>Video Games</t>
  </si>
  <si>
    <t>Books</t>
  </si>
  <si>
    <t>Art Supplies</t>
  </si>
  <si>
    <t>Cooking Utensils</t>
  </si>
  <si>
    <t>Jewelry</t>
  </si>
  <si>
    <t>Soccer</t>
  </si>
  <si>
    <t>Tablet</t>
  </si>
  <si>
    <t>Xbox Accessories</t>
  </si>
  <si>
    <t>Board Games, Toy Trucks</t>
  </si>
  <si>
    <t>Gardening, Hiking</t>
  </si>
  <si>
    <t>Scooter, Skateboard</t>
  </si>
  <si>
    <t>Dolls, Horses</t>
  </si>
  <si>
    <t>Clothes, Dodgers Hat</t>
  </si>
  <si>
    <t>Attendance Tracker</t>
  </si>
  <si>
    <t>Alejandro</t>
  </si>
  <si>
    <t>Brielle</t>
  </si>
  <si>
    <t>Caleb</t>
  </si>
  <si>
    <t>Delilah</t>
  </si>
  <si>
    <t>Ezekiel</t>
  </si>
  <si>
    <t>Fiona</t>
  </si>
  <si>
    <t>Grant</t>
  </si>
  <si>
    <t>Hazel</t>
  </si>
  <si>
    <t>Ivan</t>
  </si>
  <si>
    <t>Jasmine</t>
  </si>
  <si>
    <t>Kyle</t>
  </si>
  <si>
    <t>Leticia</t>
  </si>
  <si>
    <t>Malcolm</t>
  </si>
  <si>
    <t>Nadia</t>
  </si>
  <si>
    <t>Rosa</t>
  </si>
  <si>
    <t>Sebastian</t>
  </si>
  <si>
    <t>Weekly Meeting</t>
  </si>
  <si>
    <t>Agenga:</t>
  </si>
  <si>
    <t>Open files</t>
  </si>
  <si>
    <t>Download report 1</t>
  </si>
  <si>
    <t>Download report 2</t>
  </si>
  <si>
    <t>Format dates in column A</t>
  </si>
  <si>
    <t>Delete columns D,E,F</t>
  </si>
  <si>
    <t>Unhide Data Sheet</t>
  </si>
  <si>
    <t>Copy report 1 to Data sheet</t>
  </si>
  <si>
    <t>Create lookup formulas</t>
  </si>
  <si>
    <t>Repeat for report 2</t>
  </si>
  <si>
    <t>Month</t>
  </si>
  <si>
    <t>Actual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</si>
  <si>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</si>
  <si>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</si>
  <si>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</si>
  <si>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</si>
  <si>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</si>
  <si>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</si>
  <si>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</si>
  <si>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</si>
  <si>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</si>
  <si>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</si>
  <si>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</si>
  <si>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</si>
  <si>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Report</t>
  </si>
  <si>
    <t>Date</t>
  </si>
  <si>
    <t>Item</t>
  </si>
  <si>
    <t>Amount</t>
  </si>
  <si>
    <t>Split</t>
  </si>
  <si>
    <t>Pens</t>
  </si>
  <si>
    <t>Keyboards</t>
  </si>
  <si>
    <t>Paper</t>
  </si>
  <si>
    <t>Cups</t>
  </si>
  <si>
    <t>Coffee</t>
  </si>
  <si>
    <t>Pizza</t>
  </si>
  <si>
    <t>Meeting Room</t>
  </si>
  <si>
    <t>Ride Share</t>
  </si>
  <si>
    <t>Lunch Meeting</t>
  </si>
  <si>
    <t>Calendar Chart</t>
  </si>
  <si>
    <t>Current Month</t>
  </si>
  <si>
    <t>Prev/Next Month</t>
  </si>
  <si>
    <t>Complete (color)</t>
  </si>
  <si>
    <t>Day Labels</t>
  </si>
  <si>
    <t>Calendar Data</t>
  </si>
  <si>
    <t>Start Day Data</t>
  </si>
  <si>
    <t>Day No.</t>
  </si>
  <si>
    <t>X</t>
  </si>
  <si>
    <t>Y</t>
  </si>
  <si>
    <t>Date Label</t>
  </si>
  <si>
    <t>Day Label</t>
  </si>
  <si>
    <t>Value</t>
  </si>
  <si>
    <t>Start Date:</t>
  </si>
  <si>
    <t>Day</t>
  </si>
  <si>
    <t>WEEKDAY Start</t>
  </si>
  <si>
    <t>Chart Title:</t>
  </si>
  <si>
    <t>Sun</t>
  </si>
  <si>
    <t>Month #:</t>
  </si>
  <si>
    <t>Mon</t>
  </si>
  <si>
    <t>Tue</t>
  </si>
  <si>
    <t xml:space="preserve">Weekday: </t>
  </si>
  <si>
    <t>Wed</t>
  </si>
  <si>
    <t>Thu</t>
  </si>
  <si>
    <t>Fri</t>
  </si>
  <si>
    <t>Sat</t>
  </si>
  <si>
    <t>Workout Date</t>
  </si>
  <si>
    <t>Qty</t>
  </si>
  <si>
    <t>Show Budget</t>
  </si>
  <si>
    <t>Day Offset</t>
  </si>
  <si>
    <t>Month Start</t>
  </si>
  <si>
    <t>Month End</t>
  </si>
  <si>
    <t>Month #</t>
  </si>
  <si>
    <t>Jack's Chores</t>
  </si>
  <si>
    <t>Week Offset</t>
  </si>
  <si>
    <t>Show</t>
  </si>
  <si>
    <t>S</t>
  </si>
  <si>
    <t>🍩</t>
  </si>
  <si>
    <t>No</t>
  </si>
  <si>
    <t>AquaGlide Touring Board</t>
  </si>
  <si>
    <t>New</t>
  </si>
  <si>
    <t>Yes</t>
  </si>
  <si>
    <t>Return</t>
  </si>
  <si>
    <t>Jim Halpert</t>
  </si>
  <si>
    <t>California</t>
  </si>
  <si>
    <t>Venice Beach</t>
  </si>
  <si>
    <t>Island Waves</t>
  </si>
  <si>
    <t>Wave Rider Surf Series</t>
  </si>
  <si>
    <t>Existing</t>
  </si>
  <si>
    <t>Question</t>
  </si>
  <si>
    <t>Pam Beesly</t>
  </si>
  <si>
    <t>Hermosa Beach</t>
  </si>
  <si>
    <t>Sand Dune Surf</t>
  </si>
  <si>
    <t>Carve Performance Board</t>
  </si>
  <si>
    <t>Angela Martin</t>
  </si>
  <si>
    <t>Carlsbad</t>
  </si>
  <si>
    <t>Wave Runner Surf</t>
  </si>
  <si>
    <t>SwiftStream Adventure</t>
  </si>
  <si>
    <t>Ryan Howard</t>
  </si>
  <si>
    <t>Huntington Beach</t>
  </si>
  <si>
    <t>Sand Surf</t>
  </si>
  <si>
    <t>Blue Horizon Explorer</t>
  </si>
  <si>
    <t>Laguna Beach</t>
  </si>
  <si>
    <t>Ocean Explorer</t>
  </si>
  <si>
    <t>Oscar Martinez</t>
  </si>
  <si>
    <t>Shoreline Surf</t>
  </si>
  <si>
    <t>Dwight Schrute</t>
  </si>
  <si>
    <t>Encinitas</t>
  </si>
  <si>
    <t>Surf the Sea</t>
  </si>
  <si>
    <t>Tranquil Tide Yoga Board</t>
  </si>
  <si>
    <t>Problem</t>
  </si>
  <si>
    <t>Florida</t>
  </si>
  <si>
    <t>New Smyrna Beach</t>
  </si>
  <si>
    <t>Wave Reef</t>
  </si>
  <si>
    <t>Sebastian Inlet</t>
  </si>
  <si>
    <t>Roddie</t>
  </si>
  <si>
    <t>Ocean Mist Surf</t>
  </si>
  <si>
    <t>Dana Point</t>
  </si>
  <si>
    <t>Surf Retreat</t>
  </si>
  <si>
    <t>Sea Bird Cruiser</t>
  </si>
  <si>
    <t>Kevin Malone</t>
  </si>
  <si>
    <t>SunBask Leisure Paddle</t>
  </si>
  <si>
    <t>Santa Barbara</t>
  </si>
  <si>
    <t>Surf Odyssey</t>
  </si>
  <si>
    <t>Coronado</t>
  </si>
  <si>
    <t>Tide Tracker</t>
  </si>
  <si>
    <t>Kelly Kapoor</t>
  </si>
  <si>
    <t>Newport Beach</t>
  </si>
  <si>
    <t>Sea Swell</t>
  </si>
  <si>
    <t>105-265-4106</t>
  </si>
  <si>
    <t>Coastline Surf</t>
  </si>
  <si>
    <t>Reef Master Eco Board</t>
  </si>
  <si>
    <t>Oceanside</t>
  </si>
  <si>
    <t>Wave Baron</t>
  </si>
  <si>
    <t>Creed Bratton</t>
  </si>
  <si>
    <t>Sandy Shores Surf</t>
  </si>
  <si>
    <t>San Diego</t>
  </si>
  <si>
    <t>Swell Surf Co.</t>
  </si>
  <si>
    <t>Beachfront Surf</t>
  </si>
  <si>
    <t>Oregon</t>
  </si>
  <si>
    <t>Portland</t>
  </si>
  <si>
    <t>Ocean's Edge Surf</t>
  </si>
  <si>
    <t>Shore Surf</t>
  </si>
  <si>
    <t>Malibu</t>
  </si>
  <si>
    <t>Mystic Wave</t>
  </si>
  <si>
    <t>Ocean Sprint Racing Pro</t>
  </si>
  <si>
    <t>Ponce Inlet</t>
  </si>
  <si>
    <t>Surf Adventure</t>
  </si>
  <si>
    <t>Oxnard</t>
  </si>
  <si>
    <t>Beach Wind Surf</t>
  </si>
  <si>
    <t>San Clemente</t>
  </si>
  <si>
    <t>Surf Paradise</t>
  </si>
  <si>
    <t>Massachusetts</t>
  </si>
  <si>
    <t>Boston Harbor</t>
  </si>
  <si>
    <t>Beachside Bliss</t>
  </si>
  <si>
    <t>Wave Chase</t>
  </si>
  <si>
    <t>Beach Break Boards</t>
  </si>
  <si>
    <t>Beach Patrol Surf</t>
  </si>
  <si>
    <t>Redondo Beach</t>
  </si>
  <si>
    <t>Beachside Shred</t>
  </si>
  <si>
    <t>Dune Rider Surf</t>
  </si>
  <si>
    <t>Ocean Waves</t>
  </si>
  <si>
    <t>Seal Beach</t>
  </si>
  <si>
    <t>Oceanâ€™s Embrace</t>
  </si>
  <si>
    <t>Tide Touch</t>
  </si>
  <si>
    <t>Jacksonville Beach</t>
  </si>
  <si>
    <t>Coastal Curves</t>
  </si>
  <si>
    <t>Epic Waves</t>
  </si>
  <si>
    <t>Sea Foam Boards</t>
  </si>
  <si>
    <t>Santa Monica</t>
  </si>
  <si>
    <t>Ocean Trail</t>
  </si>
  <si>
    <t>Ocean Crest</t>
  </si>
  <si>
    <t>Daytona Beach</t>
  </si>
  <si>
    <t>Hans</t>
  </si>
  <si>
    <t>Surf Melody</t>
  </si>
  <si>
    <t>Surf Rider</t>
  </si>
  <si>
    <t>Surf Echo</t>
  </si>
  <si>
    <t>Other</t>
  </si>
  <si>
    <t>Pensacola Beach</t>
  </si>
  <si>
    <t>Winthrop</t>
  </si>
  <si>
    <t>Beach Breeze Surf</t>
  </si>
  <si>
    <t>Charmain</t>
  </si>
  <si>
    <t>Reef Quest Surf</t>
  </si>
  <si>
    <t>Breaker Bar Surf</t>
  </si>
  <si>
    <t>Pauly</t>
  </si>
  <si>
    <t>Breaker Point Surf</t>
  </si>
  <si>
    <t>Waves Galore</t>
  </si>
  <si>
    <t>Wave Quest</t>
  </si>
  <si>
    <t>South Carolina</t>
  </si>
  <si>
    <t>Charleston</t>
  </si>
  <si>
    <t>788-725-2736</t>
  </si>
  <si>
    <t>Tide Pools Surf</t>
  </si>
  <si>
    <t>381-512-1793</t>
  </si>
  <si>
    <t>Fonz</t>
  </si>
  <si>
    <t>Fort Pierce</t>
  </si>
  <si>
    <t>Redd</t>
  </si>
  <si>
    <t>Surf Symphony</t>
  </si>
  <si>
    <t>Ripple Surf Shop</t>
  </si>
  <si>
    <t>Cocoa Beach</t>
  </si>
  <si>
    <t>Ocean Line Surf</t>
  </si>
  <si>
    <t>Palm Beach</t>
  </si>
  <si>
    <t>Oceanic Surf</t>
  </si>
  <si>
    <t>Wave Catcher</t>
  </si>
  <si>
    <t>Surf Zone</t>
  </si>
  <si>
    <t>Wave Journey</t>
  </si>
  <si>
    <t>Rees</t>
  </si>
  <si>
    <t>Wave Dance</t>
  </si>
  <si>
    <t>Michell</t>
  </si>
  <si>
    <t>Surfside Shack</t>
  </si>
  <si>
    <t>Tidal Wave Surf</t>
  </si>
  <si>
    <t>Blue Horizon Surf</t>
  </si>
  <si>
    <t>Tide Lines</t>
  </si>
  <si>
    <t>Surf City</t>
  </si>
  <si>
    <t>Ocean Retreat Surf</t>
  </si>
  <si>
    <t>Reef Break Boards</t>
  </si>
  <si>
    <t>Tide Point</t>
  </si>
  <si>
    <t>Waves and Wonders</t>
  </si>
  <si>
    <t>Ocean Glide Surf</t>
  </si>
  <si>
    <t>Big Surf</t>
  </si>
  <si>
    <t>Arlene</t>
  </si>
  <si>
    <t>Beachcomber Boards</t>
  </si>
  <si>
    <t>Adventure Surf</t>
  </si>
  <si>
    <t>Utah</t>
  </si>
  <si>
    <t>Salt Lake City</t>
  </si>
  <si>
    <t>Paddle Love</t>
  </si>
  <si>
    <t>Shore Seeker</t>
  </si>
  <si>
    <t>Boardriders Surf</t>
  </si>
  <si>
    <t>Sandy Beach Surf</t>
  </si>
  <si>
    <t>Beachfront Surf Co.</t>
  </si>
  <si>
    <t>Shore Thing Surf</t>
  </si>
  <si>
    <t>Surf Lifestyle</t>
  </si>
  <si>
    <t>Surf Station</t>
  </si>
  <si>
    <t>Ocean Bliss Surf</t>
  </si>
  <si>
    <t>Seagrass Surf</t>
  </si>
  <si>
    <t>Shoreline Shreds</t>
  </si>
  <si>
    <t>Salt Spray</t>
  </si>
  <si>
    <t>Shoreline Surf Co.</t>
  </si>
  <si>
    <t>Manhattan Beach</t>
  </si>
  <si>
    <t>Wave Echo</t>
  </si>
  <si>
    <t>Beach Surf Co.</t>
  </si>
  <si>
    <t>Wave Motion</t>
  </si>
  <si>
    <t>Maine</t>
  </si>
  <si>
    <t>Bar Harbor</t>
  </si>
  <si>
    <t>Sherlocke</t>
  </si>
  <si>
    <t>Harbor Surf</t>
  </si>
  <si>
    <t>Sea Surf Boards</t>
  </si>
  <si>
    <t>Surf Dream</t>
  </si>
  <si>
    <t>Paradise Surf</t>
  </si>
  <si>
    <t>Dune Surf</t>
  </si>
  <si>
    <t>Sea Rider Surf</t>
  </si>
  <si>
    <t>Surf and Sand Adventures</t>
  </si>
  <si>
    <t>Minnesota</t>
  </si>
  <si>
    <t>Minneapolis</t>
  </si>
  <si>
    <t>Wave Whisperer</t>
  </si>
  <si>
    <t>Surf Coast</t>
  </si>
  <si>
    <t>Boardriders Club</t>
  </si>
  <si>
    <t>Claiborne</t>
  </si>
  <si>
    <t>Surf Vibe</t>
  </si>
  <si>
    <t>Wave Front</t>
  </si>
  <si>
    <t>Ernesta</t>
  </si>
  <si>
    <t>Reef Surfer</t>
  </si>
  <si>
    <t>Sea Surge</t>
  </si>
  <si>
    <t>Surf Spot</t>
  </si>
  <si>
    <t>Trefor</t>
  </si>
  <si>
    <t>Reef Rider Surf</t>
  </si>
  <si>
    <t>Epic Surf Tours</t>
  </si>
  <si>
    <t>Tidal Surf Shop</t>
  </si>
  <si>
    <t>Blue Crest Surf</t>
  </si>
  <si>
    <t>Dream Wave</t>
  </si>
  <si>
    <t>Surfing Spot</t>
  </si>
  <si>
    <t>Wave Bliss</t>
  </si>
  <si>
    <t>Surf Bliss</t>
  </si>
  <si>
    <t>Aqua Edge</t>
  </si>
  <si>
    <t>Beach Dancer</t>
  </si>
  <si>
    <t>Surf Expedition</t>
  </si>
  <si>
    <t>Big Wave Surf</t>
  </si>
  <si>
    <t>Deerfield Beach</t>
  </si>
  <si>
    <t>Surf Splash</t>
  </si>
  <si>
    <t>Brennan</t>
  </si>
  <si>
    <t>Surf Sanctuary</t>
  </si>
  <si>
    <t>Lucita</t>
  </si>
  <si>
    <t>Surf Thrill</t>
  </si>
  <si>
    <t>Theobald</t>
  </si>
  <si>
    <t>Surf Crafters</t>
  </si>
  <si>
    <t>Tidal Surf</t>
  </si>
  <si>
    <t>Surf Gateway</t>
  </si>
  <si>
    <t>Surf Nest</t>
  </si>
  <si>
    <t>Zacherie</t>
  </si>
  <si>
    <t>Tidal Surf Gear</t>
  </si>
  <si>
    <t>Board Masters</t>
  </si>
  <si>
    <t>Surf Escape</t>
  </si>
  <si>
    <t>Beachside Boards</t>
  </si>
  <si>
    <t>Shore Things</t>
  </si>
  <si>
    <t>589-655-0217</t>
  </si>
  <si>
    <t>Surf Crafts</t>
  </si>
  <si>
    <t>Horizon Surf</t>
  </si>
  <si>
    <t>Tide Surf Co.</t>
  </si>
  <si>
    <t>Patricio</t>
  </si>
  <si>
    <t>Blue Wave Surf</t>
  </si>
  <si>
    <t>Wavefront Surf</t>
  </si>
  <si>
    <t>Mystic Surf</t>
  </si>
  <si>
    <t>Seashore Surf Shop</t>
  </si>
  <si>
    <t>Surf Drift</t>
  </si>
  <si>
    <t>Beachfront Boys Surf</t>
  </si>
  <si>
    <t>Beach Boys Surf</t>
  </si>
  <si>
    <t>Tammi</t>
  </si>
  <si>
    <t>Wave Riders</t>
  </si>
  <si>
    <t>Ocean Wave</t>
  </si>
  <si>
    <t>837-928-9004</t>
  </si>
  <si>
    <t>Shore Surf Co.</t>
  </si>
  <si>
    <t>Andree</t>
  </si>
  <si>
    <t>Surf Seekers</t>
  </si>
  <si>
    <t>Bayside Boards</t>
  </si>
  <si>
    <t>Surf Frenzy</t>
  </si>
  <si>
    <t>Salty Surf</t>
  </si>
  <si>
    <t>Surf Wanderer</t>
  </si>
  <si>
    <t>Wave Tracker</t>
  </si>
  <si>
    <t>Salt Water</t>
  </si>
  <si>
    <t>Surf Tradewinds</t>
  </si>
  <si>
    <t>Aqua Surf</t>
  </si>
  <si>
    <t>Kaja</t>
  </si>
  <si>
    <t>Surf Haven Co.</t>
  </si>
  <si>
    <t>Surf Creations</t>
  </si>
  <si>
    <t>Seaweed Surf</t>
  </si>
  <si>
    <t>Oceanfront Surf</t>
  </si>
  <si>
    <t>Endless Summer Surf</t>
  </si>
  <si>
    <t>Ocean Swell</t>
  </si>
  <si>
    <t>Riptide Surf Shop</t>
  </si>
  <si>
    <t>Surf Metropolis</t>
  </si>
  <si>
    <t>Ferdinande</t>
  </si>
  <si>
    <t>Haven Surf</t>
  </si>
  <si>
    <t>Gone Surfing</t>
  </si>
  <si>
    <t>Roze</t>
  </si>
  <si>
    <t>Maritime Surf</t>
  </si>
  <si>
    <t>Tide Venture</t>
  </si>
  <si>
    <t>Wave Explorer</t>
  </si>
  <si>
    <t>Tide Surf</t>
  </si>
  <si>
    <t>Surf 'N Shore</t>
  </si>
  <si>
    <t>Surf Gear Essentials</t>
  </si>
  <si>
    <t>Coral Cove</t>
  </si>
  <si>
    <t>Sunset Surf</t>
  </si>
  <si>
    <t>Ocean Spray Surf</t>
  </si>
  <si>
    <t>Beach Wave</t>
  </si>
  <si>
    <t>Wave King</t>
  </si>
  <si>
    <t>Ocean Tide</t>
  </si>
  <si>
    <t>High Tide Surf</t>
  </si>
  <si>
    <t>Surfer's Point</t>
  </si>
  <si>
    <t>Beachfront Bliss</t>
  </si>
  <si>
    <t>Boardwalk Surf</t>
  </si>
  <si>
    <t>Wavescape Surf</t>
  </si>
  <si>
    <t>Rosy</t>
  </si>
  <si>
    <t>Blue Ocean Surf</t>
  </si>
  <si>
    <t>Board Leaders</t>
  </si>
  <si>
    <t>Surf Safari</t>
  </si>
  <si>
    <t>Surf Culture</t>
  </si>
  <si>
    <t>Surf Discoveries</t>
  </si>
  <si>
    <t>Surf Resonance</t>
  </si>
  <si>
    <t>Wave Seeker</t>
  </si>
  <si>
    <t>Pacific Waves</t>
  </si>
  <si>
    <t>758-381-2883</t>
  </si>
  <si>
    <t>Surf and Sand</t>
  </si>
  <si>
    <t>Wave Harmony</t>
  </si>
  <si>
    <t>Temple</t>
  </si>
  <si>
    <t>Blue Reef Surf</t>
  </si>
  <si>
    <t>180-615-8427</t>
  </si>
  <si>
    <t>Tidal Times Surf</t>
  </si>
  <si>
    <t>446-758-6907</t>
  </si>
  <si>
    <t>Johnath</t>
  </si>
  <si>
    <t>Wave Serenity</t>
  </si>
  <si>
    <t>Wave Craft</t>
  </si>
  <si>
    <t>Surf Essentials</t>
  </si>
  <si>
    <t>613-205-7112</t>
  </si>
  <si>
    <t>530-396-1395</t>
  </si>
  <si>
    <t>832-430-6578</t>
  </si>
  <si>
    <t>255-410-6835</t>
  </si>
  <si>
    <t>Coastal Wave</t>
  </si>
  <si>
    <t>Rori</t>
  </si>
  <si>
    <t>Seaside Surf</t>
  </si>
  <si>
    <t>Ocean Pulse</t>
  </si>
  <si>
    <t>117-955-6166</t>
  </si>
  <si>
    <t>Tide Rush Surf</t>
  </si>
  <si>
    <t>248-725-2399</t>
  </si>
  <si>
    <t>216-210-2337</t>
  </si>
  <si>
    <t>Coral Surf</t>
  </si>
  <si>
    <t>281-348-5168</t>
  </si>
  <si>
    <t>510-516-8289</t>
  </si>
  <si>
    <t>629-638-4942</t>
  </si>
  <si>
    <t>406-153-7751</t>
  </si>
  <si>
    <t>629-172-8990</t>
  </si>
  <si>
    <t>301-297-0707</t>
  </si>
  <si>
    <t>CS100862</t>
  </si>
  <si>
    <t>CS100861</t>
  </si>
  <si>
    <t>CS100860</t>
  </si>
  <si>
    <t>CS100859</t>
  </si>
  <si>
    <t>CS100858</t>
  </si>
  <si>
    <t>CS100857</t>
  </si>
  <si>
    <t>CS100856</t>
  </si>
  <si>
    <t>CS100855</t>
  </si>
  <si>
    <t>CS100854</t>
  </si>
  <si>
    <t>CS100853</t>
  </si>
  <si>
    <t>CS100852</t>
  </si>
  <si>
    <t>CS100851</t>
  </si>
  <si>
    <t>CS100850</t>
  </si>
  <si>
    <t>CS100849</t>
  </si>
  <si>
    <t>CS100848</t>
  </si>
  <si>
    <t>CS100847</t>
  </si>
  <si>
    <t>CS100846</t>
  </si>
  <si>
    <t>CS100845</t>
  </si>
  <si>
    <t>CS100844</t>
  </si>
  <si>
    <t>CS100843</t>
  </si>
  <si>
    <t>CS100842</t>
  </si>
  <si>
    <t>Product</t>
  </si>
  <si>
    <t>Request Type</t>
  </si>
  <si>
    <t>CS Rep Name</t>
  </si>
  <si>
    <t>CS Rep ID</t>
  </si>
  <si>
    <t>State</t>
  </si>
  <si>
    <t>City</t>
  </si>
  <si>
    <t>Phone Number</t>
  </si>
  <si>
    <t>Contact Name</t>
  </si>
  <si>
    <t>Customer Name</t>
  </si>
  <si>
    <t>Support ID</t>
  </si>
  <si>
    <t>Highlight</t>
  </si>
  <si>
    <t>Toggle on Chart</t>
  </si>
  <si>
    <t>Task Description</t>
  </si>
  <si>
    <t>Assigned To</t>
  </si>
  <si>
    <t>Check</t>
  </si>
  <si>
    <t>Status</t>
  </si>
  <si>
    <t>Requirements Gathering</t>
  </si>
  <si>
    <t>Maxi Stardust</t>
  </si>
  <si>
    <t>Design Mockups</t>
  </si>
  <si>
    <t>Gigi Glamour</t>
  </si>
  <si>
    <t>Database Setup</t>
  </si>
  <si>
    <t>Rocky Starshine</t>
  </si>
  <si>
    <t>API Development</t>
  </si>
  <si>
    <t>Daisy Glitter</t>
  </si>
  <si>
    <t>Frontend Development</t>
  </si>
  <si>
    <t>Jet Blaze</t>
  </si>
  <si>
    <t>Testing &amp; QA</t>
  </si>
  <si>
    <t>Sophie Sparkle</t>
  </si>
  <si>
    <t>User Documentation</t>
  </si>
  <si>
    <t>Rex Hollywood</t>
  </si>
  <si>
    <t>Deployment</t>
  </si>
  <si>
    <t>Lola Lush</t>
  </si>
  <si>
    <t>User Training</t>
  </si>
  <si>
    <t>Bobby Flash</t>
  </si>
  <si>
    <t>deployment Support</t>
  </si>
  <si>
    <t>Felicity Fizz</t>
  </si>
  <si>
    <t>Performance Optimization</t>
  </si>
  <si>
    <t>Jasper Jetson</t>
  </si>
  <si>
    <t>Feature Enhancements</t>
  </si>
  <si>
    <t>Vivian Vortex</t>
  </si>
  <si>
    <t>Security Audit</t>
  </si>
  <si>
    <t>Troy Thunder</t>
  </si>
  <si>
    <t>Backup and Recovery</t>
  </si>
  <si>
    <t>Nina Nova</t>
  </si>
  <si>
    <t>User Feedback Analysis</t>
  </si>
  <si>
    <t>Chase Stardream</t>
  </si>
  <si>
    <t>Launch Email Campaign</t>
  </si>
  <si>
    <t>Ruby Razzle</t>
  </si>
  <si>
    <t>Analyze Sales Data</t>
  </si>
  <si>
    <t>Zane Zinger</t>
  </si>
  <si>
    <t>Create Content Calendar</t>
  </si>
  <si>
    <t>Luna Lovelight</t>
  </si>
  <si>
    <t>Test User Experience</t>
  </si>
  <si>
    <t>Mav Moonbeam</t>
  </si>
  <si>
    <t>Perform Code Review</t>
  </si>
  <si>
    <t>Daphne Dazzle</t>
  </si>
  <si>
    <t>Task List:</t>
  </si>
  <si>
    <t>Weekly Report Preparation</t>
  </si>
  <si>
    <t>Chart Data</t>
  </si>
  <si>
    <t>Incomplete</t>
  </si>
  <si>
    <t>Packing List</t>
  </si>
  <si>
    <t>Shirts</t>
  </si>
  <si>
    <t>Shorts</t>
  </si>
  <si>
    <t>Sandals</t>
  </si>
  <si>
    <t>Hiking shoes</t>
  </si>
  <si>
    <t>Sunglasses</t>
  </si>
  <si>
    <t>Phone charger</t>
  </si>
  <si>
    <t>Passport</t>
  </si>
  <si>
    <t>Toiletries</t>
  </si>
  <si>
    <t>Supplements</t>
  </si>
  <si>
    <t>Water bottle</t>
  </si>
  <si>
    <t>Backpack</t>
  </si>
  <si>
    <t>Hat</t>
  </si>
  <si>
    <t>Christmas Gift List</t>
  </si>
  <si>
    <t>Customer ID</t>
  </si>
  <si>
    <t>Call List</t>
  </si>
  <si>
    <t>Company Name</t>
  </si>
  <si>
    <t>Notes</t>
  </si>
  <si>
    <t>Info</t>
  </si>
  <si>
    <t>Source</t>
  </si>
  <si>
    <t>Website</t>
  </si>
  <si>
    <t>Mailer</t>
  </si>
  <si>
    <t>Referral</t>
  </si>
  <si>
    <t>Miller</t>
  </si>
  <si>
    <t>Nadya</t>
  </si>
  <si>
    <t>Janaye</t>
  </si>
  <si>
    <t>Valentijn</t>
  </si>
  <si>
    <t>Michal</t>
  </si>
  <si>
    <t>Coleen</t>
  </si>
  <si>
    <t>Lynnet</t>
  </si>
  <si>
    <t>Adora</t>
  </si>
  <si>
    <t>Elladine</t>
  </si>
  <si>
    <t>Raymund</t>
  </si>
  <si>
    <t>Link</t>
  </si>
  <si>
    <t>Shepperd</t>
  </si>
  <si>
    <t>Rosalind</t>
  </si>
  <si>
    <t>Lynsey</t>
  </si>
  <si>
    <t>Thurstan</t>
  </si>
  <si>
    <t>Kile</t>
  </si>
  <si>
    <t>Jo</t>
  </si>
  <si>
    <t>Wenda</t>
  </si>
  <si>
    <t>Rem</t>
  </si>
  <si>
    <t>Husein</t>
  </si>
  <si>
    <t>Man</t>
  </si>
  <si>
    <t>Rosene</t>
  </si>
  <si>
    <t>Dacia</t>
  </si>
  <si>
    <t>Thorn</t>
  </si>
  <si>
    <t>L;urette</t>
  </si>
  <si>
    <t>Domingo</t>
  </si>
  <si>
    <t>Lexis</t>
  </si>
  <si>
    <t>Ibbie</t>
  </si>
  <si>
    <t>Shawn</t>
  </si>
  <si>
    <t>Jed</t>
  </si>
  <si>
    <t>Starlene</t>
  </si>
  <si>
    <t>Jolynn</t>
  </si>
  <si>
    <t>Ximenez</t>
  </si>
  <si>
    <t>Dell</t>
  </si>
  <si>
    <t>Xymenes</t>
  </si>
  <si>
    <t>Hamid</t>
  </si>
  <si>
    <t>Bearnard</t>
  </si>
  <si>
    <t>Joyann</t>
  </si>
  <si>
    <t>Randene</t>
  </si>
  <si>
    <t>Cassi</t>
  </si>
  <si>
    <t>Ray</t>
  </si>
  <si>
    <t>Vidovik</t>
  </si>
  <si>
    <t>Alysia</t>
  </si>
  <si>
    <t>Mel</t>
  </si>
  <si>
    <t>Em</t>
  </si>
  <si>
    <t>Ricardo</t>
  </si>
  <si>
    <t>Ev</t>
  </si>
  <si>
    <t>Rooney</t>
  </si>
  <si>
    <t>Gael</t>
  </si>
  <si>
    <t>Joshua</t>
  </si>
  <si>
    <t>Launce</t>
  </si>
  <si>
    <t>Carline</t>
  </si>
  <si>
    <t>Amalle</t>
  </si>
  <si>
    <t>Monique</t>
  </si>
  <si>
    <t>Reginald</t>
  </si>
  <si>
    <t>Eolanda</t>
  </si>
  <si>
    <t>Rivy</t>
  </si>
  <si>
    <t>Erek</t>
  </si>
  <si>
    <t>Ed</t>
  </si>
  <si>
    <t>Isadora</t>
  </si>
  <si>
    <t>Ajay</t>
  </si>
  <si>
    <t>Denny</t>
  </si>
  <si>
    <t>Murvyn</t>
  </si>
  <si>
    <t>Lara</t>
  </si>
  <si>
    <t>Sunshine</t>
  </si>
  <si>
    <t>Boy</t>
  </si>
  <si>
    <t>Ichabod</t>
  </si>
  <si>
    <t>Kata</t>
  </si>
  <si>
    <t>Jannel</t>
  </si>
  <si>
    <t>Kellina</t>
  </si>
  <si>
    <t>Evelin</t>
  </si>
  <si>
    <t>Hank</t>
  </si>
  <si>
    <t>Richard</t>
  </si>
  <si>
    <t>Berti</t>
  </si>
  <si>
    <t>Winnie</t>
  </si>
  <si>
    <t>Rivalee</t>
  </si>
  <si>
    <t>Adolphus</t>
  </si>
  <si>
    <t>Rogerio</t>
  </si>
  <si>
    <t>Bamby</t>
  </si>
  <si>
    <t>Reba</t>
  </si>
  <si>
    <t>Madelyn</t>
  </si>
  <si>
    <t>Clifford</t>
  </si>
  <si>
    <t>Giavani</t>
  </si>
  <si>
    <t>Stinky</t>
  </si>
  <si>
    <t>Blinni</t>
  </si>
  <si>
    <t>Bekki</t>
  </si>
  <si>
    <t>Jaquenette</t>
  </si>
  <si>
    <t>Madison</t>
  </si>
  <si>
    <t>Kingsley</t>
  </si>
  <si>
    <t>Osbourn</t>
  </si>
  <si>
    <t>Shelby</t>
  </si>
  <si>
    <t>Gianna</t>
  </si>
  <si>
    <t>Cris</t>
  </si>
  <si>
    <t>Jacobo</t>
  </si>
  <si>
    <t>Sax</t>
  </si>
  <si>
    <t>Natty</t>
  </si>
  <si>
    <t>Laetitia</t>
  </si>
  <si>
    <t>Elisa</t>
  </si>
  <si>
    <t>Winfred</t>
  </si>
  <si>
    <t>Rupert</t>
  </si>
  <si>
    <t>Gilbertine</t>
  </si>
  <si>
    <t>Bobby</t>
  </si>
  <si>
    <t>Desdemona</t>
  </si>
  <si>
    <t>Kittie</t>
  </si>
  <si>
    <t>Dorrie</t>
  </si>
  <si>
    <t>Emyle</t>
  </si>
  <si>
    <t>Alon</t>
  </si>
  <si>
    <t>Margalo</t>
  </si>
  <si>
    <t>Saidee</t>
  </si>
  <si>
    <t>Michail</t>
  </si>
  <si>
    <t>Rayner</t>
  </si>
  <si>
    <t>Zea</t>
  </si>
  <si>
    <t>Keefe</t>
  </si>
  <si>
    <t>Olga</t>
  </si>
  <si>
    <t>Oralle</t>
  </si>
  <si>
    <t>Beauregard</t>
  </si>
  <si>
    <t>Griswold</t>
  </si>
  <si>
    <t>Rossy</t>
  </si>
  <si>
    <t>Eward</t>
  </si>
  <si>
    <t>Page</t>
  </si>
  <si>
    <t>Noel</t>
  </si>
  <si>
    <t>Lizbeth</t>
  </si>
  <si>
    <t>Beatrice</t>
  </si>
  <si>
    <t>Dorelia</t>
  </si>
  <si>
    <t>Mort</t>
  </si>
  <si>
    <t>Brenden</t>
  </si>
  <si>
    <t>Raye</t>
  </si>
  <si>
    <t>Jerrylee</t>
  </si>
  <si>
    <t>Chase</t>
  </si>
  <si>
    <t>Cece</t>
  </si>
  <si>
    <t>Haydon</t>
  </si>
  <si>
    <t>Winnifred</t>
  </si>
  <si>
    <t>Ingmar</t>
  </si>
  <si>
    <t>Hayward</t>
  </si>
  <si>
    <t>Shurlocke</t>
  </si>
  <si>
    <t>Margi</t>
  </si>
  <si>
    <t>Adolf</t>
  </si>
  <si>
    <t>Edgardo</t>
  </si>
  <si>
    <t>Peta</t>
  </si>
  <si>
    <t>Arturo</t>
  </si>
  <si>
    <t>Prent</t>
  </si>
  <si>
    <t>Reggie</t>
  </si>
  <si>
    <t>Gracie</t>
  </si>
  <si>
    <t>Adrienne</t>
  </si>
  <si>
    <t>Winna</t>
  </si>
  <si>
    <t>Rodolph</t>
  </si>
  <si>
    <t>Dale</t>
  </si>
  <si>
    <t>Stevy</t>
  </si>
  <si>
    <t>Lizzy</t>
  </si>
  <si>
    <t>Sheridan</t>
  </si>
  <si>
    <t>Godiva</t>
  </si>
  <si>
    <t>Cori</t>
  </si>
  <si>
    <t>Barri</t>
  </si>
  <si>
    <t>Siward</t>
  </si>
  <si>
    <t>Mavra</t>
  </si>
  <si>
    <t>Aloysia</t>
  </si>
  <si>
    <t>Zilvia</t>
  </si>
  <si>
    <t>Becki</t>
  </si>
  <si>
    <t>Raffarty</t>
  </si>
  <si>
    <t>Desiree</t>
  </si>
  <si>
    <t>Alick</t>
  </si>
  <si>
    <t>Samantha</t>
  </si>
  <si>
    <t>Ebeneser</t>
  </si>
  <si>
    <t>Rudolfo</t>
  </si>
  <si>
    <t>Tonia</t>
  </si>
  <si>
    <t>Lucias</t>
  </si>
  <si>
    <t>Gerry</t>
  </si>
  <si>
    <t>Raynard</t>
  </si>
  <si>
    <t>Kerrie</t>
  </si>
  <si>
    <t>Rubin</t>
  </si>
  <si>
    <t>Normie</t>
  </si>
  <si>
    <t>Shep</t>
  </si>
  <si>
    <t>Archy</t>
  </si>
  <si>
    <t>Riordan</t>
  </si>
  <si>
    <t>Rabbi</t>
  </si>
  <si>
    <t>Ambros</t>
  </si>
  <si>
    <t>Kort</t>
  </si>
  <si>
    <t>Katharina</t>
  </si>
  <si>
    <t>Carney</t>
  </si>
  <si>
    <t>Ninnetta</t>
  </si>
  <si>
    <t>Luther</t>
  </si>
  <si>
    <t>Nobe</t>
  </si>
  <si>
    <t>Shoshanna</t>
  </si>
  <si>
    <t>Jasmina</t>
  </si>
  <si>
    <t>Cahra</t>
  </si>
  <si>
    <t>Pavel</t>
  </si>
  <si>
    <t>Tabbie</t>
  </si>
  <si>
    <t>Patin</t>
  </si>
  <si>
    <t>Suzy</t>
  </si>
  <si>
    <t>Leshia</t>
  </si>
  <si>
    <t>Fransisco</t>
  </si>
  <si>
    <t>Lowell</t>
  </si>
  <si>
    <t>Floyd</t>
  </si>
  <si>
    <t>Barbara</t>
  </si>
  <si>
    <t>Herminia</t>
  </si>
  <si>
    <t>Kelcey</t>
  </si>
  <si>
    <t>Chucho</t>
  </si>
  <si>
    <t>Kassandra</t>
  </si>
  <si>
    <t>Vlad</t>
  </si>
  <si>
    <t>Agathe</t>
  </si>
  <si>
    <t>Maureen</t>
  </si>
  <si>
    <t>Charlene</t>
  </si>
  <si>
    <t>Berkeley</t>
  </si>
  <si>
    <t>Towney</t>
  </si>
  <si>
    <t>Kaylee</t>
  </si>
  <si>
    <t>Lothaire</t>
  </si>
  <si>
    <t>Lenette</t>
  </si>
  <si>
    <t>Even</t>
  </si>
  <si>
    <t>Tedd</t>
  </si>
  <si>
    <t>Pegeen</t>
  </si>
  <si>
    <t>Dall</t>
  </si>
  <si>
    <t>Farleigh</t>
  </si>
  <si>
    <t>Marylou</t>
  </si>
  <si>
    <t>Veronica</t>
  </si>
  <si>
    <t>Harlan</t>
  </si>
  <si>
    <t>Joachim</t>
  </si>
  <si>
    <t>Wyn</t>
  </si>
  <si>
    <t>Kalvin</t>
  </si>
  <si>
    <t>Aurelia</t>
  </si>
  <si>
    <t>Cinderella</t>
  </si>
  <si>
    <t>Pooh</t>
  </si>
  <si>
    <t>Harcourt</t>
  </si>
  <si>
    <t>Brewer</t>
  </si>
  <si>
    <t>Neely</t>
  </si>
  <si>
    <t>Byrann</t>
  </si>
  <si>
    <t>Christos</t>
  </si>
  <si>
    <t>Kesley</t>
  </si>
  <si>
    <t>Daffi</t>
  </si>
  <si>
    <t>Davon</t>
  </si>
  <si>
    <t>Lalo</t>
  </si>
  <si>
    <t>Amy</t>
  </si>
  <si>
    <t>Morgana</t>
  </si>
  <si>
    <t>Doyle</t>
  </si>
  <si>
    <t>Rora</t>
  </si>
  <si>
    <t>Beryle</t>
  </si>
  <si>
    <t>Whitney</t>
  </si>
  <si>
    <t>Karlik</t>
  </si>
  <si>
    <t>Nona</t>
  </si>
  <si>
    <t>Cristian</t>
  </si>
  <si>
    <t>Jamil</t>
  </si>
  <si>
    <t>Shir</t>
  </si>
  <si>
    <t>Nancey</t>
  </si>
  <si>
    <t>Verge</t>
  </si>
  <si>
    <t>Dominick</t>
  </si>
  <si>
    <t>Starr</t>
  </si>
  <si>
    <t>Deane</t>
  </si>
  <si>
    <t>Velma</t>
  </si>
  <si>
    <t>Fabian</t>
  </si>
  <si>
    <t>Meaghan</t>
  </si>
  <si>
    <t>Wallie</t>
  </si>
  <si>
    <t>Collen</t>
  </si>
  <si>
    <t>Trudie</t>
  </si>
  <si>
    <t>Orelee</t>
  </si>
  <si>
    <t>Davey</t>
  </si>
  <si>
    <t>Dionis</t>
  </si>
  <si>
    <t>Virgie</t>
  </si>
  <si>
    <t>John</t>
  </si>
  <si>
    <t>Billye</t>
  </si>
  <si>
    <t>Allyce</t>
  </si>
  <si>
    <t>Stella</t>
  </si>
  <si>
    <t>Duffie</t>
  </si>
  <si>
    <t>Harris</t>
  </si>
  <si>
    <t>Benyamin</t>
  </si>
  <si>
    <t>Liuka</t>
  </si>
  <si>
    <t>Jacinda</t>
  </si>
  <si>
    <t>Dyanna</t>
  </si>
  <si>
    <t>Morty</t>
  </si>
  <si>
    <t>Lonnie</t>
  </si>
  <si>
    <t>Jeff</t>
  </si>
  <si>
    <t>Hilton</t>
  </si>
  <si>
    <t>Dulcine</t>
  </si>
  <si>
    <t>Hillary</t>
  </si>
  <si>
    <t>Anthiathia</t>
  </si>
  <si>
    <t>Dav</t>
  </si>
  <si>
    <t>Shell</t>
  </si>
  <si>
    <t>Tomasine</t>
  </si>
  <si>
    <t>Terry</t>
  </si>
  <si>
    <t>Margo</t>
  </si>
  <si>
    <t>Vale</t>
  </si>
  <si>
    <t>Marshall</t>
  </si>
  <si>
    <t>Silvie</t>
  </si>
  <si>
    <t>Ursula</t>
  </si>
  <si>
    <t>Nesta</t>
  </si>
  <si>
    <t>Dani</t>
  </si>
  <si>
    <t>Abelard</t>
  </si>
  <si>
    <t>Carmine</t>
  </si>
  <si>
    <t>Tandie</t>
  </si>
  <si>
    <t>Adam</t>
  </si>
  <si>
    <t>Bryanty</t>
  </si>
  <si>
    <t>Ira</t>
  </si>
  <si>
    <t>Ezechiel</t>
  </si>
  <si>
    <t>Todd</t>
  </si>
  <si>
    <t>Aylmer</t>
  </si>
  <si>
    <t>Lottie</t>
  </si>
  <si>
    <t>Cleopatra</t>
  </si>
  <si>
    <t>Arty</t>
  </si>
  <si>
    <t>Reece</t>
  </si>
  <si>
    <t>Justine</t>
  </si>
  <si>
    <t>Jimmy</t>
  </si>
  <si>
    <t>Ketty</t>
  </si>
  <si>
    <t>Inger</t>
  </si>
  <si>
    <t>Cyb</t>
  </si>
  <si>
    <t>Ophelia</t>
  </si>
  <si>
    <t>Murdock</t>
  </si>
  <si>
    <t>Della</t>
  </si>
  <si>
    <t>Tallie</t>
  </si>
  <si>
    <t>Mariya</t>
  </si>
  <si>
    <t>Stephi</t>
  </si>
  <si>
    <t>Layton</t>
  </si>
  <si>
    <t>Kimball</t>
  </si>
  <si>
    <t>Howard</t>
  </si>
  <si>
    <t>Bealle</t>
  </si>
  <si>
    <t>Urbano</t>
  </si>
  <si>
    <t>Bendicty</t>
  </si>
  <si>
    <t>Anita</t>
  </si>
  <si>
    <t>Dniren</t>
  </si>
  <si>
    <t>Holly-anne</t>
  </si>
  <si>
    <t>Bram</t>
  </si>
  <si>
    <t>Roderich</t>
  </si>
  <si>
    <t>Arleyne</t>
  </si>
  <si>
    <t>Kristina</t>
  </si>
  <si>
    <t>Clarey</t>
  </si>
  <si>
    <t>Peria</t>
  </si>
  <si>
    <t>Guthry</t>
  </si>
  <si>
    <t>Venus</t>
  </si>
  <si>
    <t>Elinore</t>
  </si>
  <si>
    <t>Jarrad</t>
  </si>
  <si>
    <t>Alica</t>
  </si>
  <si>
    <t>Edi</t>
  </si>
  <si>
    <t>Craggie</t>
  </si>
  <si>
    <t>Fidelia</t>
  </si>
  <si>
    <t>Estell</t>
  </si>
  <si>
    <t>Nev</t>
  </si>
  <si>
    <t>Niki</t>
  </si>
  <si>
    <t>Seka</t>
  </si>
  <si>
    <t>Trix</t>
  </si>
  <si>
    <t>Martie</t>
  </si>
  <si>
    <t>Alia</t>
  </si>
  <si>
    <t>Delainey</t>
  </si>
  <si>
    <t>Howie</t>
  </si>
  <si>
    <t>Killie</t>
  </si>
  <si>
    <t>Meridith</t>
  </si>
  <si>
    <t>Annadiane</t>
  </si>
  <si>
    <t>Lianne</t>
  </si>
  <si>
    <t>Tove</t>
  </si>
  <si>
    <t>Anastassia</t>
  </si>
  <si>
    <t>Law</t>
  </si>
  <si>
    <t>Cary</t>
  </si>
  <si>
    <t>Yetty</t>
  </si>
  <si>
    <t>Felicia</t>
  </si>
  <si>
    <t>Eveleen</t>
  </si>
  <si>
    <t>Raleigh</t>
  </si>
  <si>
    <t>Brooks</t>
  </si>
  <si>
    <t>Barn</t>
  </si>
  <si>
    <t>Burt</t>
  </si>
  <si>
    <t>Jemie</t>
  </si>
  <si>
    <t>Burton</t>
  </si>
  <si>
    <t>Chan</t>
  </si>
  <si>
    <t>Archibald</t>
  </si>
  <si>
    <t>Konstanze</t>
  </si>
  <si>
    <t>Rachel</t>
  </si>
  <si>
    <t>Essy</t>
  </si>
  <si>
    <t>Stanley</t>
  </si>
  <si>
    <t>Pincas</t>
  </si>
  <si>
    <t>Cindie</t>
  </si>
  <si>
    <t>Masha</t>
  </si>
  <si>
    <t>Lowrance</t>
  </si>
  <si>
    <t>Silvain</t>
  </si>
  <si>
    <t>Garold</t>
  </si>
  <si>
    <t>Pansie</t>
  </si>
  <si>
    <t>Trude</t>
  </si>
  <si>
    <t>Paten</t>
  </si>
  <si>
    <t>Lenore</t>
  </si>
  <si>
    <t>Anne-corinne</t>
  </si>
  <si>
    <t>Delly</t>
  </si>
  <si>
    <t>Albrecht</t>
  </si>
  <si>
    <t>Antoinette</t>
  </si>
  <si>
    <t>Liza</t>
  </si>
  <si>
    <t>Ellen</t>
  </si>
  <si>
    <t>Heidi</t>
  </si>
  <si>
    <t>Becca</t>
  </si>
  <si>
    <t>Troy</t>
  </si>
  <si>
    <t>Taffy</t>
  </si>
  <si>
    <t>Wesley</t>
  </si>
  <si>
    <t>Dilly</t>
  </si>
  <si>
    <t>Chiarra</t>
  </si>
  <si>
    <t>Kaitlin</t>
  </si>
  <si>
    <t>Teddie</t>
  </si>
  <si>
    <t>Danya</t>
  </si>
  <si>
    <t>Fayre</t>
  </si>
  <si>
    <t>Renae</t>
  </si>
  <si>
    <t>Rhiamon</t>
  </si>
  <si>
    <t>Dan</t>
  </si>
  <si>
    <t>Taryn</t>
  </si>
  <si>
    <t>Caryl</t>
  </si>
  <si>
    <t>Cherida</t>
  </si>
  <si>
    <t>Gilberta</t>
  </si>
  <si>
    <t>Beaufort</t>
  </si>
  <si>
    <t>Loren</t>
  </si>
  <si>
    <t>Ole</t>
  </si>
  <si>
    <t>Buffy</t>
  </si>
  <si>
    <t>Jourdain</t>
  </si>
  <si>
    <t>Vivie</t>
  </si>
  <si>
    <t>Cammie</t>
  </si>
  <si>
    <t>Lettie</t>
  </si>
  <si>
    <t>Curtice</t>
  </si>
  <si>
    <t>Cleon</t>
  </si>
  <si>
    <t>Minta</t>
  </si>
  <si>
    <t>Daniel</t>
  </si>
  <si>
    <t>Marijo</t>
  </si>
  <si>
    <t>Yardley</t>
  </si>
  <si>
    <t>Sayer</t>
  </si>
  <si>
    <t>Pattin</t>
  </si>
  <si>
    <t>Gwendolen</t>
  </si>
  <si>
    <t>Maxi</t>
  </si>
  <si>
    <t>De witt</t>
  </si>
  <si>
    <t>Wally</t>
  </si>
  <si>
    <t>Dud</t>
  </si>
  <si>
    <t>Tristan</t>
  </si>
  <si>
    <t>Myrna</t>
  </si>
  <si>
    <t>Susy</t>
  </si>
  <si>
    <t>Cherie</t>
  </si>
  <si>
    <t>Robbert</t>
  </si>
  <si>
    <t>Riane</t>
  </si>
  <si>
    <t>Kristien</t>
  </si>
  <si>
    <t>Rodina</t>
  </si>
  <si>
    <t>Lev</t>
  </si>
  <si>
    <t>Svend</t>
  </si>
  <si>
    <t>Dallas</t>
  </si>
  <si>
    <t>Padriac</t>
  </si>
  <si>
    <t>Nelly</t>
  </si>
  <si>
    <t>Hilary</t>
  </si>
  <si>
    <t>Marika</t>
  </si>
  <si>
    <t>Theodora</t>
  </si>
  <si>
    <t>Gardy</t>
  </si>
  <si>
    <t>Isa</t>
  </si>
  <si>
    <t>Dwain</t>
  </si>
  <si>
    <t>Ettie</t>
  </si>
  <si>
    <t>Liva</t>
  </si>
  <si>
    <t>Stacie</t>
  </si>
  <si>
    <t>Tracy</t>
  </si>
  <si>
    <t>Malinde</t>
  </si>
  <si>
    <t>Meryl</t>
  </si>
  <si>
    <t>Elicia</t>
  </si>
  <si>
    <t>Ham</t>
  </si>
  <si>
    <t>Nellie</t>
  </si>
  <si>
    <t>Aldon</t>
  </si>
  <si>
    <t>Justino</t>
  </si>
  <si>
    <t>Dannie</t>
  </si>
  <si>
    <t>Berkly</t>
  </si>
  <si>
    <t>Kikelia</t>
  </si>
  <si>
    <t>Bunni</t>
  </si>
  <si>
    <t>Renault</t>
  </si>
  <si>
    <t>Amby</t>
  </si>
  <si>
    <t>Prince</t>
  </si>
  <si>
    <t>Bernice</t>
  </si>
  <si>
    <t>Onida</t>
  </si>
  <si>
    <t>Carlen</t>
  </si>
  <si>
    <t>Cust ID</t>
  </si>
  <si>
    <t>Contacts</t>
  </si>
  <si>
    <t>Order ID</t>
  </si>
  <si>
    <t>Product ID</t>
  </si>
  <si>
    <t>Product Name</t>
  </si>
  <si>
    <t>Category</t>
  </si>
  <si>
    <t>Price</t>
  </si>
  <si>
    <t>Coupon (Y/N)</t>
  </si>
  <si>
    <t>Coupon Code</t>
  </si>
  <si>
    <t>Coupon %</t>
  </si>
  <si>
    <t>Coupon Amount</t>
  </si>
  <si>
    <t>Revenue</t>
  </si>
  <si>
    <t>Shipping Time (days)</t>
  </si>
  <si>
    <t>Order Revenue</t>
  </si>
  <si>
    <t>Day of Week</t>
  </si>
  <si>
    <t>Unique Count</t>
  </si>
  <si>
    <t>ReefSafe UV Leggings</t>
  </si>
  <si>
    <t>Apparel</t>
  </si>
  <si>
    <t>N</t>
  </si>
  <si>
    <t>HydroThrive Safety Leash</t>
  </si>
  <si>
    <t>Accessories</t>
  </si>
  <si>
    <t>ReefFlex Anti-Slip Deck Pad</t>
  </si>
  <si>
    <t>ShoreLine Collapsible Paddle</t>
  </si>
  <si>
    <t>Boards</t>
  </si>
  <si>
    <t>SUMMER10</t>
  </si>
  <si>
    <t>BlueWave Solar Charger</t>
  </si>
  <si>
    <t>SunShield Rash Guard</t>
  </si>
  <si>
    <t>HydroCap Waterproof Hat</t>
  </si>
  <si>
    <t>Logo Tshirt</t>
  </si>
  <si>
    <t>PADDLE15</t>
  </si>
  <si>
    <t>AquaLume LED Light Kit</t>
  </si>
  <si>
    <t>SeaPulse GPS Tracker</t>
  </si>
  <si>
    <t>ClearVue Underwater Camera Mount</t>
  </si>
  <si>
    <t>SurfStream Balance Cushion</t>
  </si>
  <si>
    <t>WaveRider Waterproof Case</t>
  </si>
  <si>
    <t>WaveRider Water Shoes</t>
  </si>
  <si>
    <t>AquaGrip Paddle Gloves</t>
  </si>
  <si>
    <t>TideProof Paddle Jacket</t>
  </si>
  <si>
    <t>AquaFlex Board Shorts</t>
  </si>
  <si>
    <t>TideLock Deck Bag</t>
  </si>
  <si>
    <t>OceanGuard Board Lock</t>
  </si>
  <si>
    <t>SUBSCRIBE10</t>
  </si>
  <si>
    <t>Paid</t>
  </si>
  <si>
    <t>Shipping</t>
  </si>
  <si>
    <t>Ground</t>
  </si>
  <si>
    <t>Air</t>
  </si>
  <si>
    <t>Next Day</t>
  </si>
  <si>
    <t>Items</t>
  </si>
  <si>
    <t>Details</t>
  </si>
  <si>
    <t>Row Labels</t>
  </si>
  <si>
    <t>Grand Total</t>
  </si>
  <si>
    <t>Sum of Order Revenue</t>
  </si>
  <si>
    <t>Show Details</t>
  </si>
  <si>
    <t>Show Invoice Details</t>
  </si>
  <si>
    <t>Order</t>
  </si>
  <si>
    <t>Jay</t>
  </si>
  <si>
    <t>Show Chart Data</t>
  </si>
  <si>
    <t>Called</t>
  </si>
  <si>
    <t>Excel Tables</t>
  </si>
  <si>
    <t>IF Function + Conditional Formatting</t>
  </si>
  <si>
    <t>Guest List</t>
  </si>
  <si>
    <t>Ebba Winwood</t>
  </si>
  <si>
    <t>432 Manitowish Plaza</t>
  </si>
  <si>
    <t>Whittier</t>
  </si>
  <si>
    <t>CA</t>
  </si>
  <si>
    <t>Tobias Biford</t>
  </si>
  <si>
    <t>44 Continental Parkway</t>
  </si>
  <si>
    <t>Long Beach</t>
  </si>
  <si>
    <t>Kathie Danter</t>
  </si>
  <si>
    <t>994 Arizona Circle</t>
  </si>
  <si>
    <t>Quintilla Velde</t>
  </si>
  <si>
    <t>29393 Myrtle Junction</t>
  </si>
  <si>
    <t>Pasadena</t>
  </si>
  <si>
    <t>Wat Vuittet</t>
  </si>
  <si>
    <t>917 Katie Court</t>
  </si>
  <si>
    <t>Seline Blenkiron</t>
  </si>
  <si>
    <t>948 Clyde Gallagher Pass</t>
  </si>
  <si>
    <t>North Hollywood</t>
  </si>
  <si>
    <t>Windy Casine</t>
  </si>
  <si>
    <t>39761 Bowman Park</t>
  </si>
  <si>
    <t>Pepita Sich</t>
  </si>
  <si>
    <t>497 Portage Circle</t>
  </si>
  <si>
    <t>Alhambra</t>
  </si>
  <si>
    <t>Zacharie Carrington</t>
  </si>
  <si>
    <t>3 Briar Crest Park</t>
  </si>
  <si>
    <t>Chula Vista</t>
  </si>
  <si>
    <t>Ingmar Gallihawk</t>
  </si>
  <si>
    <t>Nellie Burtwell</t>
  </si>
  <si>
    <t>39 Cody Drive</t>
  </si>
  <si>
    <t>Cindelyn Doerffer</t>
  </si>
  <si>
    <t>6995 Kennedy Lane</t>
  </si>
  <si>
    <t>Rollin McColley</t>
  </si>
  <si>
    <t>008 Steensland Avenue</t>
  </si>
  <si>
    <t>Noami Brockest</t>
  </si>
  <si>
    <t>6436 Nova Drive</t>
  </si>
  <si>
    <t>Cleopatra Lynett</t>
  </si>
  <si>
    <t>1646 High Crossing Park</t>
  </si>
  <si>
    <t>Steve Godlonton</t>
  </si>
  <si>
    <t>4 Buell Plaza</t>
  </si>
  <si>
    <t>Katharina Parnaby</t>
  </si>
  <si>
    <t>6 Holy Cross Circle</t>
  </si>
  <si>
    <t>Full Name</t>
  </si>
  <si>
    <t>Street</t>
  </si>
  <si>
    <t>Zip</t>
  </si>
  <si>
    <t>RSVP</t>
  </si>
  <si>
    <t>10650 Blue Bill Park</t>
  </si>
  <si>
    <t>Reset Calendar</t>
  </si>
  <si>
    <t>Select All</t>
  </si>
  <si>
    <t>Seat</t>
  </si>
  <si>
    <t>A1</t>
  </si>
  <si>
    <t>C1</t>
  </si>
  <si>
    <t>B2</t>
  </si>
  <si>
    <t>C3</t>
  </si>
  <si>
    <t>C5</t>
  </si>
  <si>
    <t>A2</t>
  </si>
  <si>
    <t>A3</t>
  </si>
  <si>
    <t>A4</t>
  </si>
  <si>
    <t>B5</t>
  </si>
  <si>
    <t>B1</t>
  </si>
  <si>
    <t>B3</t>
  </si>
  <si>
    <t>A5</t>
  </si>
  <si>
    <t>B4</t>
  </si>
  <si>
    <t>C4</t>
  </si>
  <si>
    <t>C2</t>
  </si>
  <si>
    <t>Interactive Calendar</t>
  </si>
  <si>
    <t>Compare Rows</t>
  </si>
  <si>
    <t>Total RSVP'd:</t>
  </si>
  <si>
    <t>Invisible Reveal</t>
  </si>
  <si>
    <t>Reveal</t>
  </si>
  <si>
    <t>Progress Bars</t>
  </si>
  <si>
    <t>Reset Button</t>
  </si>
  <si>
    <t>Only one checkbox can be checked.</t>
  </si>
  <si>
    <t>Table of Contents</t>
  </si>
  <si>
    <t>True|True|3|Medium|Medium|False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</si>
</sst>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d"/>
    <numFmt numFmtId="168" formatCode="mmmm\ yyyy"/>
    <numFmt numFmtId="169" formatCode="[$-409]dd\-mmm\-yy"/>
    <numFmt numFmtId="170" formatCode="[&lt;=9999999]###\-####;\(###\)\ ###\-####"/>
    <numFmt numFmtId="171" formatCode="&quot;$&quot;#,##0"/>
    <numFmt numFmtId="172" formatCode="_(* #,##0_);_(* \(#,##0\);_(* &quot;-&quot;??_);_(@_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sz val="11"/>
      <color theme="0" tint="-0.249977111117893"/>
      <name val="Aptos Narrow"/>
      <family val="2"/>
      <scheme val="minor"/>
    </font>
    <font>
      <b/>
      <sz val="18"/>
      <color theme="6" tint="-0.249977111117893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22"/>
      <color theme="1" tint="0.34998626667073579"/>
      <name val="Aptos Display"/>
      <family val="2"/>
      <scheme val="major"/>
    </font>
    <font>
      <b/>
      <sz val="14"/>
      <color theme="5"/>
      <name val="Aptos Display"/>
      <family val="2"/>
      <scheme val="major"/>
    </font>
    <font>
      <sz val="11"/>
      <color theme="0" tint="-0.34998626667073579"/>
      <name val="Aptos Narrow"/>
      <family val="2"/>
      <scheme val="minor"/>
    </font>
    <font>
      <sz val="22"/>
      <color theme="0" tint="-4.9989318521683403E-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0" tint="-0.34998626667073579"/>
      <name val="Wingdings"/>
      <charset val="2"/>
    </font>
  </fonts>
  <fills count="13">
    <fill>
      <patternFill patternType="none"/>
    </fill>
    <fill>
      <patternFill patternType="gray125"/>
    </fill>
    <fill>
      <patternFill patternType="darkUp">
        <fgColor theme="0"/>
        <bgColor rgb="FFC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7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164" fontId="0" fillId="0" borderId="0" xfId="1" applyFont="1"/>
    <xf numFmtId="0" fontId="4" fillId="2" borderId="0" xfId="0" applyFont="1" applyFill="1"/>
    <xf numFmtId="0" fontId="3" fillId="2" borderId="0" xfId="0" applyFont="1" applyFill="1"/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6" fillId="3" borderId="0" xfId="0" applyFont="1" applyFill="1"/>
    <xf numFmtId="0" fontId="2" fillId="5" borderId="0" xfId="0" applyFont="1" applyFill="1"/>
    <xf numFmtId="0" fontId="0" fillId="0" borderId="2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6" fontId="0" fillId="0" borderId="0" xfId="1" applyNumberFormat="1" applyFont="1"/>
    <xf numFmtId="14" fontId="0" fillId="0" borderId="0" xfId="0" applyNumberFormat="1"/>
    <xf numFmtId="0" fontId="0" fillId="0" borderId="7" xfId="0" applyBorder="1"/>
    <xf numFmtId="0" fontId="2" fillId="7" borderId="0" xfId="0" applyFont="1" applyFill="1"/>
    <xf numFmtId="0" fontId="0" fillId="7" borderId="0" xfId="0" applyFill="1"/>
    <xf numFmtId="0" fontId="2" fillId="6" borderId="0" xfId="0" applyFont="1" applyFill="1"/>
    <xf numFmtId="0" fontId="0" fillId="6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167" fontId="0" fillId="0" borderId="0" xfId="0" applyNumberFormat="1"/>
    <xf numFmtId="9" fontId="2" fillId="0" borderId="0" xfId="2" applyFont="1"/>
    <xf numFmtId="9" fontId="0" fillId="0" borderId="0" xfId="2" applyFont="1"/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9" fillId="6" borderId="0" xfId="0" applyFont="1" applyFill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1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  <xf numFmtId="164" fontId="5" fillId="0" borderId="0" xfId="1" applyFont="1"/>
    <xf numFmtId="0" fontId="11" fillId="0" borderId="0" xfId="0" applyFont="1"/>
    <xf numFmtId="168" fontId="12" fillId="0" borderId="9" xfId="0" applyNumberFormat="1" applyFont="1" applyBorder="1" applyAlignment="1">
      <alignment vertical="center"/>
    </xf>
    <xf numFmtId="168" fontId="0" fillId="0" borderId="0" xfId="0" applyNumberFormat="1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7" fontId="13" fillId="0" borderId="14" xfId="0" applyNumberFormat="1" applyFont="1" applyBorder="1" applyAlignment="1">
      <alignment vertical="center"/>
    </xf>
    <xf numFmtId="0" fontId="13" fillId="0" borderId="15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6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0" fontId="13" fillId="0" borderId="1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7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/>
    <xf numFmtId="0" fontId="1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6" applyFont="1"/>
    <xf numFmtId="170" fontId="0" fillId="0" borderId="0" xfId="0" applyNumberFormat="1"/>
    <xf numFmtId="0" fontId="2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6" borderId="19" xfId="0" applyFont="1" applyFill="1" applyBorder="1"/>
    <xf numFmtId="0" fontId="0" fillId="0" borderId="0" xfId="0" quotePrefix="1"/>
    <xf numFmtId="165" fontId="0" fillId="0" borderId="0" xfId="5" applyFont="1"/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171" fontId="0" fillId="0" borderId="0" xfId="0" applyNumberFormat="1"/>
    <xf numFmtId="0" fontId="0" fillId="0" borderId="0" xfId="0" applyAlignment="1">
      <alignment horizontal="right"/>
    </xf>
    <xf numFmtId="0" fontId="0" fillId="0" borderId="20" xfId="0" applyBorder="1"/>
    <xf numFmtId="0" fontId="0" fillId="0" borderId="21" xfId="0" applyBorder="1"/>
    <xf numFmtId="14" fontId="0" fillId="0" borderId="21" xfId="0" applyNumberFormat="1" applyBorder="1"/>
    <xf numFmtId="0" fontId="20" fillId="0" borderId="2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6" borderId="19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6" borderId="1" xfId="0" applyFont="1" applyFill="1" applyBorder="1"/>
    <xf numFmtId="0" fontId="0" fillId="0" borderId="18" xfId="0" applyBorder="1"/>
    <xf numFmtId="0" fontId="0" fillId="0" borderId="18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9" fontId="0" fillId="0" borderId="18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1" borderId="18" xfId="0" applyFont="1" applyFill="1" applyBorder="1" applyAlignment="1">
      <alignment horizontal="left" vertical="center"/>
    </xf>
    <xf numFmtId="0" fontId="21" fillId="11" borderId="18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vertical="center"/>
    </xf>
    <xf numFmtId="0" fontId="2" fillId="3" borderId="23" xfId="0" applyFont="1" applyFill="1" applyBorder="1"/>
    <xf numFmtId="0" fontId="0" fillId="0" borderId="23" xfId="0" applyBorder="1"/>
    <xf numFmtId="0" fontId="0" fillId="0" borderId="2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2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/>
    <xf numFmtId="0" fontId="23" fillId="0" borderId="2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/>
    <xf numFmtId="0" fontId="2" fillId="12" borderId="25" xfId="0" applyFont="1" applyFill="1" applyBorder="1" applyAlignment="1">
      <alignment horizontal="center"/>
    </xf>
    <xf numFmtId="0" fontId="2" fillId="0" borderId="25" xfId="0" applyFont="1" applyBorder="1"/>
    <xf numFmtId="0" fontId="2" fillId="0" borderId="0" xfId="0" applyFont="1" applyAlignment="1">
      <alignment horizontal="right"/>
    </xf>
    <xf numFmtId="0" fontId="2" fillId="4" borderId="4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7" fillId="0" borderId="0" xfId="3"/>
    <xf numFmtId="0" fontId="24" fillId="0" borderId="0" xfId="0" applyFont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2" fillId="6" borderId="24" xfId="0" applyFont="1" applyFill="1" applyBorder="1"/>
    <xf numFmtId="0" fontId="2" fillId="6" borderId="24" xfId="0" applyFont="1" applyFill="1" applyBorder="1" applyAlignment="1">
      <alignment horizontal="center"/>
    </xf>
    <xf numFmtId="172" fontId="0" fillId="0" borderId="24" xfId="5" applyNumberFormat="1" applyFont="1" applyBorder="1"/>
    <xf numFmtId="166" fontId="0" fillId="0" borderId="24" xfId="1" applyNumberFormat="1" applyFont="1" applyBorder="1"/>
    <xf numFmtId="0" fontId="2" fillId="0" borderId="24" xfId="0" applyFont="1" applyBorder="1"/>
    <xf numFmtId="172" fontId="2" fillId="0" borderId="24" xfId="5" applyNumberFormat="1" applyFont="1" applyBorder="1"/>
    <xf numFmtId="166" fontId="2" fillId="0" borderId="24" xfId="1" applyNumberFormat="1" applyFont="1" applyBorder="1"/>
    <xf numFmtId="0" fontId="25" fillId="0" borderId="0" xfId="0" applyFont="1"/>
    <xf numFmtId="0" fontId="26" fillId="0" borderId="0" xfId="0" applyFont="1"/>
    <xf numFmtId="0" fontId="27" fillId="6" borderId="1" xfId="3" applyFont="1" applyFill="1" applyBorder="1"/>
    <xf numFmtId="0" fontId="27" fillId="3" borderId="1" xfId="3" applyFont="1" applyFill="1" applyBorder="1"/>
    <xf numFmtId="168" fontId="12" fillId="0" borderId="9" xfId="0" applyNumberFormat="1" applyFont="1" applyBorder="1" applyAlignment="1">
      <alignment horizontal="right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</cellXfs>
  <cellStyles count="7">
    <cellStyle name="Comma" xfId="5" builtinId="3"/>
    <cellStyle name="Currency" xfId="1" builtinId="4"/>
    <cellStyle name="Hyperlink" xfId="3" builtinId="8"/>
    <cellStyle name="Normal" xfId="0" builtinId="0"/>
    <cellStyle name="Normal 2" xfId="4" xr:uid="{506B3AFD-A1F3-42B8-B7DA-504892D39AD8}"/>
    <cellStyle name="Percent" xfId="6" builtinId="5"/>
    <cellStyle name="Percent 2" xfId="2" xr:uid="{432EC1CB-2D72-4DDD-A120-6830D44603E3}"/>
  </cellStyles>
  <dxfs count="101">
    <dxf>
      <font>
        <color theme="0"/>
      </font>
      <fill>
        <patternFill>
          <bgColor theme="0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5"/>
      </font>
    </dxf>
    <dxf>
      <font>
        <color theme="0"/>
      </font>
      <border>
        <left/>
        <right/>
        <bottom/>
        <vertical/>
        <horizontal/>
      </border>
    </dxf>
    <dxf>
      <font>
        <b/>
        <i val="0"/>
        <color theme="5"/>
      </font>
    </dxf>
    <dxf>
      <fill>
        <patternFill>
          <bgColor theme="5" tint="0.7999816888943144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5"/>
      </font>
    </dxf>
    <dxf>
      <font>
        <color theme="0"/>
      </font>
      <border>
        <left/>
        <right/>
        <bottom/>
        <vertical/>
        <horizontal/>
      </border>
    </dxf>
    <dxf>
      <font>
        <b/>
        <i val="0"/>
        <color theme="5"/>
      </font>
    </dxf>
    <dxf>
      <fill>
        <patternFill>
          <bgColor theme="5" tint="0.79998168889431442"/>
        </patternFill>
      </fill>
    </dxf>
    <dxf>
      <font>
        <color theme="7"/>
      </font>
    </dxf>
    <dxf>
      <font>
        <color theme="0"/>
      </font>
    </dxf>
    <dxf>
      <font>
        <color theme="0"/>
      </font>
    </dxf>
    <dxf>
      <font>
        <strike val="0"/>
        <color theme="1" tint="0.499984740745262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/>
        <i val="0"/>
        <color rgb="FFC00000"/>
      </font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/>
        <i val="0"/>
        <color rgb="FFC00000"/>
      </font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strike val="0"/>
        <color theme="1" tint="0.499984740745262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color theme="6"/>
      </font>
      <fill>
        <patternFill patternType="none"/>
      </fill>
    </dxf>
    <dxf>
      <font>
        <b/>
        <color rgb="FFFF1F1F"/>
      </font>
      <fill>
        <patternFill patternType="solid">
          <fgColor theme="0"/>
          <bgColor theme="0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numFmt numFmtId="170" formatCode="[&lt;=9999999]###\-####;\(###\)\ ###\-####"/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.00_);_(* \(#,##0.00\);_(* &quot;-&quot;??_);_(@_)"/>
    </dxf>
    <dxf>
      <numFmt numFmtId="0" formatCode="General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3" formatCode="m/d/yyyy"/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border diagonalUp="0" diagonalDown="0">
        <left style="thin">
          <color theme="4" tint="0.39994506668294322"/>
        </left>
        <right/>
        <top/>
        <bottom/>
        <vertical style="thin">
          <color theme="4" tint="0.39994506668294322"/>
        </vertical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/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border diagonalUp="0" diagonalDown="0">
        <left style="thin">
          <color theme="4" tint="0.39994506668294322"/>
        </left>
        <right/>
        <top/>
        <bottom/>
        <vertical style="thin">
          <color theme="4" tint="0.39994506668294322"/>
        </vertical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/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border diagonalUp="0" diagonalDown="0">
        <left style="thin">
          <color theme="4" tint="0.39994506668294322"/>
        </left>
        <right/>
        <top/>
        <bottom/>
        <vertical style="thin">
          <color theme="4" tint="0.39994506668294322"/>
        </vertical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  <border diagonalUp="0" diagonalDown="0">
        <left/>
        <right style="thin">
          <color theme="4" tint="0.39994506668294322"/>
        </right>
        <top/>
        <bottom/>
        <vertical style="thin">
          <color theme="4" tint="0.39994506668294322"/>
        </vertical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3" formatCode="m/d/yyyy"/>
    </dxf>
    <dxf>
      <font>
        <strike val="0"/>
        <outline val="0"/>
        <shadow val="0"/>
        <u val="none"/>
        <vertAlign val="baseline"/>
        <sz val="11"/>
        <color theme="4" tint="0.39997558519241921"/>
        <name val="Aptos Narrow"/>
        <family val="2"/>
        <scheme val="minor"/>
      </font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 defaultTableStyle="TableStyleMedium2" defaultPivotStyle="PivotStyleLight16">
    <tableStyle name="TableStyleLight11 2" pivot="0" count="9" xr9:uid="{8919B8F1-4684-4250-90AA-5F892C3E16F9}">
      <tableStyleElement type="wholeTable" dxfId="100"/>
      <tableStyleElement type="headerRow" dxfId="99"/>
      <tableStyleElement type="totalRow" dxfId="98"/>
      <tableStyleElement type="firstColumn" dxfId="97"/>
      <tableStyleElement type="lastColumn" dxfId="96"/>
      <tableStyleElement type="firstRowStripe" dxfId="95"/>
      <tableStyleElement type="secondRowStripe" dxfId="94"/>
      <tableStyleElement type="firstColumnStripe" dxfId="93"/>
      <tableStyleElement type="secondColumnStripe" dxfId="92"/>
    </tableStyle>
  </tableStyles>
  <colors>
    <mruColors>
      <color rgb="FF5BC436"/>
      <color rgb="FF54B432"/>
      <color rgb="FF19C37D"/>
      <color rgb="FFAB68F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[19-Uses-for-New-Checkboxes-in-Excel.xlsx]Pivot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 |</a:t>
            </a:r>
            <a:r>
              <a:rPr lang="en-US" baseline="0"/>
              <a:t> Q1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Chart'!$A$4:$A$7</c:f>
              <c:strCache>
                <c:ptCount val="3"/>
                <c:pt idx="0">
                  <c:v>Accessories</c:v>
                </c:pt>
                <c:pt idx="1">
                  <c:v>Apparel</c:v>
                </c:pt>
                <c:pt idx="2">
                  <c:v>Boards</c:v>
                </c:pt>
              </c:strCache>
            </c:strRef>
          </c:cat>
          <c:val>
            <c:numRef>
              <c:f>'Pivot Chart'!$B$4:$B$7</c:f>
              <c:numCache>
                <c:formatCode>"$"#,##0</c:formatCode>
                <c:ptCount val="3"/>
                <c:pt idx="0">
                  <c:v>60812.710000000014</c:v>
                </c:pt>
                <c:pt idx="1">
                  <c:v>40949.244999999995</c:v>
                </c:pt>
                <c:pt idx="2">
                  <c:v>96438.091000000015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C-4037-937C-8421430C4A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38515024"/>
        <c:axId val="138517904"/>
      </c:barChart>
      <c:catAx>
        <c:axId val="138515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7904"/>
        <c:crosses val="autoZero"/>
        <c:auto val="1"/>
        <c:lblAlgn val="ctr"/>
        <c:lblOffset val="100"/>
        <c:noMultiLvlLbl val="0"/>
      </c:catAx>
      <c:valAx>
        <c:axId val="138517904"/>
        <c:scaling>
          <c:orientation val="minMax"/>
        </c:scaling>
        <c:delete val="1"/>
        <c:axPos val="t"/>
        <c:numFmt formatCode="&quot;$&quot;#,##0" sourceLinked="1"/>
        <c:majorTickMark val="none"/>
        <c:minorTickMark val="none"/>
        <c:tickLblPos val="nextTo"/>
        <c:crossAx val="138515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pattFill prst="dkUpDiag">
                <a:fgClr>
                  <a:schemeClr val="accent5"/>
                </a:fgClr>
                <a:bgClr>
                  <a:schemeClr val="accent5">
                    <a:lumMod val="60000"/>
                    <a:lumOff val="40000"/>
                  </a:schemeClr>
                </a:bgClr>
              </a:patt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72-4A9A-AE55-648CD1499A22}"/>
              </c:ext>
            </c:extLst>
          </c:dPt>
          <c:dPt>
            <c:idx val="1"/>
            <c:bubble3D val="0"/>
            <c:spPr>
              <a:pattFill prst="dkUpDiag">
                <a:fgClr>
                  <a:schemeClr val="bg1">
                    <a:lumMod val="85000"/>
                  </a:schemeClr>
                </a:fgClr>
                <a:bgClr>
                  <a:schemeClr val="bg1">
                    <a:lumMod val="95000"/>
                  </a:schemeClr>
                </a:bgClr>
              </a:patt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72-4A9A-AE55-648CD1499A22}"/>
              </c:ext>
            </c:extLst>
          </c:dPt>
          <c:cat>
            <c:strRef>
              <c:f>'Progress Bars'!$U$5:$U$6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'Progress Bars'!$V$5:$V$6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2-4A9A-AE55-648CD1499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095238095238099E-2"/>
          <c:y val="0.11325615916503376"/>
          <c:w val="0.92380952380952386"/>
          <c:h val="0.794079710609029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'Progress Bars'!$U$5</c:f>
              <c:strCache>
                <c:ptCount val="1"/>
                <c:pt idx="0">
                  <c:v>Complete</c:v>
                </c:pt>
              </c:strCache>
            </c:strRef>
          </c:tx>
          <c:spPr>
            <a:pattFill prst="dkUpDiag">
              <a:fgClr>
                <a:schemeClr val="accent6"/>
              </a:fgClr>
              <a:bgClr>
                <a:srgbClr val="5BC436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2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51948051948054"/>
                      <c:h val="0.485739181012073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9B8-455E-AC10-4B8EDEAAB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'Progress Bars'!$W$5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8-455E-AC10-4B8EDEAABA8E}"/>
            </c:ext>
          </c:extLst>
        </c:ser>
        <c:ser>
          <c:idx val="1"/>
          <c:order val="1"/>
          <c:tx>
            <c:strRef>
              <c:f>'Progress Bars'!$U$6</c:f>
              <c:strCache>
                <c:ptCount val="1"/>
                <c:pt idx="0">
                  <c:v>Incomplete</c:v>
                </c:pt>
              </c:strCache>
            </c:strRef>
          </c:tx>
          <c:spPr>
            <a:pattFill prst="dkUpDiag">
              <a:fgClr>
                <a:schemeClr val="bg1">
                  <a:lumMod val="85000"/>
                </a:schemeClr>
              </a:fgClr>
              <a:bgClr>
                <a:schemeClr val="bg1">
                  <a:lumMod val="95000"/>
                </a:schemeClr>
              </a:bgClr>
            </a:pattFill>
            <a:ln>
              <a:noFill/>
            </a:ln>
            <a:effectLst/>
          </c:spPr>
          <c:invertIfNegative val="0"/>
          <c:val>
            <c:numRef>
              <c:f>'Progress Bars'!$W$6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8-455E-AC10-4B8EDEAA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100"/>
        <c:axId val="260198831"/>
        <c:axId val="260199311"/>
      </c:barChart>
      <c:catAx>
        <c:axId val="260198831"/>
        <c:scaling>
          <c:orientation val="minMax"/>
        </c:scaling>
        <c:delete val="1"/>
        <c:axPos val="l"/>
        <c:majorTickMark val="out"/>
        <c:minorTickMark val="none"/>
        <c:tickLblPos val="nextTo"/>
        <c:crossAx val="260199311"/>
        <c:crosses val="autoZero"/>
        <c:auto val="1"/>
        <c:lblAlgn val="ctr"/>
        <c:lblOffset val="100"/>
        <c:noMultiLvlLbl val="0"/>
      </c:catAx>
      <c:valAx>
        <c:axId val="260199311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26019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Calendar!$AT$5</c:f>
          <c:strCache>
            <c:ptCount val="1"/>
            <c:pt idx="0">
              <c:v>November 2023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870827199954368E-2"/>
          <c:y val="0.24282691407760076"/>
          <c:w val="0.91624047713588097"/>
          <c:h val="0.73787666076624148"/>
        </c:manualLayout>
      </c:layout>
      <c:barChart>
        <c:barDir val="col"/>
        <c:grouping val="clustered"/>
        <c:varyColors val="0"/>
        <c:ser>
          <c:idx val="2"/>
          <c:order val="3"/>
          <c:tx>
            <c:strRef>
              <c:f>Calendar!$AP$4</c:f>
              <c:strCache>
                <c:ptCount val="1"/>
                <c:pt idx="0">
                  <c:v>Day Label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Calendar!$AP$5:$AP$11</c:f>
              <c:strCache>
                <c:ptCount val="7"/>
                <c:pt idx="0">
                  <c:v>S</c:v>
                </c:pt>
                <c:pt idx="1">
                  <c:v>M</c:v>
                </c:pt>
                <c:pt idx="2">
                  <c:v>T</c:v>
                </c:pt>
                <c:pt idx="3">
                  <c:v>W</c:v>
                </c:pt>
                <c:pt idx="4">
                  <c:v>T</c:v>
                </c:pt>
                <c:pt idx="5">
                  <c:v>F</c:v>
                </c:pt>
                <c:pt idx="6">
                  <c:v>S</c:v>
                </c:pt>
              </c:strCache>
            </c:strRef>
          </c:cat>
          <c:val>
            <c:numRef>
              <c:f>Calendar!$AQ$5:$AQ$11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0-404B-B758-463FA8AF6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569183"/>
        <c:axId val="2094562463"/>
      </c:barChart>
      <c:scatterChart>
        <c:scatterStyle val="lineMarker"/>
        <c:varyColors val="0"/>
        <c:ser>
          <c:idx val="0"/>
          <c:order val="0"/>
          <c:tx>
            <c:strRef>
              <c:f>Calendar!$AE$3</c:f>
              <c:strCache>
                <c:ptCount val="1"/>
                <c:pt idx="0">
                  <c:v>Current Month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bg1">
                  <a:lumMod val="8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855718-8622-4D3F-BF28-C271CE2691F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BA0-404B-B758-463FA8AF67B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08350B-7390-4B4A-8186-E5E405F3FB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A0-404B-B758-463FA8AF67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C09BCD-2E8B-44D9-98D1-4E3246ABEE6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A0-404B-B758-463FA8AF67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9A61AE-BD10-4758-81A5-4B6615FC09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A0-404B-B758-463FA8AF67B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D6368C-E42B-4B0E-AA01-230A87780B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BA0-404B-B758-463FA8AF67B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86EDACF-8573-4AC6-B297-6B0C3B03314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A0-404B-B758-463FA8AF67B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6C1A33-010C-455F-9879-5D2F205F39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BA0-404B-B758-463FA8AF67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5CD9E53-7BBA-4F67-8D0D-4EEC8027FB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A0-404B-B758-463FA8AF67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491FF3C-F193-4415-B0BA-1C23294372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BA0-404B-B758-463FA8AF67B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4575127-5858-4159-A8D7-42C7F572EBC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A0-404B-B758-463FA8AF67B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F8ECFD8-646D-471E-8472-0635D961B5B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BA0-404B-B758-463FA8AF67B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1A21950-6009-4EF2-84A8-DA0F9F9E462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A0-404B-B758-463FA8AF67B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C371CE-D708-4BEE-99EF-9254976E825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BA0-404B-B758-463FA8AF67B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F8BED4-1971-449C-B079-E781E116F3B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A0-404B-B758-463FA8AF67B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C51BEBE-29BF-46CD-AE9E-AC8F4E8316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A0-404B-B758-463FA8AF67B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7DE5705-9E4E-41C6-B32D-4C8B98A5704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BA0-404B-B758-463FA8AF67B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1201B96-9527-4458-9351-0755611A80D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A0-404B-B758-463FA8AF67B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D7FC0F9-58D0-4926-ABBD-33977FF3807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BA0-404B-B758-463FA8AF67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584E276-01BC-483C-BD7C-9D5BBE75054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A0-404B-B758-463FA8AF67B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B524B58-9969-4625-814B-3721345F5E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BA0-404B-B758-463FA8AF67B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571C6F5-9953-496E-B94E-DF010D9322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A0-404B-B758-463FA8AF67B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52A5C82-5B20-4A16-84EE-C26D00E11EE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BA0-404B-B758-463FA8AF67B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3C103ED-061E-4542-AA58-E5DC84DFFF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A0-404B-B758-463FA8AF67B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5438E12-6076-4F8C-B7D4-4DE8F74F33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BA0-404B-B758-463FA8AF67B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A4F5FA5-474A-455E-BA67-9AA6865010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BA0-404B-B758-463FA8AF67B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1C10971-B419-4601-98FE-D866B3D081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BA0-404B-B758-463FA8AF67B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3562932-9C32-4E95-84E0-BD15998F90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BA0-404B-B758-463FA8AF67B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A104E25-8972-443A-A145-1EE6D4259A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BA0-404B-B758-463FA8AF67B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60EF8E6-961A-45FB-8646-4BF8A6DC83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BA0-404B-B758-463FA8AF67B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06C8A32-9908-4338-BE32-B48975ABC9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BA0-404B-B758-463FA8AF67B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904A8FE-12F5-4FE5-814D-4C96616C8E6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BA0-404B-B758-463FA8AF67B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DF912C2-C43D-4871-87CC-7729E8805D6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BA0-404B-B758-463FA8AF67B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A936E31-F441-4C9A-B367-9D94FC1CF7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BA0-404B-B758-463FA8AF67B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C28BA03-0237-470C-AC95-A1E6E9CEBD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BA0-404B-B758-463FA8AF67B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F82D507-EB19-403B-8E6D-7D7A578807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BA0-404B-B758-463FA8AF67B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8AB648A-F7A8-4D45-B7C0-E9D3B9325A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BA0-404B-B758-463FA8AF67B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1B58AC33-927E-451B-BFA9-B4F7D3704A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BA0-404B-B758-463FA8AF67B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83F2B4D-EC3B-4C1E-B46F-8158406011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BA0-404B-B758-463FA8AF67B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AEB662B-34D4-41CC-ADC5-36E7C59410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BA0-404B-B758-463FA8AF67B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4B62DCB-3506-4037-9F9E-2C1493D21D9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BA0-404B-B758-463FA8AF67B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FD9793C-4933-479A-B3F4-A2E513DEBB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BA0-404B-B758-463FA8AF67B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C7A86AC0-6C6F-44D2-8F89-213D1DE520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BA0-404B-B758-463FA8AF67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Calendar!$AF$5:$AF$46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</c:numCache>
            </c:numRef>
          </c:xVal>
          <c:yVal>
            <c:numRef>
              <c:f>Calendar!$AG$5:$AG$46</c:f>
              <c:numCache>
                <c:formatCode>General</c:formatCode>
                <c:ptCount val="4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Calendar!$AH$5:$AH$46</c15:f>
                <c15:dlblRangeCache>
                  <c:ptCount val="42"/>
                  <c:pt idx="0">
                    <c:v>29</c:v>
                  </c:pt>
                  <c:pt idx="1">
                    <c:v>30</c:v>
                  </c:pt>
                  <c:pt idx="2">
                    <c:v>31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13</c:v>
                  </c:pt>
                  <c:pt idx="16">
                    <c:v>14</c:v>
                  </c:pt>
                  <c:pt idx="17">
                    <c:v>15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19</c:v>
                  </c:pt>
                  <c:pt idx="22">
                    <c:v>20</c:v>
                  </c:pt>
                  <c:pt idx="23">
                    <c:v>21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1</c:v>
                  </c:pt>
                  <c:pt idx="34">
                    <c:v>2</c:v>
                  </c:pt>
                  <c:pt idx="35">
                    <c:v>3</c:v>
                  </c:pt>
                  <c:pt idx="36">
                    <c:v>4</c:v>
                  </c:pt>
                  <c:pt idx="37">
                    <c:v>5</c:v>
                  </c:pt>
                  <c:pt idx="38">
                    <c:v>6</c:v>
                  </c:pt>
                  <c:pt idx="39">
                    <c:v>7</c:v>
                  </c:pt>
                  <c:pt idx="40">
                    <c:v>8</c:v>
                  </c:pt>
                  <c:pt idx="41">
                    <c:v>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5BA0-404B-B758-463FA8AF67BB}"/>
            </c:ext>
          </c:extLst>
        </c:ser>
        <c:ser>
          <c:idx val="1"/>
          <c:order val="1"/>
          <c:tx>
            <c:strRef>
              <c:f>Calendar!$AM$3</c:f>
              <c:strCache>
                <c:ptCount val="1"/>
                <c:pt idx="0">
                  <c:v>Complete (color)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9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Calendar!$AM$5:$AM$46</c:f>
              <c:numCache>
                <c:formatCode>General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4</c:v>
                </c:pt>
                <c:pt idx="4">
                  <c:v>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</c:numCache>
            </c:numRef>
          </c:xVal>
          <c:yVal>
            <c:numRef>
              <c:f>Calendar!$AN$5:$AN$46</c:f>
              <c:numCache>
                <c:formatCode>General</c:formatCode>
                <c:ptCount val="4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BA0-404B-B758-463FA8AF67BB}"/>
            </c:ext>
          </c:extLst>
        </c:ser>
        <c:ser>
          <c:idx val="3"/>
          <c:order val="2"/>
          <c:tx>
            <c:strRef>
              <c:f>Calendar!$AJ$3</c:f>
              <c:strCache>
                <c:ptCount val="1"/>
                <c:pt idx="0">
                  <c:v>Prev/Next Month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1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xVal>
            <c:numRef>
              <c:f>Calendar!$AJ$5:$AJ$46</c:f>
              <c:numCache>
                <c:formatCode>d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6</c:v>
                </c:pt>
                <c:pt idx="34">
                  <c:v>7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</c:numCache>
            </c:numRef>
          </c:xVal>
          <c:yVal>
            <c:numRef>
              <c:f>Calendar!$AK$5:$AK$46</c:f>
              <c:numCache>
                <c:formatCode>General</c:formatCode>
                <c:ptCount val="4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5BA0-404B-B758-463FA8AF6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569183"/>
        <c:axId val="2094562463"/>
        <c:extLst/>
      </c:scatterChart>
      <c:catAx>
        <c:axId val="209456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562463"/>
        <c:crosses val="autoZero"/>
        <c:auto val="1"/>
        <c:lblAlgn val="ctr"/>
        <c:lblOffset val="100"/>
        <c:tickMarkSkip val="1"/>
        <c:noMultiLvlLbl val="0"/>
      </c:catAx>
      <c:valAx>
        <c:axId val="2094562463"/>
        <c:scaling>
          <c:orientation val="minMax"/>
          <c:max val="6.2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209456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'Toggle Chart'!$N$5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'Toggle Chart'!$M$6:$M$17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'Toggle Chart'!$N$6:$N$17</c:f>
              <c:numCache>
                <c:formatCode>_("$"* #,##0_);_("$"* \(#,##0\);_("$"* "-"??_);_(@_)</c:formatCode>
                <c:ptCount val="12"/>
                <c:pt idx="0">
                  <c:v>1616737</c:v>
                </c:pt>
                <c:pt idx="1">
                  <c:v>2130113</c:v>
                </c:pt>
                <c:pt idx="2">
                  <c:v>1741636</c:v>
                </c:pt>
                <c:pt idx="3">
                  <c:v>2247601</c:v>
                </c:pt>
                <c:pt idx="4">
                  <c:v>1205465</c:v>
                </c:pt>
                <c:pt idx="5">
                  <c:v>1315492</c:v>
                </c:pt>
                <c:pt idx="6">
                  <c:v>2334039</c:v>
                </c:pt>
                <c:pt idx="7">
                  <c:v>1248364</c:v>
                </c:pt>
                <c:pt idx="8">
                  <c:v>1147287</c:v>
                </c:pt>
                <c:pt idx="9">
                  <c:v>2235615</c:v>
                </c:pt>
                <c:pt idx="10">
                  <c:v>1843416</c:v>
                </c:pt>
                <c:pt idx="11">
                  <c:v>1118629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9-4AB4-A398-EC6D2E0A1557}"/>
            </c:ext>
          </c:extLst>
        </c:ser>
        <c:ser>
          <c:idx val="1"/>
          <c:order val="1"/>
          <c:tx>
            <c:strRef>
              <c:f>'Toggle Chart'!$O$5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'Toggle Chart'!$M$6:$M$17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'Toggle Chart'!$O$6:$O$17</c:f>
              <c:numCache>
                <c:formatCode>_("$"* #,##0_);_("$"* \(#,##0\);_("$"* "-"??_);_(@_)</c:formatCode>
                <c:ptCount val="12"/>
                <c:pt idx="0">
                  <c:v>1892000</c:v>
                </c:pt>
                <c:pt idx="1">
                  <c:v>2135000</c:v>
                </c:pt>
                <c:pt idx="2">
                  <c:v>1446000</c:v>
                </c:pt>
                <c:pt idx="3">
                  <c:v>2360000</c:v>
                </c:pt>
                <c:pt idx="4">
                  <c:v>1350000</c:v>
                </c:pt>
                <c:pt idx="5">
                  <c:v>1066000</c:v>
                </c:pt>
                <c:pt idx="6">
                  <c:v>2241000</c:v>
                </c:pt>
                <c:pt idx="7">
                  <c:v>1124000</c:v>
                </c:pt>
                <c:pt idx="8">
                  <c:v>1354000</c:v>
                </c:pt>
                <c:pt idx="9">
                  <c:v>1990000</c:v>
                </c:pt>
                <c:pt idx="10">
                  <c:v>2175000</c:v>
                </c:pt>
                <c:pt idx="11">
                  <c:v>973000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9-4AB4-A398-EC6D2E0A1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overlap val="-28"/>
        <c:axId val="512516431"/>
        <c:axId val="2043577999"/>
      </c:barChart>
      <c:catAx>
        <c:axId val="51251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577999"/>
        <c:crosses val="autoZero"/>
        <c:auto val="1"/>
        <c:lblAlgn val="ctr"/>
        <c:lblOffset val="100"/>
        <c:noMultiLvlLbl val="0"/>
      </c:catAx>
      <c:valAx>
        <c:axId val="204357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1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[19-Uses-for-New-Checkboxes-in-Excel.xlsx]Pivot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Chart'!$A$4:$A$7</c:f>
              <c:strCache>
                <c:ptCount val="3"/>
                <c:pt idx="0">
                  <c:v>Accessories</c:v>
                </c:pt>
                <c:pt idx="1">
                  <c:v>Apparel</c:v>
                </c:pt>
                <c:pt idx="2">
                  <c:v>Boards</c:v>
                </c:pt>
              </c:strCache>
            </c:strRef>
          </c:cat>
          <c:val>
            <c:numRef>
              <c:f>'Pivot Chart'!$B$4:$B$7</c:f>
              <c:numCache>
                <c:formatCode>"$"#,##0</c:formatCode>
                <c:ptCount val="3"/>
                <c:pt idx="0">
                  <c:v>60812.710000000014</c:v>
                </c:pt>
                <c:pt idx="1">
                  <c:v>40949.244999999995</c:v>
                </c:pt>
                <c:pt idx="2">
                  <c:v>96438.091000000015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8-4B2E-B8CA-C9C50E48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138515024"/>
        <c:axId val="138517904"/>
      </c:barChart>
      <c:catAx>
        <c:axId val="138515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7904"/>
        <c:crosses val="autoZero"/>
        <c:auto val="1"/>
        <c:lblAlgn val="ctr"/>
        <c:lblOffset val="100"/>
        <c:noMultiLvlLbl val="0"/>
      </c:catAx>
      <c:valAx>
        <c:axId val="1385179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AT$6" max="3000" min="1" noThreeD="1" page="10" val="1487"/>
</file>

<file path=xl/ctrlProps/ctrlProp2.xml><?xml version="1.0" encoding="utf-8"?>
<formControlPr xmlns="http://schemas.microsoft.com/office/spreadsheetml/2009/9/main" objectType="Spin" dx="22" fmlaLink="$W$4" max="30000" min="1" noThreeD="1" page="10" val="1498"/>
</file>

<file path=xl/ctrlProps/ctrlProp3.xml><?xml version="1.0" encoding="utf-8"?>
<formControlPr xmlns="http://schemas.microsoft.com/office/spreadsheetml/2009/9/main" objectType="Spin" dx="22" fmlaLink="$W$4" max="30000" min="1" noThreeD="1" page="10" val="1483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dvanced CF'!A1"/><Relationship Id="rId18" Type="http://schemas.openxmlformats.org/officeDocument/2006/relationships/image" Target="../media/image9.emf"/><Relationship Id="rId26" Type="http://schemas.openxmlformats.org/officeDocument/2006/relationships/image" Target="../media/image13.emf"/><Relationship Id="rId39" Type="http://schemas.openxmlformats.org/officeDocument/2006/relationships/hyperlink" Target="#'Invisible'!A1"/><Relationship Id="rId21" Type="http://schemas.openxmlformats.org/officeDocument/2006/relationships/hyperlink" Target="#'Sales Data'!A1"/><Relationship Id="rId34" Type="http://schemas.openxmlformats.org/officeDocument/2006/relationships/image" Target="../media/image17.emf"/><Relationship Id="rId42" Type="http://schemas.openxmlformats.org/officeDocument/2006/relationships/image" Target="../media/image21.emf"/><Relationship Id="rId47" Type="http://schemas.openxmlformats.org/officeDocument/2006/relationships/hyperlink" Target="#'Select All'!A1"/><Relationship Id="rId50" Type="http://schemas.openxmlformats.org/officeDocument/2006/relationships/image" Target="../media/image25.emf"/><Relationship Id="rId7" Type="http://schemas.openxmlformats.org/officeDocument/2006/relationships/hyperlink" Target="#'IF + CF'!A1"/><Relationship Id="rId2" Type="http://schemas.openxmlformats.org/officeDocument/2006/relationships/image" Target="../media/image1.emf"/><Relationship Id="rId16" Type="http://schemas.openxmlformats.org/officeDocument/2006/relationships/image" Target="../media/image8.emf"/><Relationship Id="rId29" Type="http://schemas.openxmlformats.org/officeDocument/2006/relationships/hyperlink" Target="#'Count'!A1"/><Relationship Id="rId11" Type="http://schemas.openxmlformats.org/officeDocument/2006/relationships/hyperlink" Target="#'CF Other Cells'!A1"/><Relationship Id="rId24" Type="http://schemas.openxmlformats.org/officeDocument/2006/relationships/image" Target="../media/image12.emf"/><Relationship Id="rId32" Type="http://schemas.openxmlformats.org/officeDocument/2006/relationships/image" Target="../media/image16.emf"/><Relationship Id="rId37" Type="http://schemas.openxmlformats.org/officeDocument/2006/relationships/hyperlink" Target="#'Reveal'!A1"/><Relationship Id="rId40" Type="http://schemas.openxmlformats.org/officeDocument/2006/relationships/image" Target="../media/image20.emf"/><Relationship Id="rId45" Type="http://schemas.openxmlformats.org/officeDocument/2006/relationships/hyperlink" Target="#'Reset'!A1"/><Relationship Id="rId5" Type="http://schemas.openxmlformats.org/officeDocument/2006/relationships/hyperlink" Target="#'IF'!A1"/><Relationship Id="rId15" Type="http://schemas.openxmlformats.org/officeDocument/2006/relationships/hyperlink" Target="#'Inv Details'!A1"/><Relationship Id="rId23" Type="http://schemas.openxmlformats.org/officeDocument/2006/relationships/hyperlink" Target="#'Call Details'!A1"/><Relationship Id="rId28" Type="http://schemas.openxmlformats.org/officeDocument/2006/relationships/image" Target="../media/image14.emf"/><Relationship Id="rId36" Type="http://schemas.openxmlformats.org/officeDocument/2006/relationships/image" Target="../media/image18.emf"/><Relationship Id="rId49" Type="http://schemas.openxmlformats.org/officeDocument/2006/relationships/hyperlink" Target="#'Toggle Chart'!A1"/><Relationship Id="rId10" Type="http://schemas.openxmlformats.org/officeDocument/2006/relationships/image" Target="../media/image5.emf"/><Relationship Id="rId19" Type="http://schemas.openxmlformats.org/officeDocument/2006/relationships/hyperlink" Target="#'Inv Details (3)'!A1"/><Relationship Id="rId31" Type="http://schemas.openxmlformats.org/officeDocument/2006/relationships/hyperlink" Target="#'Attendance'!A1"/><Relationship Id="rId44" Type="http://schemas.openxmlformats.org/officeDocument/2006/relationships/image" Target="../media/image22.emf"/><Relationship Id="rId52" Type="http://schemas.openxmlformats.org/officeDocument/2006/relationships/image" Target="../media/image26.emf"/><Relationship Id="rId4" Type="http://schemas.openxmlformats.org/officeDocument/2006/relationships/image" Target="../media/image2.emf"/><Relationship Id="rId9" Type="http://schemas.openxmlformats.org/officeDocument/2006/relationships/hyperlink" Target="#'Compare Rows'!A1"/><Relationship Id="rId14" Type="http://schemas.openxmlformats.org/officeDocument/2006/relationships/image" Target="../media/image7.emf"/><Relationship Id="rId22" Type="http://schemas.openxmlformats.org/officeDocument/2006/relationships/image" Target="../media/image11.emf"/><Relationship Id="rId27" Type="http://schemas.openxmlformats.org/officeDocument/2006/relationships/hyperlink" Target="#'Chart Data'!A1"/><Relationship Id="rId30" Type="http://schemas.openxmlformats.org/officeDocument/2006/relationships/image" Target="../media/image15.emf"/><Relationship Id="rId35" Type="http://schemas.openxmlformats.org/officeDocument/2006/relationships/hyperlink" Target="#'Tables'!A1"/><Relationship Id="rId43" Type="http://schemas.openxmlformats.org/officeDocument/2006/relationships/hyperlink" Target="#'Interactive Cal'!A1"/><Relationship Id="rId48" Type="http://schemas.openxmlformats.org/officeDocument/2006/relationships/image" Target="../media/image24.emf"/><Relationship Id="rId8" Type="http://schemas.openxmlformats.org/officeDocument/2006/relationships/image" Target="../media/image4.emf"/><Relationship Id="rId51" Type="http://schemas.openxmlformats.org/officeDocument/2006/relationships/hyperlink" Target="#'Resources'!A1"/><Relationship Id="rId3" Type="http://schemas.openxmlformats.org/officeDocument/2006/relationships/hyperlink" Target="#'CF'!A1"/><Relationship Id="rId12" Type="http://schemas.openxmlformats.org/officeDocument/2006/relationships/image" Target="../media/image6.emf"/><Relationship Id="rId17" Type="http://schemas.openxmlformats.org/officeDocument/2006/relationships/hyperlink" Target="#'Inv Details (2)'!A1"/><Relationship Id="rId25" Type="http://schemas.openxmlformats.org/officeDocument/2006/relationships/hyperlink" Target="#'Customer List'!A1"/><Relationship Id="rId33" Type="http://schemas.openxmlformats.org/officeDocument/2006/relationships/hyperlink" Target="#'Progress Bars'!A1"/><Relationship Id="rId38" Type="http://schemas.openxmlformats.org/officeDocument/2006/relationships/image" Target="../media/image19.emf"/><Relationship Id="rId46" Type="http://schemas.openxmlformats.org/officeDocument/2006/relationships/image" Target="../media/image23.emf"/><Relationship Id="rId20" Type="http://schemas.openxmlformats.org/officeDocument/2006/relationships/image" Target="../media/image10.emf"/><Relationship Id="rId41" Type="http://schemas.openxmlformats.org/officeDocument/2006/relationships/hyperlink" Target="#'Calendar'!A1"/><Relationship Id="rId1" Type="http://schemas.openxmlformats.org/officeDocument/2006/relationships/hyperlink" Target="#'Simple List'!A1"/><Relationship Id="rId6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svg"/><Relationship Id="rId1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hyperlink" Target="#'Select All'!rngSelectAl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228600</xdr:colOff>
      <xdr:row>10</xdr:row>
      <xdr:rowOff>171450</xdr:rowOff>
    </xdr:to>
    <xdr:pic>
      <xdr:nvPicPr>
        <xdr:cNvPr id="57382" name="Picture 38">
          <a:hlinkClick xmlns:r="http://schemas.openxmlformats.org/officeDocument/2006/relationships" r:id="rId1" tooltip="Go to: Simple List"/>
          <a:extLst>
            <a:ext uri="{FF2B5EF4-FFF2-40B4-BE49-F238E27FC236}">
              <a16:creationId xmlns:a16="http://schemas.microsoft.com/office/drawing/2014/main" id="{C574E90F-BF50-1B5B-500A-77BC727C5F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432" b="39541"/>
        <a:stretch/>
      </xdr:blipFill>
      <xdr:spPr bwMode="auto">
        <a:xfrm>
          <a:off x="314325" y="6191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177800</xdr:rowOff>
    </xdr:from>
    <xdr:to>
      <xdr:col>5</xdr:col>
      <xdr:colOff>228600</xdr:colOff>
      <xdr:row>12</xdr:row>
      <xdr:rowOff>50800</xdr:rowOff>
    </xdr:to>
    <xdr:sp macro="" textlink="">
      <xdr:nvSpPr>
        <xdr:cNvPr id="39" name="TextBox 38">
          <a:hlinkClick xmlns:r="http://schemas.openxmlformats.org/officeDocument/2006/relationships" r:id="rId1" tooltip="Go to: Simple List"/>
          <a:extLst>
            <a:ext uri="{FF2B5EF4-FFF2-40B4-BE49-F238E27FC236}">
              <a16:creationId xmlns:a16="http://schemas.microsoft.com/office/drawing/2014/main" id="{F5D6C9EE-6AE9-C38E-6188-E2B16C7BEE2D}"/>
            </a:ext>
          </a:extLst>
        </xdr:cNvPr>
        <xdr:cNvSpPr txBox="1"/>
      </xdr:nvSpPr>
      <xdr:spPr>
        <a:xfrm>
          <a:off x="314325" y="21304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Simple List</a:t>
          </a:r>
        </a:p>
      </xdr:txBody>
    </xdr:sp>
    <xdr:clientData/>
  </xdr:twoCellAnchor>
  <xdr:twoCellAnchor editAs="oneCell">
    <xdr:from>
      <xdr:col>5</xdr:col>
      <xdr:colOff>438150</xdr:colOff>
      <xdr:row>3</xdr:row>
      <xdr:rowOff>0</xdr:rowOff>
    </xdr:from>
    <xdr:to>
      <xdr:col>10</xdr:col>
      <xdr:colOff>57150</xdr:colOff>
      <xdr:row>10</xdr:row>
      <xdr:rowOff>171450</xdr:rowOff>
    </xdr:to>
    <xdr:pic>
      <xdr:nvPicPr>
        <xdr:cNvPr id="57383" name="Picture 39">
          <a:hlinkClick xmlns:r="http://schemas.openxmlformats.org/officeDocument/2006/relationships" r:id="rId3" tooltip="Go to: CF"/>
          <a:extLst>
            <a:ext uri="{FF2B5EF4-FFF2-40B4-BE49-F238E27FC236}">
              <a16:creationId xmlns:a16="http://schemas.microsoft.com/office/drawing/2014/main" id="{E171D1AC-868A-2621-8448-263E9DEF2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56" b="37877"/>
        <a:stretch/>
      </xdr:blipFill>
      <xdr:spPr bwMode="auto">
        <a:xfrm>
          <a:off x="3190875" y="6191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10</xdr:row>
      <xdr:rowOff>177800</xdr:rowOff>
    </xdr:from>
    <xdr:to>
      <xdr:col>10</xdr:col>
      <xdr:colOff>57150</xdr:colOff>
      <xdr:row>12</xdr:row>
      <xdr:rowOff>50800</xdr:rowOff>
    </xdr:to>
    <xdr:sp macro="" textlink="">
      <xdr:nvSpPr>
        <xdr:cNvPr id="40" name="TextBox 39">
          <a:hlinkClick xmlns:r="http://schemas.openxmlformats.org/officeDocument/2006/relationships" r:id="rId3" tooltip="Go to: CF"/>
          <a:extLst>
            <a:ext uri="{FF2B5EF4-FFF2-40B4-BE49-F238E27FC236}">
              <a16:creationId xmlns:a16="http://schemas.microsoft.com/office/drawing/2014/main" id="{F44E2E5F-777E-613D-23A1-1F200754BFBD}"/>
            </a:ext>
          </a:extLst>
        </xdr:cNvPr>
        <xdr:cNvSpPr txBox="1"/>
      </xdr:nvSpPr>
      <xdr:spPr>
        <a:xfrm>
          <a:off x="3190875" y="21304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CF</a:t>
          </a:r>
        </a:p>
      </xdr:txBody>
    </xdr:sp>
    <xdr:clientData/>
  </xdr:twoCellAnchor>
  <xdr:twoCellAnchor editAs="oneCell">
    <xdr:from>
      <xdr:col>10</xdr:col>
      <xdr:colOff>266700</xdr:colOff>
      <xdr:row>3</xdr:row>
      <xdr:rowOff>0</xdr:rowOff>
    </xdr:from>
    <xdr:to>
      <xdr:col>14</xdr:col>
      <xdr:colOff>495300</xdr:colOff>
      <xdr:row>10</xdr:row>
      <xdr:rowOff>171450</xdr:rowOff>
    </xdr:to>
    <xdr:pic>
      <xdr:nvPicPr>
        <xdr:cNvPr id="57384" name="Picture 40">
          <a:hlinkClick xmlns:r="http://schemas.openxmlformats.org/officeDocument/2006/relationships" r:id="rId5" tooltip="Go to: IF"/>
          <a:extLst>
            <a:ext uri="{FF2B5EF4-FFF2-40B4-BE49-F238E27FC236}">
              <a16:creationId xmlns:a16="http://schemas.microsoft.com/office/drawing/2014/main" id="{411765A5-156F-8A5D-4A1F-D85C4AA556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203" b="39649"/>
        <a:stretch/>
      </xdr:blipFill>
      <xdr:spPr bwMode="auto">
        <a:xfrm>
          <a:off x="6067425" y="6191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10</xdr:row>
      <xdr:rowOff>177800</xdr:rowOff>
    </xdr:from>
    <xdr:to>
      <xdr:col>14</xdr:col>
      <xdr:colOff>495300</xdr:colOff>
      <xdr:row>12</xdr:row>
      <xdr:rowOff>50800</xdr:rowOff>
    </xdr:to>
    <xdr:sp macro="" textlink="">
      <xdr:nvSpPr>
        <xdr:cNvPr id="41" name="TextBox 40">
          <a:hlinkClick xmlns:r="http://schemas.openxmlformats.org/officeDocument/2006/relationships" r:id="rId5" tooltip="Go to: IF"/>
          <a:extLst>
            <a:ext uri="{FF2B5EF4-FFF2-40B4-BE49-F238E27FC236}">
              <a16:creationId xmlns:a16="http://schemas.microsoft.com/office/drawing/2014/main" id="{F6881EB1-3507-F598-F58E-F3193DFE71B6}"/>
            </a:ext>
          </a:extLst>
        </xdr:cNvPr>
        <xdr:cNvSpPr txBox="1"/>
      </xdr:nvSpPr>
      <xdr:spPr>
        <a:xfrm>
          <a:off x="6067425" y="21304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IF</a:t>
          </a:r>
        </a:p>
      </xdr:txBody>
    </xdr:sp>
    <xdr:clientData/>
  </xdr:twoCellAnchor>
  <xdr:twoCellAnchor editAs="oneCell">
    <xdr:from>
      <xdr:col>1</xdr:col>
      <xdr:colOff>0</xdr:colOff>
      <xdr:row>14</xdr:row>
      <xdr:rowOff>44450</xdr:rowOff>
    </xdr:from>
    <xdr:to>
      <xdr:col>5</xdr:col>
      <xdr:colOff>228600</xdr:colOff>
      <xdr:row>22</xdr:row>
      <xdr:rowOff>25400</xdr:rowOff>
    </xdr:to>
    <xdr:pic>
      <xdr:nvPicPr>
        <xdr:cNvPr id="57385" name="Picture 41">
          <a:hlinkClick xmlns:r="http://schemas.openxmlformats.org/officeDocument/2006/relationships" r:id="rId7" tooltip="Go to: IF + CF"/>
          <a:extLst>
            <a:ext uri="{FF2B5EF4-FFF2-40B4-BE49-F238E27FC236}">
              <a16:creationId xmlns:a16="http://schemas.microsoft.com/office/drawing/2014/main" id="{BA64ED6C-24C0-A14D-62DF-4C59CA3FA6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656" b="39324"/>
        <a:stretch/>
      </xdr:blipFill>
      <xdr:spPr bwMode="auto">
        <a:xfrm>
          <a:off x="314325" y="27590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22</xdr:row>
      <xdr:rowOff>31750</xdr:rowOff>
    </xdr:from>
    <xdr:to>
      <xdr:col>5</xdr:col>
      <xdr:colOff>228600</xdr:colOff>
      <xdr:row>23</xdr:row>
      <xdr:rowOff>95250</xdr:rowOff>
    </xdr:to>
    <xdr:sp macro="" textlink="">
      <xdr:nvSpPr>
        <xdr:cNvPr id="42" name="TextBox 41">
          <a:hlinkClick xmlns:r="http://schemas.openxmlformats.org/officeDocument/2006/relationships" r:id="rId7" tooltip="Go to: IF + CF"/>
          <a:extLst>
            <a:ext uri="{FF2B5EF4-FFF2-40B4-BE49-F238E27FC236}">
              <a16:creationId xmlns:a16="http://schemas.microsoft.com/office/drawing/2014/main" id="{8C5EBA6A-C2A9-0C56-8A0F-7925BD4BB93D}"/>
            </a:ext>
          </a:extLst>
        </xdr:cNvPr>
        <xdr:cNvSpPr txBox="1"/>
      </xdr:nvSpPr>
      <xdr:spPr>
        <a:xfrm>
          <a:off x="314325" y="42703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IF + CF</a:t>
          </a:r>
        </a:p>
      </xdr:txBody>
    </xdr:sp>
    <xdr:clientData/>
  </xdr:twoCellAnchor>
  <xdr:twoCellAnchor editAs="oneCell">
    <xdr:from>
      <xdr:col>5</xdr:col>
      <xdr:colOff>438150</xdr:colOff>
      <xdr:row>14</xdr:row>
      <xdr:rowOff>44450</xdr:rowOff>
    </xdr:from>
    <xdr:to>
      <xdr:col>10</xdr:col>
      <xdr:colOff>57150</xdr:colOff>
      <xdr:row>22</xdr:row>
      <xdr:rowOff>25400</xdr:rowOff>
    </xdr:to>
    <xdr:pic>
      <xdr:nvPicPr>
        <xdr:cNvPr id="57386" name="Picture 42">
          <a:hlinkClick xmlns:r="http://schemas.openxmlformats.org/officeDocument/2006/relationships" r:id="rId9" tooltip="Go to: Compare Rows"/>
          <a:extLst>
            <a:ext uri="{FF2B5EF4-FFF2-40B4-BE49-F238E27FC236}">
              <a16:creationId xmlns:a16="http://schemas.microsoft.com/office/drawing/2014/main" id="{F07BC3E1-0244-EA37-7DF9-A061757D23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058" b="39649"/>
        <a:stretch/>
      </xdr:blipFill>
      <xdr:spPr bwMode="auto">
        <a:xfrm>
          <a:off x="3190875" y="27590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22</xdr:row>
      <xdr:rowOff>31750</xdr:rowOff>
    </xdr:from>
    <xdr:to>
      <xdr:col>10</xdr:col>
      <xdr:colOff>57150</xdr:colOff>
      <xdr:row>23</xdr:row>
      <xdr:rowOff>95250</xdr:rowOff>
    </xdr:to>
    <xdr:sp macro="" textlink="">
      <xdr:nvSpPr>
        <xdr:cNvPr id="43" name="TextBox 42">
          <a:hlinkClick xmlns:r="http://schemas.openxmlformats.org/officeDocument/2006/relationships" r:id="rId9" tooltip="Go to: Compare Rows"/>
          <a:extLst>
            <a:ext uri="{FF2B5EF4-FFF2-40B4-BE49-F238E27FC236}">
              <a16:creationId xmlns:a16="http://schemas.microsoft.com/office/drawing/2014/main" id="{B4C4666F-7263-0729-539D-64181AEE23CB}"/>
            </a:ext>
          </a:extLst>
        </xdr:cNvPr>
        <xdr:cNvSpPr txBox="1"/>
      </xdr:nvSpPr>
      <xdr:spPr>
        <a:xfrm>
          <a:off x="3190875" y="42703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Compare Rows</a:t>
          </a:r>
        </a:p>
      </xdr:txBody>
    </xdr:sp>
    <xdr:clientData/>
  </xdr:twoCellAnchor>
  <xdr:twoCellAnchor editAs="oneCell">
    <xdr:from>
      <xdr:col>10</xdr:col>
      <xdr:colOff>266700</xdr:colOff>
      <xdr:row>14</xdr:row>
      <xdr:rowOff>44450</xdr:rowOff>
    </xdr:from>
    <xdr:to>
      <xdr:col>14</xdr:col>
      <xdr:colOff>495300</xdr:colOff>
      <xdr:row>22</xdr:row>
      <xdr:rowOff>25400</xdr:rowOff>
    </xdr:to>
    <xdr:pic>
      <xdr:nvPicPr>
        <xdr:cNvPr id="57387" name="Picture 43">
          <a:hlinkClick xmlns:r="http://schemas.openxmlformats.org/officeDocument/2006/relationships" r:id="rId11" tooltip="Go to: CF Other Cells"/>
          <a:extLst>
            <a:ext uri="{FF2B5EF4-FFF2-40B4-BE49-F238E27FC236}">
              <a16:creationId xmlns:a16="http://schemas.microsoft.com/office/drawing/2014/main" id="{E944BE67-68E3-9E93-CE08-D8D155CDFB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27" b="38553"/>
        <a:stretch/>
      </xdr:blipFill>
      <xdr:spPr bwMode="auto">
        <a:xfrm>
          <a:off x="6067425" y="27590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22</xdr:row>
      <xdr:rowOff>31750</xdr:rowOff>
    </xdr:from>
    <xdr:to>
      <xdr:col>14</xdr:col>
      <xdr:colOff>495300</xdr:colOff>
      <xdr:row>23</xdr:row>
      <xdr:rowOff>95250</xdr:rowOff>
    </xdr:to>
    <xdr:sp macro="" textlink="">
      <xdr:nvSpPr>
        <xdr:cNvPr id="44" name="TextBox 43">
          <a:hlinkClick xmlns:r="http://schemas.openxmlformats.org/officeDocument/2006/relationships" r:id="rId11" tooltip="Go to: CF Other Cells"/>
          <a:extLst>
            <a:ext uri="{FF2B5EF4-FFF2-40B4-BE49-F238E27FC236}">
              <a16:creationId xmlns:a16="http://schemas.microsoft.com/office/drawing/2014/main" id="{5CBF8041-0BF9-5040-6962-8202064A7098}"/>
            </a:ext>
          </a:extLst>
        </xdr:cNvPr>
        <xdr:cNvSpPr txBox="1"/>
      </xdr:nvSpPr>
      <xdr:spPr>
        <a:xfrm>
          <a:off x="6067425" y="42703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CF Other Cells</a:t>
          </a:r>
        </a:p>
      </xdr:txBody>
    </xdr:sp>
    <xdr:clientData/>
  </xdr:twoCellAnchor>
  <xdr:twoCellAnchor editAs="oneCell">
    <xdr:from>
      <xdr:col>1</xdr:col>
      <xdr:colOff>0</xdr:colOff>
      <xdr:row>25</xdr:row>
      <xdr:rowOff>88900</xdr:rowOff>
    </xdr:from>
    <xdr:to>
      <xdr:col>5</xdr:col>
      <xdr:colOff>228600</xdr:colOff>
      <xdr:row>33</xdr:row>
      <xdr:rowOff>69850</xdr:rowOff>
    </xdr:to>
    <xdr:pic>
      <xdr:nvPicPr>
        <xdr:cNvPr id="57388" name="Picture 44">
          <a:hlinkClick xmlns:r="http://schemas.openxmlformats.org/officeDocument/2006/relationships" r:id="rId13" tooltip="Go to: Advanced CF"/>
          <a:extLst>
            <a:ext uri="{FF2B5EF4-FFF2-40B4-BE49-F238E27FC236}">
              <a16:creationId xmlns:a16="http://schemas.microsoft.com/office/drawing/2014/main" id="{84B07CE5-C2BD-F2EA-6250-43A9D71198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27" b="38553"/>
        <a:stretch/>
      </xdr:blipFill>
      <xdr:spPr bwMode="auto">
        <a:xfrm>
          <a:off x="314325" y="48990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33</xdr:row>
      <xdr:rowOff>76200</xdr:rowOff>
    </xdr:from>
    <xdr:to>
      <xdr:col>5</xdr:col>
      <xdr:colOff>228600</xdr:colOff>
      <xdr:row>34</xdr:row>
      <xdr:rowOff>139700</xdr:rowOff>
    </xdr:to>
    <xdr:sp macro="" textlink="">
      <xdr:nvSpPr>
        <xdr:cNvPr id="45" name="TextBox 44">
          <a:hlinkClick xmlns:r="http://schemas.openxmlformats.org/officeDocument/2006/relationships" r:id="rId13" tooltip="Go to: Advanced CF"/>
          <a:extLst>
            <a:ext uri="{FF2B5EF4-FFF2-40B4-BE49-F238E27FC236}">
              <a16:creationId xmlns:a16="http://schemas.microsoft.com/office/drawing/2014/main" id="{E55338DE-3A95-F55F-3512-278652A273A3}"/>
            </a:ext>
          </a:extLst>
        </xdr:cNvPr>
        <xdr:cNvSpPr txBox="1"/>
      </xdr:nvSpPr>
      <xdr:spPr>
        <a:xfrm>
          <a:off x="314325" y="64103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Advanced CF</a:t>
          </a:r>
        </a:p>
      </xdr:txBody>
    </xdr:sp>
    <xdr:clientData/>
  </xdr:twoCellAnchor>
  <xdr:twoCellAnchor editAs="oneCell">
    <xdr:from>
      <xdr:col>5</xdr:col>
      <xdr:colOff>438150</xdr:colOff>
      <xdr:row>25</xdr:row>
      <xdr:rowOff>88900</xdr:rowOff>
    </xdr:from>
    <xdr:to>
      <xdr:col>10</xdr:col>
      <xdr:colOff>57150</xdr:colOff>
      <xdr:row>33</xdr:row>
      <xdr:rowOff>69850</xdr:rowOff>
    </xdr:to>
    <xdr:pic>
      <xdr:nvPicPr>
        <xdr:cNvPr id="57389" name="Picture 45">
          <a:hlinkClick xmlns:r="http://schemas.openxmlformats.org/officeDocument/2006/relationships" r:id="rId15" tooltip="Go to: Inv Details"/>
          <a:extLst>
            <a:ext uri="{FF2B5EF4-FFF2-40B4-BE49-F238E27FC236}">
              <a16:creationId xmlns:a16="http://schemas.microsoft.com/office/drawing/2014/main" id="{159C954F-DE12-7C3C-D549-1F7BEE9635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955" b="39649"/>
        <a:stretch/>
      </xdr:blipFill>
      <xdr:spPr bwMode="auto">
        <a:xfrm>
          <a:off x="3190875" y="48990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33</xdr:row>
      <xdr:rowOff>76200</xdr:rowOff>
    </xdr:from>
    <xdr:to>
      <xdr:col>10</xdr:col>
      <xdr:colOff>57150</xdr:colOff>
      <xdr:row>34</xdr:row>
      <xdr:rowOff>139700</xdr:rowOff>
    </xdr:to>
    <xdr:sp macro="" textlink="">
      <xdr:nvSpPr>
        <xdr:cNvPr id="46" name="TextBox 45">
          <a:hlinkClick xmlns:r="http://schemas.openxmlformats.org/officeDocument/2006/relationships" r:id="rId15" tooltip="Go to: Inv Details"/>
          <a:extLst>
            <a:ext uri="{FF2B5EF4-FFF2-40B4-BE49-F238E27FC236}">
              <a16:creationId xmlns:a16="http://schemas.microsoft.com/office/drawing/2014/main" id="{726993EC-E5E8-2840-AA03-A4DCA82E0554}"/>
            </a:ext>
          </a:extLst>
        </xdr:cNvPr>
        <xdr:cNvSpPr txBox="1"/>
      </xdr:nvSpPr>
      <xdr:spPr>
        <a:xfrm>
          <a:off x="3190875" y="64103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Inv Details</a:t>
          </a:r>
        </a:p>
      </xdr:txBody>
    </xdr:sp>
    <xdr:clientData/>
  </xdr:twoCellAnchor>
  <xdr:twoCellAnchor editAs="oneCell">
    <xdr:from>
      <xdr:col>10</xdr:col>
      <xdr:colOff>266700</xdr:colOff>
      <xdr:row>25</xdr:row>
      <xdr:rowOff>88900</xdr:rowOff>
    </xdr:from>
    <xdr:to>
      <xdr:col>14</xdr:col>
      <xdr:colOff>495300</xdr:colOff>
      <xdr:row>33</xdr:row>
      <xdr:rowOff>69850</xdr:rowOff>
    </xdr:to>
    <xdr:pic>
      <xdr:nvPicPr>
        <xdr:cNvPr id="57390" name="Picture 46">
          <a:hlinkClick xmlns:r="http://schemas.openxmlformats.org/officeDocument/2006/relationships" r:id="rId17" tooltip="Go to: Inv Details (2)"/>
          <a:extLst>
            <a:ext uri="{FF2B5EF4-FFF2-40B4-BE49-F238E27FC236}">
              <a16:creationId xmlns:a16="http://schemas.microsoft.com/office/drawing/2014/main" id="{76E84D9D-3B68-A8DD-6996-DA635D1A7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955" b="39649"/>
        <a:stretch/>
      </xdr:blipFill>
      <xdr:spPr bwMode="auto">
        <a:xfrm>
          <a:off x="6067425" y="48990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33</xdr:row>
      <xdr:rowOff>76200</xdr:rowOff>
    </xdr:from>
    <xdr:to>
      <xdr:col>14</xdr:col>
      <xdr:colOff>495300</xdr:colOff>
      <xdr:row>34</xdr:row>
      <xdr:rowOff>139700</xdr:rowOff>
    </xdr:to>
    <xdr:sp macro="" textlink="">
      <xdr:nvSpPr>
        <xdr:cNvPr id="47" name="TextBox 46">
          <a:hlinkClick xmlns:r="http://schemas.openxmlformats.org/officeDocument/2006/relationships" r:id="rId17" tooltip="Go to: Inv Details (2)"/>
          <a:extLst>
            <a:ext uri="{FF2B5EF4-FFF2-40B4-BE49-F238E27FC236}">
              <a16:creationId xmlns:a16="http://schemas.microsoft.com/office/drawing/2014/main" id="{79F081FF-2319-E9DE-CDC2-037EAA415C38}"/>
            </a:ext>
          </a:extLst>
        </xdr:cNvPr>
        <xdr:cNvSpPr txBox="1"/>
      </xdr:nvSpPr>
      <xdr:spPr>
        <a:xfrm>
          <a:off x="6067425" y="64103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Inv Details (2)</a:t>
          </a:r>
        </a:p>
      </xdr:txBody>
    </xdr:sp>
    <xdr:clientData/>
  </xdr:twoCellAnchor>
  <xdr:twoCellAnchor editAs="oneCell">
    <xdr:from>
      <xdr:col>1</xdr:col>
      <xdr:colOff>0</xdr:colOff>
      <xdr:row>36</xdr:row>
      <xdr:rowOff>133350</xdr:rowOff>
    </xdr:from>
    <xdr:to>
      <xdr:col>5</xdr:col>
      <xdr:colOff>228600</xdr:colOff>
      <xdr:row>44</xdr:row>
      <xdr:rowOff>114300</xdr:rowOff>
    </xdr:to>
    <xdr:pic>
      <xdr:nvPicPr>
        <xdr:cNvPr id="57391" name="Picture 47">
          <a:hlinkClick xmlns:r="http://schemas.openxmlformats.org/officeDocument/2006/relationships" r:id="rId19" tooltip="Go to: Inv Details (3)"/>
          <a:extLst>
            <a:ext uri="{FF2B5EF4-FFF2-40B4-BE49-F238E27FC236}">
              <a16:creationId xmlns:a16="http://schemas.microsoft.com/office/drawing/2014/main" id="{65B66FB3-56D3-34F6-F90A-89DF16803A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471" b="39649"/>
        <a:stretch/>
      </xdr:blipFill>
      <xdr:spPr bwMode="auto">
        <a:xfrm>
          <a:off x="314325" y="70389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44</xdr:row>
      <xdr:rowOff>120650</xdr:rowOff>
    </xdr:from>
    <xdr:to>
      <xdr:col>5</xdr:col>
      <xdr:colOff>228600</xdr:colOff>
      <xdr:row>45</xdr:row>
      <xdr:rowOff>184150</xdr:rowOff>
    </xdr:to>
    <xdr:sp macro="" textlink="">
      <xdr:nvSpPr>
        <xdr:cNvPr id="48" name="TextBox 47">
          <a:hlinkClick xmlns:r="http://schemas.openxmlformats.org/officeDocument/2006/relationships" r:id="rId19" tooltip="Go to: Inv Details (3)"/>
          <a:extLst>
            <a:ext uri="{FF2B5EF4-FFF2-40B4-BE49-F238E27FC236}">
              <a16:creationId xmlns:a16="http://schemas.microsoft.com/office/drawing/2014/main" id="{DA2E7C36-7292-B243-48E0-D000A5316634}"/>
            </a:ext>
          </a:extLst>
        </xdr:cNvPr>
        <xdr:cNvSpPr txBox="1"/>
      </xdr:nvSpPr>
      <xdr:spPr>
        <a:xfrm>
          <a:off x="314325" y="85502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Inv Details (3)</a:t>
          </a:r>
        </a:p>
      </xdr:txBody>
    </xdr:sp>
    <xdr:clientData/>
  </xdr:twoCellAnchor>
  <xdr:twoCellAnchor editAs="oneCell">
    <xdr:from>
      <xdr:col>5</xdr:col>
      <xdr:colOff>438150</xdr:colOff>
      <xdr:row>36</xdr:row>
      <xdr:rowOff>133350</xdr:rowOff>
    </xdr:from>
    <xdr:to>
      <xdr:col>10</xdr:col>
      <xdr:colOff>57150</xdr:colOff>
      <xdr:row>44</xdr:row>
      <xdr:rowOff>114300</xdr:rowOff>
    </xdr:to>
    <xdr:pic>
      <xdr:nvPicPr>
        <xdr:cNvPr id="57392" name="Picture 48">
          <a:hlinkClick xmlns:r="http://schemas.openxmlformats.org/officeDocument/2006/relationships" r:id="rId21" tooltip="Go to: Sales Data"/>
          <a:extLst>
            <a:ext uri="{FF2B5EF4-FFF2-40B4-BE49-F238E27FC236}">
              <a16:creationId xmlns:a16="http://schemas.microsoft.com/office/drawing/2014/main" id="{D26C5A0A-46D0-184D-B3E4-F8E6D888E5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796" b="39649"/>
        <a:stretch/>
      </xdr:blipFill>
      <xdr:spPr bwMode="auto">
        <a:xfrm>
          <a:off x="3190875" y="70389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44</xdr:row>
      <xdr:rowOff>120650</xdr:rowOff>
    </xdr:from>
    <xdr:to>
      <xdr:col>10</xdr:col>
      <xdr:colOff>57150</xdr:colOff>
      <xdr:row>45</xdr:row>
      <xdr:rowOff>184150</xdr:rowOff>
    </xdr:to>
    <xdr:sp macro="" textlink="">
      <xdr:nvSpPr>
        <xdr:cNvPr id="49" name="TextBox 48">
          <a:hlinkClick xmlns:r="http://schemas.openxmlformats.org/officeDocument/2006/relationships" r:id="rId21" tooltip="Go to: Sales Data"/>
          <a:extLst>
            <a:ext uri="{FF2B5EF4-FFF2-40B4-BE49-F238E27FC236}">
              <a16:creationId xmlns:a16="http://schemas.microsoft.com/office/drawing/2014/main" id="{3441EF5D-C3CD-EBBB-70A4-81A6B811D750}"/>
            </a:ext>
          </a:extLst>
        </xdr:cNvPr>
        <xdr:cNvSpPr txBox="1"/>
      </xdr:nvSpPr>
      <xdr:spPr>
        <a:xfrm>
          <a:off x="3190875" y="8550275"/>
          <a:ext cx="2667000" cy="254000"/>
        </a:xfrm>
        <a:prstGeom prst="rect">
          <a:avLst/>
        </a:prstGeom>
        <a:solidFill>
          <a:srgbClr val="156082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FFFFFF"/>
              </a:solidFill>
            </a:rPr>
            <a:t>Sales Data</a:t>
          </a:r>
        </a:p>
      </xdr:txBody>
    </xdr:sp>
    <xdr:clientData/>
  </xdr:twoCellAnchor>
  <xdr:twoCellAnchor editAs="oneCell">
    <xdr:from>
      <xdr:col>10</xdr:col>
      <xdr:colOff>266700</xdr:colOff>
      <xdr:row>36</xdr:row>
      <xdr:rowOff>133350</xdr:rowOff>
    </xdr:from>
    <xdr:to>
      <xdr:col>14</xdr:col>
      <xdr:colOff>495300</xdr:colOff>
      <xdr:row>44</xdr:row>
      <xdr:rowOff>114300</xdr:rowOff>
    </xdr:to>
    <xdr:pic>
      <xdr:nvPicPr>
        <xdr:cNvPr id="57393" name="Picture 49">
          <a:hlinkClick xmlns:r="http://schemas.openxmlformats.org/officeDocument/2006/relationships" r:id="rId23" tooltip="Go to: Call Details"/>
          <a:extLst>
            <a:ext uri="{FF2B5EF4-FFF2-40B4-BE49-F238E27FC236}">
              <a16:creationId xmlns:a16="http://schemas.microsoft.com/office/drawing/2014/main" id="{2E3968E3-6E8D-E4A9-C6A4-37A7A58E5D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273" b="39649"/>
        <a:stretch/>
      </xdr:blipFill>
      <xdr:spPr bwMode="auto">
        <a:xfrm>
          <a:off x="6067425" y="70389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44</xdr:row>
      <xdr:rowOff>120650</xdr:rowOff>
    </xdr:from>
    <xdr:to>
      <xdr:col>14</xdr:col>
      <xdr:colOff>495300</xdr:colOff>
      <xdr:row>45</xdr:row>
      <xdr:rowOff>184150</xdr:rowOff>
    </xdr:to>
    <xdr:sp macro="" textlink="">
      <xdr:nvSpPr>
        <xdr:cNvPr id="50" name="TextBox 49">
          <a:hlinkClick xmlns:r="http://schemas.openxmlformats.org/officeDocument/2006/relationships" r:id="rId23" tooltip="Go to: Call Details"/>
          <a:extLst>
            <a:ext uri="{FF2B5EF4-FFF2-40B4-BE49-F238E27FC236}">
              <a16:creationId xmlns:a16="http://schemas.microsoft.com/office/drawing/2014/main" id="{41D42951-8D21-F6A0-0026-CB5963E70F23}"/>
            </a:ext>
          </a:extLst>
        </xdr:cNvPr>
        <xdr:cNvSpPr txBox="1"/>
      </xdr:nvSpPr>
      <xdr:spPr>
        <a:xfrm>
          <a:off x="6067425" y="85502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Call Details</a:t>
          </a:r>
        </a:p>
      </xdr:txBody>
    </xdr:sp>
    <xdr:clientData/>
  </xdr:twoCellAnchor>
  <xdr:twoCellAnchor editAs="oneCell">
    <xdr:from>
      <xdr:col>1</xdr:col>
      <xdr:colOff>0</xdr:colOff>
      <xdr:row>47</xdr:row>
      <xdr:rowOff>177800</xdr:rowOff>
    </xdr:from>
    <xdr:to>
      <xdr:col>5</xdr:col>
      <xdr:colOff>228600</xdr:colOff>
      <xdr:row>55</xdr:row>
      <xdr:rowOff>158750</xdr:rowOff>
    </xdr:to>
    <xdr:pic>
      <xdr:nvPicPr>
        <xdr:cNvPr id="57394" name="Picture 50">
          <a:hlinkClick xmlns:r="http://schemas.openxmlformats.org/officeDocument/2006/relationships" r:id="rId25" tooltip="Go to: Customer List"/>
          <a:extLst>
            <a:ext uri="{FF2B5EF4-FFF2-40B4-BE49-F238E27FC236}">
              <a16:creationId xmlns:a16="http://schemas.microsoft.com/office/drawing/2014/main" id="{238FDC69-EE4D-0E33-86D4-436DACB2F6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017" b="39649"/>
        <a:stretch/>
      </xdr:blipFill>
      <xdr:spPr bwMode="auto">
        <a:xfrm>
          <a:off x="314325" y="91789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55</xdr:row>
      <xdr:rowOff>165100</xdr:rowOff>
    </xdr:from>
    <xdr:to>
      <xdr:col>5</xdr:col>
      <xdr:colOff>228600</xdr:colOff>
      <xdr:row>57</xdr:row>
      <xdr:rowOff>38100</xdr:rowOff>
    </xdr:to>
    <xdr:sp macro="" textlink="">
      <xdr:nvSpPr>
        <xdr:cNvPr id="51" name="TextBox 50">
          <a:hlinkClick xmlns:r="http://schemas.openxmlformats.org/officeDocument/2006/relationships" r:id="rId25" tooltip="Go to: Customer List"/>
          <a:extLst>
            <a:ext uri="{FF2B5EF4-FFF2-40B4-BE49-F238E27FC236}">
              <a16:creationId xmlns:a16="http://schemas.microsoft.com/office/drawing/2014/main" id="{78DC2DC3-84EA-ED96-FE9A-9CE3BA779940}"/>
            </a:ext>
          </a:extLst>
        </xdr:cNvPr>
        <xdr:cNvSpPr txBox="1"/>
      </xdr:nvSpPr>
      <xdr:spPr>
        <a:xfrm>
          <a:off x="314325" y="10690225"/>
          <a:ext cx="2667000" cy="254000"/>
        </a:xfrm>
        <a:prstGeom prst="rect">
          <a:avLst/>
        </a:prstGeom>
        <a:solidFill>
          <a:srgbClr val="156082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FFFFFF"/>
              </a:solidFill>
            </a:rPr>
            <a:t>Customer List</a:t>
          </a:r>
        </a:p>
      </xdr:txBody>
    </xdr:sp>
    <xdr:clientData/>
  </xdr:twoCellAnchor>
  <xdr:twoCellAnchor editAs="oneCell">
    <xdr:from>
      <xdr:col>5</xdr:col>
      <xdr:colOff>438150</xdr:colOff>
      <xdr:row>47</xdr:row>
      <xdr:rowOff>177800</xdr:rowOff>
    </xdr:from>
    <xdr:to>
      <xdr:col>10</xdr:col>
      <xdr:colOff>57150</xdr:colOff>
      <xdr:row>55</xdr:row>
      <xdr:rowOff>158750</xdr:rowOff>
    </xdr:to>
    <xdr:pic>
      <xdr:nvPicPr>
        <xdr:cNvPr id="57395" name="Picture 51">
          <a:hlinkClick xmlns:r="http://schemas.openxmlformats.org/officeDocument/2006/relationships" r:id="rId27" tooltip="Go to: Chart Data"/>
          <a:extLst>
            <a:ext uri="{FF2B5EF4-FFF2-40B4-BE49-F238E27FC236}">
              <a16:creationId xmlns:a16="http://schemas.microsoft.com/office/drawing/2014/main" id="{11A30BAD-9992-8666-65DC-BE2F69A11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955" b="38217"/>
        <a:stretch/>
      </xdr:blipFill>
      <xdr:spPr bwMode="auto">
        <a:xfrm>
          <a:off x="3190875" y="91789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55</xdr:row>
      <xdr:rowOff>165100</xdr:rowOff>
    </xdr:from>
    <xdr:to>
      <xdr:col>10</xdr:col>
      <xdr:colOff>57150</xdr:colOff>
      <xdr:row>57</xdr:row>
      <xdr:rowOff>38100</xdr:rowOff>
    </xdr:to>
    <xdr:sp macro="" textlink="">
      <xdr:nvSpPr>
        <xdr:cNvPr id="52" name="TextBox 51">
          <a:hlinkClick xmlns:r="http://schemas.openxmlformats.org/officeDocument/2006/relationships" r:id="rId27" tooltip="Go to: Chart Data"/>
          <a:extLst>
            <a:ext uri="{FF2B5EF4-FFF2-40B4-BE49-F238E27FC236}">
              <a16:creationId xmlns:a16="http://schemas.microsoft.com/office/drawing/2014/main" id="{05893807-CC07-2D17-7A60-DD2C109DB23C}"/>
            </a:ext>
          </a:extLst>
        </xdr:cNvPr>
        <xdr:cNvSpPr txBox="1"/>
      </xdr:nvSpPr>
      <xdr:spPr>
        <a:xfrm>
          <a:off x="3190875" y="106902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Chart Data</a:t>
          </a:r>
        </a:p>
      </xdr:txBody>
    </xdr:sp>
    <xdr:clientData/>
  </xdr:twoCellAnchor>
  <xdr:twoCellAnchor editAs="oneCell">
    <xdr:from>
      <xdr:col>10</xdr:col>
      <xdr:colOff>266700</xdr:colOff>
      <xdr:row>47</xdr:row>
      <xdr:rowOff>177800</xdr:rowOff>
    </xdr:from>
    <xdr:to>
      <xdr:col>14</xdr:col>
      <xdr:colOff>495300</xdr:colOff>
      <xdr:row>55</xdr:row>
      <xdr:rowOff>158750</xdr:rowOff>
    </xdr:to>
    <xdr:pic>
      <xdr:nvPicPr>
        <xdr:cNvPr id="57396" name="Picture 52">
          <a:hlinkClick xmlns:r="http://schemas.openxmlformats.org/officeDocument/2006/relationships" r:id="rId29" tooltip="Go to: Count"/>
          <a:extLst>
            <a:ext uri="{FF2B5EF4-FFF2-40B4-BE49-F238E27FC236}">
              <a16:creationId xmlns:a16="http://schemas.microsoft.com/office/drawing/2014/main" id="{931B6393-B7A3-CD3D-6B8F-B1969161AB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058" b="39649"/>
        <a:stretch/>
      </xdr:blipFill>
      <xdr:spPr bwMode="auto">
        <a:xfrm>
          <a:off x="6067425" y="91789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55</xdr:row>
      <xdr:rowOff>165100</xdr:rowOff>
    </xdr:from>
    <xdr:to>
      <xdr:col>14</xdr:col>
      <xdr:colOff>495300</xdr:colOff>
      <xdr:row>57</xdr:row>
      <xdr:rowOff>38100</xdr:rowOff>
    </xdr:to>
    <xdr:sp macro="" textlink="">
      <xdr:nvSpPr>
        <xdr:cNvPr id="53" name="TextBox 52">
          <a:hlinkClick xmlns:r="http://schemas.openxmlformats.org/officeDocument/2006/relationships" r:id="rId29" tooltip="Go to: Count"/>
          <a:extLst>
            <a:ext uri="{FF2B5EF4-FFF2-40B4-BE49-F238E27FC236}">
              <a16:creationId xmlns:a16="http://schemas.microsoft.com/office/drawing/2014/main" id="{13F5914E-DE1B-6417-E27E-D7B809116611}"/>
            </a:ext>
          </a:extLst>
        </xdr:cNvPr>
        <xdr:cNvSpPr txBox="1"/>
      </xdr:nvSpPr>
      <xdr:spPr>
        <a:xfrm>
          <a:off x="6067425" y="106902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Count</a:t>
          </a:r>
        </a:p>
      </xdr:txBody>
    </xdr:sp>
    <xdr:clientData/>
  </xdr:twoCellAnchor>
  <xdr:twoCellAnchor editAs="oneCell">
    <xdr:from>
      <xdr:col>1</xdr:col>
      <xdr:colOff>0</xdr:colOff>
      <xdr:row>59</xdr:row>
      <xdr:rowOff>31750</xdr:rowOff>
    </xdr:from>
    <xdr:to>
      <xdr:col>5</xdr:col>
      <xdr:colOff>228600</xdr:colOff>
      <xdr:row>67</xdr:row>
      <xdr:rowOff>12700</xdr:rowOff>
    </xdr:to>
    <xdr:pic>
      <xdr:nvPicPr>
        <xdr:cNvPr id="57397" name="Picture 53">
          <a:hlinkClick xmlns:r="http://schemas.openxmlformats.org/officeDocument/2006/relationships" r:id="rId31" tooltip="Go to: Attendance"/>
          <a:extLst>
            <a:ext uri="{FF2B5EF4-FFF2-40B4-BE49-F238E27FC236}">
              <a16:creationId xmlns:a16="http://schemas.microsoft.com/office/drawing/2014/main" id="{52F96F96-9912-698F-4F26-E0AD0343DD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660" b="39215"/>
        <a:stretch/>
      </xdr:blipFill>
      <xdr:spPr bwMode="auto">
        <a:xfrm>
          <a:off x="314325" y="113188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67</xdr:row>
      <xdr:rowOff>19050</xdr:rowOff>
    </xdr:from>
    <xdr:to>
      <xdr:col>5</xdr:col>
      <xdr:colOff>228600</xdr:colOff>
      <xdr:row>68</xdr:row>
      <xdr:rowOff>82550</xdr:rowOff>
    </xdr:to>
    <xdr:sp macro="" textlink="">
      <xdr:nvSpPr>
        <xdr:cNvPr id="54" name="TextBox 53">
          <a:hlinkClick xmlns:r="http://schemas.openxmlformats.org/officeDocument/2006/relationships" r:id="rId31" tooltip="Go to: Attendance"/>
          <a:extLst>
            <a:ext uri="{FF2B5EF4-FFF2-40B4-BE49-F238E27FC236}">
              <a16:creationId xmlns:a16="http://schemas.microsoft.com/office/drawing/2014/main" id="{D979ACA1-164C-FA00-7575-827EDF13ACCB}"/>
            </a:ext>
          </a:extLst>
        </xdr:cNvPr>
        <xdr:cNvSpPr txBox="1"/>
      </xdr:nvSpPr>
      <xdr:spPr>
        <a:xfrm>
          <a:off x="314325" y="128301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Attendance</a:t>
          </a:r>
        </a:p>
      </xdr:txBody>
    </xdr:sp>
    <xdr:clientData/>
  </xdr:twoCellAnchor>
  <xdr:twoCellAnchor editAs="oneCell">
    <xdr:from>
      <xdr:col>5</xdr:col>
      <xdr:colOff>438150</xdr:colOff>
      <xdr:row>59</xdr:row>
      <xdr:rowOff>31750</xdr:rowOff>
    </xdr:from>
    <xdr:to>
      <xdr:col>10</xdr:col>
      <xdr:colOff>57150</xdr:colOff>
      <xdr:row>67</xdr:row>
      <xdr:rowOff>12700</xdr:rowOff>
    </xdr:to>
    <xdr:pic>
      <xdr:nvPicPr>
        <xdr:cNvPr id="57398" name="Picture 54">
          <a:hlinkClick xmlns:r="http://schemas.openxmlformats.org/officeDocument/2006/relationships" r:id="rId33" tooltip="Go to: Progress Bars"/>
          <a:extLst>
            <a:ext uri="{FF2B5EF4-FFF2-40B4-BE49-F238E27FC236}">
              <a16:creationId xmlns:a16="http://schemas.microsoft.com/office/drawing/2014/main" id="{0E487479-A90B-0994-8518-CCBBBB199A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27" b="38553"/>
        <a:stretch/>
      </xdr:blipFill>
      <xdr:spPr bwMode="auto">
        <a:xfrm>
          <a:off x="3190875" y="113188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67</xdr:row>
      <xdr:rowOff>19050</xdr:rowOff>
    </xdr:from>
    <xdr:to>
      <xdr:col>10</xdr:col>
      <xdr:colOff>57150</xdr:colOff>
      <xdr:row>68</xdr:row>
      <xdr:rowOff>82550</xdr:rowOff>
    </xdr:to>
    <xdr:sp macro="" textlink="">
      <xdr:nvSpPr>
        <xdr:cNvPr id="55" name="TextBox 54">
          <a:hlinkClick xmlns:r="http://schemas.openxmlformats.org/officeDocument/2006/relationships" r:id="rId33" tooltip="Go to: Progress Bars"/>
          <a:extLst>
            <a:ext uri="{FF2B5EF4-FFF2-40B4-BE49-F238E27FC236}">
              <a16:creationId xmlns:a16="http://schemas.microsoft.com/office/drawing/2014/main" id="{A82D9373-368E-A08D-DD85-C44FF78F3752}"/>
            </a:ext>
          </a:extLst>
        </xdr:cNvPr>
        <xdr:cNvSpPr txBox="1"/>
      </xdr:nvSpPr>
      <xdr:spPr>
        <a:xfrm>
          <a:off x="3190875" y="128301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Progress Bars</a:t>
          </a:r>
        </a:p>
      </xdr:txBody>
    </xdr:sp>
    <xdr:clientData/>
  </xdr:twoCellAnchor>
  <xdr:twoCellAnchor editAs="oneCell">
    <xdr:from>
      <xdr:col>10</xdr:col>
      <xdr:colOff>266700</xdr:colOff>
      <xdr:row>59</xdr:row>
      <xdr:rowOff>31750</xdr:rowOff>
    </xdr:from>
    <xdr:to>
      <xdr:col>14</xdr:col>
      <xdr:colOff>495300</xdr:colOff>
      <xdr:row>67</xdr:row>
      <xdr:rowOff>12700</xdr:rowOff>
    </xdr:to>
    <xdr:pic>
      <xdr:nvPicPr>
        <xdr:cNvPr id="57399" name="Picture 55">
          <a:hlinkClick xmlns:r="http://schemas.openxmlformats.org/officeDocument/2006/relationships" r:id="rId35" tooltip="Go to: Tables"/>
          <a:extLst>
            <a:ext uri="{FF2B5EF4-FFF2-40B4-BE49-F238E27FC236}">
              <a16:creationId xmlns:a16="http://schemas.microsoft.com/office/drawing/2014/main" id="{2AA08437-3DB5-9CD2-CB88-D3CA996105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058" b="39649"/>
        <a:stretch/>
      </xdr:blipFill>
      <xdr:spPr bwMode="auto">
        <a:xfrm>
          <a:off x="6067425" y="113188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67</xdr:row>
      <xdr:rowOff>19050</xdr:rowOff>
    </xdr:from>
    <xdr:to>
      <xdr:col>14</xdr:col>
      <xdr:colOff>495300</xdr:colOff>
      <xdr:row>68</xdr:row>
      <xdr:rowOff>82550</xdr:rowOff>
    </xdr:to>
    <xdr:sp macro="" textlink="">
      <xdr:nvSpPr>
        <xdr:cNvPr id="56" name="TextBox 55">
          <a:hlinkClick xmlns:r="http://schemas.openxmlformats.org/officeDocument/2006/relationships" r:id="rId35" tooltip="Go to: Tables"/>
          <a:extLst>
            <a:ext uri="{FF2B5EF4-FFF2-40B4-BE49-F238E27FC236}">
              <a16:creationId xmlns:a16="http://schemas.microsoft.com/office/drawing/2014/main" id="{DBB65667-7A19-1146-1A06-9B96EB6A5307}"/>
            </a:ext>
          </a:extLst>
        </xdr:cNvPr>
        <xdr:cNvSpPr txBox="1"/>
      </xdr:nvSpPr>
      <xdr:spPr>
        <a:xfrm>
          <a:off x="6067425" y="128301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Tables</a:t>
          </a:r>
        </a:p>
      </xdr:txBody>
    </xdr:sp>
    <xdr:clientData/>
  </xdr:twoCellAnchor>
  <xdr:twoCellAnchor editAs="oneCell">
    <xdr:from>
      <xdr:col>1</xdr:col>
      <xdr:colOff>0</xdr:colOff>
      <xdr:row>70</xdr:row>
      <xdr:rowOff>76200</xdr:rowOff>
    </xdr:from>
    <xdr:to>
      <xdr:col>5</xdr:col>
      <xdr:colOff>228600</xdr:colOff>
      <xdr:row>78</xdr:row>
      <xdr:rowOff>57150</xdr:rowOff>
    </xdr:to>
    <xdr:pic>
      <xdr:nvPicPr>
        <xdr:cNvPr id="57400" name="Picture 56">
          <a:hlinkClick xmlns:r="http://schemas.openxmlformats.org/officeDocument/2006/relationships" r:id="rId37" tooltip="Go to: Reveal"/>
          <a:extLst>
            <a:ext uri="{FF2B5EF4-FFF2-40B4-BE49-F238E27FC236}">
              <a16:creationId xmlns:a16="http://schemas.microsoft.com/office/drawing/2014/main" id="{1BB12FE3-B2F8-EA2F-938E-E8CC2C807E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27" b="39324"/>
        <a:stretch/>
      </xdr:blipFill>
      <xdr:spPr bwMode="auto">
        <a:xfrm>
          <a:off x="314325" y="134588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78</xdr:row>
      <xdr:rowOff>63500</xdr:rowOff>
    </xdr:from>
    <xdr:to>
      <xdr:col>5</xdr:col>
      <xdr:colOff>228600</xdr:colOff>
      <xdr:row>79</xdr:row>
      <xdr:rowOff>127000</xdr:rowOff>
    </xdr:to>
    <xdr:sp macro="" textlink="">
      <xdr:nvSpPr>
        <xdr:cNvPr id="57" name="TextBox 56">
          <a:hlinkClick xmlns:r="http://schemas.openxmlformats.org/officeDocument/2006/relationships" r:id="rId37" tooltip="Go to: Reveal"/>
          <a:extLst>
            <a:ext uri="{FF2B5EF4-FFF2-40B4-BE49-F238E27FC236}">
              <a16:creationId xmlns:a16="http://schemas.microsoft.com/office/drawing/2014/main" id="{1CD5D5EF-3C4A-B980-4AE2-4D49525874AE}"/>
            </a:ext>
          </a:extLst>
        </xdr:cNvPr>
        <xdr:cNvSpPr txBox="1"/>
      </xdr:nvSpPr>
      <xdr:spPr>
        <a:xfrm>
          <a:off x="314325" y="149701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Reveal</a:t>
          </a:r>
        </a:p>
      </xdr:txBody>
    </xdr:sp>
    <xdr:clientData/>
  </xdr:twoCellAnchor>
  <xdr:twoCellAnchor editAs="oneCell">
    <xdr:from>
      <xdr:col>5</xdr:col>
      <xdr:colOff>438150</xdr:colOff>
      <xdr:row>70</xdr:row>
      <xdr:rowOff>76200</xdr:rowOff>
    </xdr:from>
    <xdr:to>
      <xdr:col>10</xdr:col>
      <xdr:colOff>57150</xdr:colOff>
      <xdr:row>78</xdr:row>
      <xdr:rowOff>57150</xdr:rowOff>
    </xdr:to>
    <xdr:pic>
      <xdr:nvPicPr>
        <xdr:cNvPr id="57401" name="Picture 57">
          <a:hlinkClick xmlns:r="http://schemas.openxmlformats.org/officeDocument/2006/relationships" r:id="rId39" tooltip="Go to: Invisible"/>
          <a:extLst>
            <a:ext uri="{FF2B5EF4-FFF2-40B4-BE49-F238E27FC236}">
              <a16:creationId xmlns:a16="http://schemas.microsoft.com/office/drawing/2014/main" id="{012F1B9C-CFB3-F6B5-EC15-5DA46D603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27" b="38553"/>
        <a:stretch/>
      </xdr:blipFill>
      <xdr:spPr bwMode="auto">
        <a:xfrm>
          <a:off x="3190875" y="134588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78</xdr:row>
      <xdr:rowOff>63500</xdr:rowOff>
    </xdr:from>
    <xdr:to>
      <xdr:col>10</xdr:col>
      <xdr:colOff>57150</xdr:colOff>
      <xdr:row>79</xdr:row>
      <xdr:rowOff>127000</xdr:rowOff>
    </xdr:to>
    <xdr:sp macro="" textlink="">
      <xdr:nvSpPr>
        <xdr:cNvPr id="58" name="TextBox 57">
          <a:hlinkClick xmlns:r="http://schemas.openxmlformats.org/officeDocument/2006/relationships" r:id="rId39" tooltip="Go to: Invisible"/>
          <a:extLst>
            <a:ext uri="{FF2B5EF4-FFF2-40B4-BE49-F238E27FC236}">
              <a16:creationId xmlns:a16="http://schemas.microsoft.com/office/drawing/2014/main" id="{1A1F0141-9CEE-E830-F9CA-42F462B341E8}"/>
            </a:ext>
          </a:extLst>
        </xdr:cNvPr>
        <xdr:cNvSpPr txBox="1"/>
      </xdr:nvSpPr>
      <xdr:spPr>
        <a:xfrm>
          <a:off x="3190875" y="149701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Invisible</a:t>
          </a:r>
        </a:p>
      </xdr:txBody>
    </xdr:sp>
    <xdr:clientData/>
  </xdr:twoCellAnchor>
  <xdr:twoCellAnchor editAs="oneCell">
    <xdr:from>
      <xdr:col>10</xdr:col>
      <xdr:colOff>266700</xdr:colOff>
      <xdr:row>70</xdr:row>
      <xdr:rowOff>76200</xdr:rowOff>
    </xdr:from>
    <xdr:to>
      <xdr:col>14</xdr:col>
      <xdr:colOff>495300</xdr:colOff>
      <xdr:row>78</xdr:row>
      <xdr:rowOff>57150</xdr:rowOff>
    </xdr:to>
    <xdr:pic>
      <xdr:nvPicPr>
        <xdr:cNvPr id="57402" name="Picture 58">
          <a:hlinkClick xmlns:r="http://schemas.openxmlformats.org/officeDocument/2006/relationships" r:id="rId41" tooltip="Go to: Calendar"/>
          <a:extLst>
            <a:ext uri="{FF2B5EF4-FFF2-40B4-BE49-F238E27FC236}">
              <a16:creationId xmlns:a16="http://schemas.microsoft.com/office/drawing/2014/main" id="{E84B927B-FCCA-BCDB-ECE6-4607290D6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08" b="39649"/>
        <a:stretch/>
      </xdr:blipFill>
      <xdr:spPr bwMode="auto">
        <a:xfrm>
          <a:off x="6067425" y="134588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78</xdr:row>
      <xdr:rowOff>63500</xdr:rowOff>
    </xdr:from>
    <xdr:to>
      <xdr:col>14</xdr:col>
      <xdr:colOff>495300</xdr:colOff>
      <xdr:row>79</xdr:row>
      <xdr:rowOff>127000</xdr:rowOff>
    </xdr:to>
    <xdr:sp macro="" textlink="">
      <xdr:nvSpPr>
        <xdr:cNvPr id="59" name="TextBox 58">
          <a:hlinkClick xmlns:r="http://schemas.openxmlformats.org/officeDocument/2006/relationships" r:id="rId41" tooltip="Go to: Calendar"/>
          <a:extLst>
            <a:ext uri="{FF2B5EF4-FFF2-40B4-BE49-F238E27FC236}">
              <a16:creationId xmlns:a16="http://schemas.microsoft.com/office/drawing/2014/main" id="{FE59061D-3FAF-F19C-CB5F-7F7574185204}"/>
            </a:ext>
          </a:extLst>
        </xdr:cNvPr>
        <xdr:cNvSpPr txBox="1"/>
      </xdr:nvSpPr>
      <xdr:spPr>
        <a:xfrm>
          <a:off x="6067425" y="1497012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Calendar</a:t>
          </a:r>
        </a:p>
      </xdr:txBody>
    </xdr:sp>
    <xdr:clientData/>
  </xdr:twoCellAnchor>
  <xdr:twoCellAnchor editAs="oneCell">
    <xdr:from>
      <xdr:col>1</xdr:col>
      <xdr:colOff>0</xdr:colOff>
      <xdr:row>81</xdr:row>
      <xdr:rowOff>120650</xdr:rowOff>
    </xdr:from>
    <xdr:to>
      <xdr:col>5</xdr:col>
      <xdr:colOff>228600</xdr:colOff>
      <xdr:row>89</xdr:row>
      <xdr:rowOff>101600</xdr:rowOff>
    </xdr:to>
    <xdr:pic>
      <xdr:nvPicPr>
        <xdr:cNvPr id="57403" name="Picture 59">
          <a:hlinkClick xmlns:r="http://schemas.openxmlformats.org/officeDocument/2006/relationships" r:id="rId43" tooltip="Go to: Interactive Cal"/>
          <a:extLst>
            <a:ext uri="{FF2B5EF4-FFF2-40B4-BE49-F238E27FC236}">
              <a16:creationId xmlns:a16="http://schemas.microsoft.com/office/drawing/2014/main" id="{C0897B2C-7D00-D4F6-559B-F078A0ABB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185" b="38104"/>
        <a:stretch/>
      </xdr:blipFill>
      <xdr:spPr bwMode="auto">
        <a:xfrm>
          <a:off x="314325" y="155987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89</xdr:row>
      <xdr:rowOff>107950</xdr:rowOff>
    </xdr:from>
    <xdr:to>
      <xdr:col>5</xdr:col>
      <xdr:colOff>228600</xdr:colOff>
      <xdr:row>90</xdr:row>
      <xdr:rowOff>171450</xdr:rowOff>
    </xdr:to>
    <xdr:sp macro="" textlink="">
      <xdr:nvSpPr>
        <xdr:cNvPr id="60" name="TextBox 59">
          <a:hlinkClick xmlns:r="http://schemas.openxmlformats.org/officeDocument/2006/relationships" r:id="rId43" tooltip="Go to: Interactive Cal"/>
          <a:extLst>
            <a:ext uri="{FF2B5EF4-FFF2-40B4-BE49-F238E27FC236}">
              <a16:creationId xmlns:a16="http://schemas.microsoft.com/office/drawing/2014/main" id="{BF323AA5-1820-4A10-E4CD-3BF1AA638C17}"/>
            </a:ext>
          </a:extLst>
        </xdr:cNvPr>
        <xdr:cNvSpPr txBox="1"/>
      </xdr:nvSpPr>
      <xdr:spPr>
        <a:xfrm>
          <a:off x="314325" y="171100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Interactive Cal</a:t>
          </a:r>
        </a:p>
      </xdr:txBody>
    </xdr:sp>
    <xdr:clientData/>
  </xdr:twoCellAnchor>
  <xdr:twoCellAnchor editAs="oneCell">
    <xdr:from>
      <xdr:col>5</xdr:col>
      <xdr:colOff>438150</xdr:colOff>
      <xdr:row>81</xdr:row>
      <xdr:rowOff>120650</xdr:rowOff>
    </xdr:from>
    <xdr:to>
      <xdr:col>10</xdr:col>
      <xdr:colOff>57150</xdr:colOff>
      <xdr:row>89</xdr:row>
      <xdr:rowOff>101600</xdr:rowOff>
    </xdr:to>
    <xdr:pic>
      <xdr:nvPicPr>
        <xdr:cNvPr id="57404" name="Picture 60">
          <a:hlinkClick xmlns:r="http://schemas.openxmlformats.org/officeDocument/2006/relationships" r:id="rId45" tooltip="Go to: Reset"/>
          <a:extLst>
            <a:ext uri="{FF2B5EF4-FFF2-40B4-BE49-F238E27FC236}">
              <a16:creationId xmlns:a16="http://schemas.microsoft.com/office/drawing/2014/main" id="{0DD69E9B-F235-A99C-F737-0F2373A4CD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314" b="37648"/>
        <a:stretch/>
      </xdr:blipFill>
      <xdr:spPr bwMode="auto">
        <a:xfrm>
          <a:off x="3190875" y="155987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89</xdr:row>
      <xdr:rowOff>107950</xdr:rowOff>
    </xdr:from>
    <xdr:to>
      <xdr:col>10</xdr:col>
      <xdr:colOff>57150</xdr:colOff>
      <xdr:row>90</xdr:row>
      <xdr:rowOff>171450</xdr:rowOff>
    </xdr:to>
    <xdr:sp macro="" textlink="">
      <xdr:nvSpPr>
        <xdr:cNvPr id="61" name="TextBox 60">
          <a:hlinkClick xmlns:r="http://schemas.openxmlformats.org/officeDocument/2006/relationships" r:id="rId45" tooltip="Go to: Reset"/>
          <a:extLst>
            <a:ext uri="{FF2B5EF4-FFF2-40B4-BE49-F238E27FC236}">
              <a16:creationId xmlns:a16="http://schemas.microsoft.com/office/drawing/2014/main" id="{BB335E34-2892-C19F-EB27-04512A515E87}"/>
            </a:ext>
          </a:extLst>
        </xdr:cNvPr>
        <xdr:cNvSpPr txBox="1"/>
      </xdr:nvSpPr>
      <xdr:spPr>
        <a:xfrm>
          <a:off x="3190875" y="171100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Reset</a:t>
          </a:r>
        </a:p>
      </xdr:txBody>
    </xdr:sp>
    <xdr:clientData/>
  </xdr:twoCellAnchor>
  <xdr:twoCellAnchor editAs="oneCell">
    <xdr:from>
      <xdr:col>10</xdr:col>
      <xdr:colOff>266700</xdr:colOff>
      <xdr:row>81</xdr:row>
      <xdr:rowOff>120650</xdr:rowOff>
    </xdr:from>
    <xdr:to>
      <xdr:col>14</xdr:col>
      <xdr:colOff>495300</xdr:colOff>
      <xdr:row>89</xdr:row>
      <xdr:rowOff>101600</xdr:rowOff>
    </xdr:to>
    <xdr:pic>
      <xdr:nvPicPr>
        <xdr:cNvPr id="57405" name="Picture 61">
          <a:hlinkClick xmlns:r="http://schemas.openxmlformats.org/officeDocument/2006/relationships" r:id="rId47" tooltip="Go to: Select All"/>
          <a:extLst>
            <a:ext uri="{FF2B5EF4-FFF2-40B4-BE49-F238E27FC236}">
              <a16:creationId xmlns:a16="http://schemas.microsoft.com/office/drawing/2014/main" id="{645F4FD7-D721-B22A-A9FD-49596C122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775" b="37877"/>
        <a:stretch/>
      </xdr:blipFill>
      <xdr:spPr bwMode="auto">
        <a:xfrm>
          <a:off x="6067425" y="1559877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89</xdr:row>
      <xdr:rowOff>107950</xdr:rowOff>
    </xdr:from>
    <xdr:to>
      <xdr:col>14</xdr:col>
      <xdr:colOff>495300</xdr:colOff>
      <xdr:row>90</xdr:row>
      <xdr:rowOff>171450</xdr:rowOff>
    </xdr:to>
    <xdr:sp macro="" textlink="">
      <xdr:nvSpPr>
        <xdr:cNvPr id="62" name="TextBox 61">
          <a:hlinkClick xmlns:r="http://schemas.openxmlformats.org/officeDocument/2006/relationships" r:id="rId47" tooltip="Go to: Select All"/>
          <a:extLst>
            <a:ext uri="{FF2B5EF4-FFF2-40B4-BE49-F238E27FC236}">
              <a16:creationId xmlns:a16="http://schemas.microsoft.com/office/drawing/2014/main" id="{D01B2A2C-D91F-E937-9192-0DFFF7B4D12A}"/>
            </a:ext>
          </a:extLst>
        </xdr:cNvPr>
        <xdr:cNvSpPr txBox="1"/>
      </xdr:nvSpPr>
      <xdr:spPr>
        <a:xfrm>
          <a:off x="6067425" y="17110075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Select All</a:t>
          </a:r>
        </a:p>
      </xdr:txBody>
    </xdr:sp>
    <xdr:clientData/>
  </xdr:twoCellAnchor>
  <xdr:twoCellAnchor editAs="oneCell">
    <xdr:from>
      <xdr:col>1</xdr:col>
      <xdr:colOff>0</xdr:colOff>
      <xdr:row>92</xdr:row>
      <xdr:rowOff>165100</xdr:rowOff>
    </xdr:from>
    <xdr:to>
      <xdr:col>5</xdr:col>
      <xdr:colOff>228600</xdr:colOff>
      <xdr:row>100</xdr:row>
      <xdr:rowOff>146050</xdr:rowOff>
    </xdr:to>
    <xdr:pic>
      <xdr:nvPicPr>
        <xdr:cNvPr id="57406" name="Picture 62">
          <a:hlinkClick xmlns:r="http://schemas.openxmlformats.org/officeDocument/2006/relationships" r:id="rId49" tooltip="Go to: Toggle Chart"/>
          <a:extLst>
            <a:ext uri="{FF2B5EF4-FFF2-40B4-BE49-F238E27FC236}">
              <a16:creationId xmlns:a16="http://schemas.microsoft.com/office/drawing/2014/main" id="{A5C9E9BD-9589-A698-B7FE-112DBAF229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350" b="39649"/>
        <a:stretch/>
      </xdr:blipFill>
      <xdr:spPr bwMode="auto">
        <a:xfrm>
          <a:off x="314325" y="177387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100</xdr:row>
      <xdr:rowOff>152398</xdr:rowOff>
    </xdr:from>
    <xdr:to>
      <xdr:col>5</xdr:col>
      <xdr:colOff>228600</xdr:colOff>
      <xdr:row>102</xdr:row>
      <xdr:rowOff>25398</xdr:rowOff>
    </xdr:to>
    <xdr:sp macro="" textlink="">
      <xdr:nvSpPr>
        <xdr:cNvPr id="63" name="TextBox 62">
          <a:hlinkClick xmlns:r="http://schemas.openxmlformats.org/officeDocument/2006/relationships" r:id="rId49" tooltip="Go to: Toggle Chart"/>
          <a:extLst>
            <a:ext uri="{FF2B5EF4-FFF2-40B4-BE49-F238E27FC236}">
              <a16:creationId xmlns:a16="http://schemas.microsoft.com/office/drawing/2014/main" id="{6EE0E846-D81C-2B23-F965-AB2B114C095D}"/>
            </a:ext>
          </a:extLst>
        </xdr:cNvPr>
        <xdr:cNvSpPr txBox="1"/>
      </xdr:nvSpPr>
      <xdr:spPr>
        <a:xfrm>
          <a:off x="314325" y="19250023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Toggle Chart</a:t>
          </a:r>
        </a:p>
      </xdr:txBody>
    </xdr:sp>
    <xdr:clientData/>
  </xdr:twoCellAnchor>
  <xdr:twoCellAnchor editAs="oneCell">
    <xdr:from>
      <xdr:col>5</xdr:col>
      <xdr:colOff>438150</xdr:colOff>
      <xdr:row>92</xdr:row>
      <xdr:rowOff>165100</xdr:rowOff>
    </xdr:from>
    <xdr:to>
      <xdr:col>10</xdr:col>
      <xdr:colOff>57150</xdr:colOff>
      <xdr:row>100</xdr:row>
      <xdr:rowOff>146050</xdr:rowOff>
    </xdr:to>
    <xdr:pic>
      <xdr:nvPicPr>
        <xdr:cNvPr id="57407" name="Picture 63">
          <a:hlinkClick xmlns:r="http://schemas.openxmlformats.org/officeDocument/2006/relationships" r:id="rId51" tooltip="Go to: Resources"/>
          <a:extLst>
            <a:ext uri="{FF2B5EF4-FFF2-40B4-BE49-F238E27FC236}">
              <a16:creationId xmlns:a16="http://schemas.microsoft.com/office/drawing/2014/main" id="{A7DAA392-11E9-824B-A055-C60A9B4427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110" b="39649"/>
        <a:stretch/>
      </xdr:blipFill>
      <xdr:spPr bwMode="auto">
        <a:xfrm>
          <a:off x="3190875" y="17738725"/>
          <a:ext cx="2667000" cy="15049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438150</xdr:colOff>
      <xdr:row>100</xdr:row>
      <xdr:rowOff>152398</xdr:rowOff>
    </xdr:from>
    <xdr:to>
      <xdr:col>10</xdr:col>
      <xdr:colOff>57150</xdr:colOff>
      <xdr:row>102</xdr:row>
      <xdr:rowOff>25398</xdr:rowOff>
    </xdr:to>
    <xdr:sp macro="" textlink="">
      <xdr:nvSpPr>
        <xdr:cNvPr id="57344" name="TextBox 57343">
          <a:hlinkClick xmlns:r="http://schemas.openxmlformats.org/officeDocument/2006/relationships" r:id="rId51" tooltip="Go to: Resources"/>
          <a:extLst>
            <a:ext uri="{FF2B5EF4-FFF2-40B4-BE49-F238E27FC236}">
              <a16:creationId xmlns:a16="http://schemas.microsoft.com/office/drawing/2014/main" id="{3C0BC806-F3E6-1C72-AF96-BF8CB58DB994}"/>
            </a:ext>
          </a:extLst>
        </xdr:cNvPr>
        <xdr:cNvSpPr txBox="1"/>
      </xdr:nvSpPr>
      <xdr:spPr>
        <a:xfrm>
          <a:off x="3190875" y="19250023"/>
          <a:ext cx="2667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>
              <a:solidFill>
                <a:srgbClr val="000000"/>
              </a:solidFill>
            </a:rPr>
            <a:t>Resources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102375</xdr:colOff>
      <xdr:row>0</xdr:row>
      <xdr:rowOff>76199</xdr:rowOff>
    </xdr:from>
    <xdr:to>
      <xdr:col>2</xdr:col>
      <xdr:colOff>0</xdr:colOff>
      <xdr:row>0</xdr:row>
      <xdr:rowOff>348474</xdr:rowOff>
    </xdr:to>
    <xdr:pic>
      <xdr:nvPicPr>
        <xdr:cNvPr id="7" name="Graphic 6" descr="Holiday tree with solid fill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600" y="76199"/>
          <a:ext cx="278625" cy="278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5</xdr:row>
      <xdr:rowOff>0</xdr:rowOff>
    </xdr:from>
    <xdr:to>
      <xdr:col>8</xdr:col>
      <xdr:colOff>161925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BE6BB-8D41-4FDA-AB57-DB564472E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48896</xdr:colOff>
      <xdr:row>2</xdr:row>
      <xdr:rowOff>26353</xdr:rowOff>
    </xdr:from>
    <xdr:to>
      <xdr:col>7</xdr:col>
      <xdr:colOff>574040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9E391-0D5C-B6F9-6EFD-CBA12C0A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</xdr:row>
      <xdr:rowOff>185738</xdr:rowOff>
    </xdr:from>
    <xdr:to>
      <xdr:col>15</xdr:col>
      <xdr:colOff>47625</xdr:colOff>
      <xdr:row>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DBC909-2093-1C42-F72C-0B72F22BF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132715</xdr:colOff>
      <xdr:row>2</xdr:row>
      <xdr:rowOff>179070</xdr:rowOff>
    </xdr:from>
    <xdr:to>
      <xdr:col>14</xdr:col>
      <xdr:colOff>508001</xdr:colOff>
      <xdr:row>6</xdr:row>
      <xdr:rowOff>64770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72AADD9-6124-582A-58F9-680ACFAA2372}"/>
            </a:ext>
          </a:extLst>
        </xdr:cNvPr>
        <xdr:cNvSpPr/>
      </xdr:nvSpPr>
      <xdr:spPr>
        <a:xfrm>
          <a:off x="5561965" y="744220"/>
          <a:ext cx="3423286" cy="527050"/>
        </a:xfrm>
        <a:prstGeom prst="roundRect">
          <a:avLst>
            <a:gd name="adj" fmla="val 23564"/>
          </a:avLst>
        </a:prstGeom>
        <a:noFill/>
        <a:ln w="1016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0.21311</cdr:x>
      <cdr:y>0.36986</cdr:y>
    </cdr:from>
    <cdr:to>
      <cdr:x>0.7682</cdr:x>
      <cdr:y>0.61096</cdr:y>
    </cdr:to>
    <cdr:sp macro="" textlink="'Progress Bars'!$W$5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1F9E27-FE00-DFA3-5675-F13731009754}"/>
            </a:ext>
          </a:extLst>
        </cdr:cNvPr>
        <cdr:cNvSpPr txBox="1"/>
      </cdr:nvSpPr>
      <cdr:spPr>
        <a:xfrm xmlns:a="http://schemas.openxmlformats.org/drawingml/2006/main">
          <a:off x="371474" y="590088"/>
          <a:ext cx="967552" cy="384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74F9F39-DDA2-4D76-B52D-AE0EF245BCB1}" type="TxLink">
            <a:rPr lang="en-US" sz="2400" b="1" i="0" u="none" strike="noStrike">
              <a:solidFill>
                <a:schemeClr val="accent5"/>
              </a:solidFill>
              <a:latin typeface="+mn-lt"/>
            </a:rPr>
            <a:pPr algn="ctr"/>
            <a:t>50%</a:t>
          </a:fld>
          <a:endParaRPr lang="en-US" sz="2400" b="1">
            <a:solidFill>
              <a:schemeClr val="accent5"/>
            </a:solidFill>
            <a:latin typeface="+mn-lt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1</xdr:row>
      <xdr:rowOff>152399</xdr:rowOff>
    </xdr:from>
    <xdr:to>
      <xdr:col>8</xdr:col>
      <xdr:colOff>352425</xdr:colOff>
      <xdr:row>15</xdr:row>
      <xdr:rowOff>85725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371724" y="533399"/>
          <a:ext cx="3286126" cy="2600326"/>
        </a:xfrm>
        <a:prstGeom prst="roundRect">
          <a:avLst>
            <a:gd name="adj" fmla="val 2927"/>
          </a:avLst>
        </a:prstGeom>
        <a:solidFill>
          <a:schemeClr val="bg1"/>
        </a:solidFill>
        <a:ln w="12700"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504827</xdr:colOff>
      <xdr:row>2</xdr:row>
      <xdr:rowOff>0</xdr:rowOff>
    </xdr:from>
    <xdr:to>
      <xdr:col>8</xdr:col>
      <xdr:colOff>304800</xdr:colOff>
      <xdr:row>16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2</xdr:row>
          <xdr:rowOff>45720</xdr:rowOff>
        </xdr:from>
        <xdr:to>
          <xdr:col>7</xdr:col>
          <xdr:colOff>45720</xdr:colOff>
          <xdr:row>3</xdr:row>
          <xdr:rowOff>68580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30480</xdr:colOff>
          <xdr:row>4</xdr:row>
          <xdr:rowOff>144780</xdr:rowOff>
        </xdr:from>
        <xdr:to>
          <xdr:col>18</xdr:col>
          <xdr:colOff>144780</xdr:colOff>
          <xdr:row>4</xdr:row>
          <xdr:rowOff>274320</xdr:rowOff>
        </xdr:to>
        <xdr:sp macro="" textlink="">
          <xdr:nvSpPr>
            <xdr:cNvPr id="19457" name="Spinner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30480</xdr:colOff>
          <xdr:row>4</xdr:row>
          <xdr:rowOff>144780</xdr:rowOff>
        </xdr:from>
        <xdr:to>
          <xdr:col>18</xdr:col>
          <xdr:colOff>182880</xdr:colOff>
          <xdr:row>4</xdr:row>
          <xdr:rowOff>342900</xdr:rowOff>
        </xdr:to>
        <xdr:sp macro="" textlink="">
          <xdr:nvSpPr>
            <xdr:cNvPr id="51201" name="Spinner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17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53340</xdr:rowOff>
    </xdr:from>
    <xdr:to>
      <xdr:col>1</xdr:col>
      <xdr:colOff>227057</xdr:colOff>
      <xdr:row>3</xdr:row>
      <xdr:rowOff>194768</xdr:rowOff>
    </xdr:to>
    <xdr:pic>
      <xdr:nvPicPr>
        <xdr:cNvPr id="2" name="Picture 1">
          <a:hlinkClick xmlns:r="http://schemas.openxmlformats.org/officeDocument/2006/relationships" r:id="rId1" tooltip="Click and press spacebar to (un)check all."/>
          <a:extLst>
            <a:ext uri="{FF2B5EF4-FFF2-40B4-BE49-F238E27FC236}">
              <a16:creationId xmlns:a16="http://schemas.microsoft.com/office/drawing/2014/main" id="{81284E76-1672-480B-A0FA-FE507A2E4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" y="800100"/>
          <a:ext cx="150857" cy="1414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4</xdr:row>
      <xdr:rowOff>14287</xdr:rowOff>
    </xdr:from>
    <xdr:to>
      <xdr:col>9</xdr:col>
      <xdr:colOff>571501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176211</xdr:rowOff>
    </xdr:from>
    <xdr:to>
      <xdr:col>10</xdr:col>
      <xdr:colOff>371475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3BAD2-79DE-50E5-0FFB-33EBC723E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 Acampora" refreshedDate="45511.582753819443" createdVersion="8" refreshedVersion="8" minRefreshableVersion="3" recordCount="661" xr:uid="{A007DED6-CC25-4E9D-A532-D6C147DF63EE}">
  <cacheSource type="worksheet">
    <worksheetSource name="tblSales"/>
  </cacheSource>
  <cacheFields count="17">
    <cacheField name="Order ID" numFmtId="0">
      <sharedItems containsSemiMixedTypes="0" containsString="0" containsNumber="1" containsInteger="1" minValue="201897" maxValue="202171"/>
    </cacheField>
    <cacheField name="Date" numFmtId="14">
      <sharedItems containsSemiMixedTypes="0" containsNonDate="0" containsDate="1" containsString="0" minDate="2024-07-08T00:00:00" maxDate="2024-07-22T00:00:00"/>
    </cacheField>
    <cacheField name="Customer ID" numFmtId="0">
      <sharedItems containsSemiMixedTypes="0" containsString="0" containsNumber="1" containsInteger="1" minValue="102309" maxValue="132016"/>
    </cacheField>
    <cacheField name="Product ID" numFmtId="0">
      <sharedItems containsSemiMixedTypes="0" containsString="0" containsNumber="1" containsInteger="1" minValue="100248" maxValue="300191"/>
    </cacheField>
    <cacheField name="Category" numFmtId="0">
      <sharedItems count="3">
        <s v="Apparel"/>
        <s v="Accessories"/>
        <s v="Boards"/>
      </sharedItems>
    </cacheField>
    <cacheField name="Product Name" numFmtId="0">
      <sharedItems count="29">
        <s v="ReefSafe UV Leggings"/>
        <s v="HydroThrive Safety Leash"/>
        <s v="ReefFlex Anti-Slip Deck Pad"/>
        <s v="ShoreLine Collapsible Paddle"/>
        <s v="Tranquil Tide Yoga Board"/>
        <s v="Wave Rider Surf Series"/>
        <s v="BlueWave Solar Charger"/>
        <s v="SunShield Rash Guard"/>
        <s v="Sea Bird Cruiser"/>
        <s v="Carve Performance Board"/>
        <s v="HydroCap Waterproof Hat"/>
        <s v="Logo Tshirt"/>
        <s v="AquaLume LED Light Kit"/>
        <s v="SeaPulse GPS Tracker"/>
        <s v="AquaGlide Touring Board"/>
        <s v="ClearVue Underwater Camera Mount"/>
        <s v="Reef Master Eco Board"/>
        <s v="SurfStream Balance Cushion"/>
        <s v="Ocean Sprint Racing Pro"/>
        <s v="WaveRider Waterproof Case"/>
        <s v="WaveRider Water Shoes"/>
        <s v="AquaGrip Paddle Gloves"/>
        <s v="Blue Horizon Explorer"/>
        <s v="TideProof Paddle Jacket"/>
        <s v="SwiftStream Adventure"/>
        <s v="AquaFlex Board Shorts"/>
        <s v="TideLock Deck Bag"/>
        <s v="OceanGuard Board Lock"/>
        <s v="SunBask Leisure Paddle"/>
      </sharedItems>
    </cacheField>
    <cacheField name="Qty" numFmtId="0">
      <sharedItems containsSemiMixedTypes="0" containsString="0" containsNumber="1" containsInteger="1" minValue="1" maxValue="5"/>
    </cacheField>
    <cacheField name="Price" numFmtId="165">
      <sharedItems containsSemiMixedTypes="0" containsString="0" containsNumber="1" minValue="15.99" maxValue="1499"/>
    </cacheField>
    <cacheField name="Coupon (Y/N)" numFmtId="0">
      <sharedItems/>
    </cacheField>
    <cacheField name="Coupon Code" numFmtId="0">
      <sharedItems/>
    </cacheField>
    <cacheField name="Coupon %" numFmtId="9">
      <sharedItems containsMixedTypes="1" containsNumber="1" minValue="0.1" maxValue="0.15"/>
    </cacheField>
    <cacheField name="Coupon Amount" numFmtId="165">
      <sharedItems containsSemiMixedTypes="0" containsString="0" containsNumber="1" minValue="0" maxValue="239.70000000000002"/>
    </cacheField>
    <cacheField name="Revenue" numFmtId="165">
      <sharedItems containsSemiMixedTypes="0" containsString="0" containsNumber="1" minValue="14.391" maxValue="5196"/>
    </cacheField>
    <cacheField name="Shipping Time (days)" numFmtId="0">
      <sharedItems containsSemiMixedTypes="0" containsString="0" containsNumber="1" containsInteger="1" minValue="1" maxValue="7"/>
    </cacheField>
    <cacheField name="Order Revenue" numFmtId="165">
      <sharedItems containsMixedTypes="1" containsNumber="1" minValue="17.090999999999998" maxValue="6054.99" count="208">
        <n v="304.94"/>
        <s v=""/>
        <n v="1022.355"/>
        <n v="119.98"/>
        <n v="59.98"/>
        <n v="249"/>
        <n v="18.989999999999998"/>
        <n v="967.95"/>
        <n v="24.99"/>
        <n v="84.96"/>
        <n v="1518.9244999999999"/>
        <n v="4103.95"/>
        <n v="1538.91"/>
        <n v="1596"/>
        <n v="188.05499999999995"/>
        <n v="25.491499999999998"/>
        <n v="65.97"/>
        <n v="396.99"/>
        <n v="585.99"/>
        <n v="399.99"/>
        <n v="1736.95"/>
        <n v="49.99"/>
        <n v="3943.93"/>
        <n v="378"/>
        <n v="695.29149999999993"/>
        <n v="1039.95"/>
        <n v="278.94"/>
        <n v="239.96"/>
        <n v="799"/>
        <n v="59.99"/>
        <n v="638.93000000000006"/>
        <n v="29.99"/>
        <n v="727.97"/>
        <n v="228.93"/>
        <n v="2231.9549999999999"/>
        <n v="699.97"/>
        <n v="935.98"/>
        <n v="379.71899999999999"/>
        <n v="508.92"/>
        <n v="203.96999999999997"/>
        <n v="576.9"/>
        <n v="3286.9799999999996"/>
        <n v="1598"/>
        <n v="540.92000000000007"/>
        <n v="567"/>
        <n v="35.991"/>
        <n v="265.94"/>
        <n v="4497"/>
        <n v="136.97"/>
        <n v="21.99"/>
        <n v="338.95"/>
        <n v="2512.94"/>
        <n v="37.979999999999997"/>
        <n v="78.98"/>
        <n v="1796"/>
        <n v="133.95000000000002"/>
        <n v="189"/>
        <n v="95.98"/>
        <n v="1616.4"/>
        <n v="356.9"/>
        <n v="1347"/>
        <n v="362.93"/>
        <n v="323.94599999999997"/>
        <n v="4642.92"/>
        <n v="69.281999999999996"/>
        <n v="53.991"/>
        <n v="324.95"/>
        <n v="17.090999999999998"/>
        <n v="534.47399999999993"/>
        <n v="858.99"/>
        <n v="680.4"/>
        <n v="1167.98"/>
        <n v="2299.4459999999999"/>
        <n v="724.97"/>
        <n v="84.97"/>
        <n v="1246.482"/>
        <n v="198.96"/>
        <n v="2921.9399999999996"/>
        <n v="515.94000000000005"/>
        <n v="1762.99"/>
        <n v="449"/>
        <n v="1907.95"/>
        <n v="64.989999999999995"/>
        <n v="34.181999999999995"/>
        <n v="1306.98"/>
        <n v="54.99"/>
        <n v="1131.95"/>
        <n v="26.991"/>
        <n v="568.96"/>
        <n v="188.94599999999997"/>
        <n v="279"/>
        <n v="19.790999999999997"/>
        <n v="1396.9"/>
        <n v="115.94999999999999"/>
        <n v="2611.9899999999998"/>
        <n v="895.90000000000009"/>
        <n v="4769.9299999999994"/>
        <n v="898"/>
        <n v="376.92"/>
        <n v="702.96"/>
        <n v="1083.98"/>
        <n v="119.96"/>
        <n v="170.1"/>
        <n v="1666.93"/>
        <n v="259.95999999999998"/>
        <n v="3150.9399999999996"/>
        <n v="398"/>
        <n v="78.281999999999996"/>
        <n v="916.11899999999991"/>
        <n v="79.989999999999995"/>
        <n v="756"/>
        <n v="109.98"/>
        <n v="2764.9199999999996"/>
        <n v="709.98"/>
        <n v="315.92"/>
        <n v="87.96"/>
        <n v="79.98"/>
        <n v="43.98"/>
        <n v="1323"/>
        <n v="638"/>
        <n v="889.173"/>
        <n v="327.15649999999999"/>
        <n v="930.97"/>
        <n v="1266.92"/>
        <n v="243.90999999999997"/>
        <n v="369.9"/>
        <n v="501.91"/>
        <n v="1195.94"/>
        <n v="129.97999999999999"/>
        <n v="1137"/>
        <n v="220.96599999999998"/>
        <n v="777.99"/>
        <n v="719.1"/>
        <n v="1244.97"/>
        <n v="850.95"/>
        <n v="966.99"/>
        <n v="179.1"/>
        <n v="1395"/>
        <n v="90.97"/>
        <n v="4125.95"/>
        <n v="359.94"/>
        <n v="75.98"/>
        <n v="229.96"/>
        <n v="297.87299999999999"/>
        <n v="1026.94"/>
        <n v="1299.9000000000001"/>
        <n v="239.93"/>
        <n v="187.95"/>
        <n v="73.97"/>
        <n v="3394.9300000000003"/>
        <n v="507.89"/>
        <n v="107.964"/>
        <n v="4294.9499999999989"/>
        <n v="159.94"/>
        <n v="79.163999999999987"/>
        <n v="1039.98"/>
        <n v="184.45499999999998"/>
        <n v="1145.92"/>
        <n v="1072.6915000000001"/>
        <n v="53.081999999999994"/>
        <n v="130.95999999999998"/>
        <n v="58.490999999999993"/>
        <n v="164.97"/>
        <n v="4295.95"/>
        <n v="1211.364"/>
        <n v="1890.97"/>
        <n v="101.97999999999999"/>
        <n v="3494.9799999999996"/>
        <n v="839.96"/>
        <n v="219.96"/>
        <n v="761.96"/>
        <n v="1646.98"/>
        <n v="2251.92"/>
        <n v="297.99"/>
        <n v="2303.87"/>
        <n v="22.491"/>
        <n v="836.97"/>
        <n v="1753.98"/>
        <n v="1608.3"/>
        <n v="80.972999999999999"/>
        <n v="585.61599999999999"/>
        <n v="460.9"/>
        <n v="271.95999999999998"/>
        <n v="511.97"/>
        <n v="105.94999999999999"/>
        <n v="1107.96"/>
        <n v="127.96"/>
        <n v="89.97"/>
        <n v="146.95999999999998"/>
        <n v="373.96000000000004"/>
        <n v="4141"/>
        <n v="458.99"/>
        <n v="174.95000000000002"/>
        <n v="6054.99"/>
        <n v="364.92"/>
        <n v="53.981999999999999"/>
        <n v="258.255"/>
        <n v="978.97"/>
        <n v="1677"/>
        <n v="896.4"/>
        <n v="2023.88"/>
        <n v="1673.97"/>
        <n v="1046.96"/>
        <n v="367.19099999999997"/>
        <n v="257.89"/>
        <n v="2716.96"/>
        <n v="285.93"/>
        <n v="253.99"/>
      </sharedItems>
    </cacheField>
    <cacheField name="Day of Week" numFmtId="0">
      <sharedItems/>
    </cacheField>
    <cacheField name="Unique Count" numFmtId="0">
      <sharedItems containsSemiMixedTypes="0" containsString="0" containsNumber="1" minValue="0.16666666666666666" maxValue="1"/>
    </cacheField>
  </cacheFields>
  <extLst>
    <ext xmlns:x14="http://schemas.microsoft.com/office/spreadsheetml/2009/9/main" uri="{725AE2AE-9491-48be-B2B4-4EB974FC3084}">
      <x14:pivotCacheDefinition pivotCacheId="1123758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">
  <r>
    <n v="201897"/>
    <d v="2024-07-13T00:00:00"/>
    <n v="105445"/>
    <n v="300190"/>
    <x v="0"/>
    <x v="0"/>
    <n v="1"/>
    <n v="35.99"/>
    <s v="N"/>
    <s v=""/>
    <s v=""/>
    <n v="0"/>
    <n v="35.99"/>
    <n v="1"/>
    <x v="0"/>
    <s v="Sat"/>
    <n v="0.25"/>
  </r>
  <r>
    <n v="201897"/>
    <d v="2024-07-13T00:00:00"/>
    <n v="105445"/>
    <n v="200549"/>
    <x v="1"/>
    <x v="1"/>
    <n v="1"/>
    <n v="18.989999999999998"/>
    <s v="N"/>
    <s v=""/>
    <s v=""/>
    <n v="0"/>
    <n v="18.989999999999998"/>
    <n v="3"/>
    <x v="1"/>
    <s v="Sat"/>
    <n v="0.25"/>
  </r>
  <r>
    <n v="201897"/>
    <d v="2024-07-13T00:00:00"/>
    <n v="105445"/>
    <n v="200556"/>
    <x v="1"/>
    <x v="2"/>
    <n v="2"/>
    <n v="64.989999999999995"/>
    <s v="N"/>
    <s v=""/>
    <s v=""/>
    <n v="0"/>
    <n v="129.97999999999999"/>
    <n v="1"/>
    <x v="1"/>
    <s v="Sat"/>
    <n v="0.25"/>
  </r>
  <r>
    <n v="201897"/>
    <d v="2024-07-13T00:00:00"/>
    <n v="105445"/>
    <n v="200559"/>
    <x v="1"/>
    <x v="3"/>
    <n v="2"/>
    <n v="59.99"/>
    <s v="N"/>
    <s v=""/>
    <s v=""/>
    <n v="0"/>
    <n v="119.98"/>
    <n v="1"/>
    <x v="1"/>
    <s v="Sat"/>
    <n v="0.25"/>
  </r>
  <r>
    <n v="201898"/>
    <d v="2024-07-19T00:00:00"/>
    <n v="111130"/>
    <n v="100257"/>
    <x v="2"/>
    <x v="4"/>
    <n v="1"/>
    <n v="379"/>
    <s v="Y"/>
    <s v="SUMMER10"/>
    <n v="0.1"/>
    <n v="37.9"/>
    <n v="341.1"/>
    <n v="5"/>
    <x v="2"/>
    <s v="Fri"/>
    <n v="0.25"/>
  </r>
  <r>
    <n v="201898"/>
    <d v="2024-07-19T00:00:00"/>
    <n v="111130"/>
    <n v="100252"/>
    <x v="2"/>
    <x v="5"/>
    <n v="1"/>
    <n v="449"/>
    <s v="Y"/>
    <s v="SUMMER10"/>
    <n v="0.1"/>
    <n v="44.900000000000006"/>
    <n v="404.1"/>
    <n v="6"/>
    <x v="1"/>
    <s v="Fri"/>
    <n v="0.25"/>
  </r>
  <r>
    <n v="201898"/>
    <d v="2024-07-19T00:00:00"/>
    <n v="111130"/>
    <n v="200559"/>
    <x v="1"/>
    <x v="3"/>
    <n v="4"/>
    <n v="59.99"/>
    <s v="Y"/>
    <s v="SUMMER10"/>
    <n v="0.1"/>
    <n v="23.996000000000002"/>
    <n v="215.964"/>
    <n v="4"/>
    <x v="1"/>
    <s v="Fri"/>
    <n v="0.25"/>
  </r>
  <r>
    <n v="201898"/>
    <d v="2024-07-19T00:00:00"/>
    <n v="111130"/>
    <n v="200554"/>
    <x v="1"/>
    <x v="6"/>
    <n v="1"/>
    <n v="67.989999999999995"/>
    <s v="Y"/>
    <s v="SUMMER10"/>
    <n v="0.1"/>
    <n v="6.7989999999999995"/>
    <n v="61.190999999999995"/>
    <n v="4"/>
    <x v="1"/>
    <s v="Fri"/>
    <n v="0.25"/>
  </r>
  <r>
    <n v="201899"/>
    <d v="2024-07-20T00:00:00"/>
    <n v="123092"/>
    <n v="200559"/>
    <x v="1"/>
    <x v="3"/>
    <n v="2"/>
    <n v="59.99"/>
    <s v="N"/>
    <s v=""/>
    <s v=""/>
    <n v="0"/>
    <n v="119.98"/>
    <n v="2"/>
    <x v="3"/>
    <s v="Sat"/>
    <n v="1"/>
  </r>
  <r>
    <n v="201900"/>
    <d v="2024-07-20T00:00:00"/>
    <n v="128381"/>
    <n v="300185"/>
    <x v="0"/>
    <x v="7"/>
    <n v="2"/>
    <n v="29.99"/>
    <s v="N"/>
    <s v=""/>
    <s v=""/>
    <n v="0"/>
    <n v="59.98"/>
    <n v="1"/>
    <x v="4"/>
    <s v="Sat"/>
    <n v="1"/>
  </r>
  <r>
    <n v="201901"/>
    <d v="2024-07-19T00:00:00"/>
    <n v="105822"/>
    <n v="100249"/>
    <x v="2"/>
    <x v="8"/>
    <n v="1"/>
    <n v="249"/>
    <s v="N"/>
    <s v=""/>
    <s v=""/>
    <n v="0"/>
    <n v="249"/>
    <n v="3"/>
    <x v="5"/>
    <s v="Fri"/>
    <n v="1"/>
  </r>
  <r>
    <n v="201902"/>
    <d v="2024-07-13T00:00:00"/>
    <n v="115778"/>
    <n v="200549"/>
    <x v="1"/>
    <x v="1"/>
    <n v="1"/>
    <n v="18.989999999999998"/>
    <s v="N"/>
    <s v=""/>
    <s v=""/>
    <n v="0"/>
    <n v="18.989999999999998"/>
    <n v="3"/>
    <x v="6"/>
    <s v="Sat"/>
    <n v="1"/>
  </r>
  <r>
    <n v="201903"/>
    <d v="2024-07-19T00:00:00"/>
    <n v="105996"/>
    <n v="200559"/>
    <x v="1"/>
    <x v="3"/>
    <n v="1"/>
    <n v="59.99"/>
    <s v="N"/>
    <s v=""/>
    <s v=""/>
    <n v="0"/>
    <n v="59.99"/>
    <n v="4"/>
    <x v="7"/>
    <s v="Fri"/>
    <n v="0.25"/>
  </r>
  <r>
    <n v="201903"/>
    <d v="2024-07-19T00:00:00"/>
    <n v="105996"/>
    <n v="100254"/>
    <x v="2"/>
    <x v="9"/>
    <n v="1"/>
    <n v="799"/>
    <s v="N"/>
    <s v=""/>
    <s v=""/>
    <n v="0"/>
    <n v="799"/>
    <n v="3"/>
    <x v="1"/>
    <s v="Fri"/>
    <n v="0.25"/>
  </r>
  <r>
    <n v="201903"/>
    <d v="2024-07-19T00:00:00"/>
    <n v="105996"/>
    <n v="200549"/>
    <x v="1"/>
    <x v="1"/>
    <n v="1"/>
    <n v="18.989999999999998"/>
    <s v="N"/>
    <s v=""/>
    <s v=""/>
    <n v="0"/>
    <n v="18.989999999999998"/>
    <n v="3"/>
    <x v="1"/>
    <s v="Fri"/>
    <n v="0.25"/>
  </r>
  <r>
    <n v="201903"/>
    <d v="2024-07-19T00:00:00"/>
    <n v="105996"/>
    <n v="300185"/>
    <x v="0"/>
    <x v="7"/>
    <n v="3"/>
    <n v="29.99"/>
    <s v="N"/>
    <s v=""/>
    <s v=""/>
    <n v="0"/>
    <n v="89.97"/>
    <n v="1"/>
    <x v="1"/>
    <s v="Fri"/>
    <n v="0.25"/>
  </r>
  <r>
    <n v="201904"/>
    <d v="2024-07-19T00:00:00"/>
    <n v="103720"/>
    <n v="300189"/>
    <x v="0"/>
    <x v="10"/>
    <n v="1"/>
    <n v="24.99"/>
    <s v="N"/>
    <s v=""/>
    <s v=""/>
    <n v="0"/>
    <n v="24.99"/>
    <n v="1"/>
    <x v="8"/>
    <s v="Fri"/>
    <n v="1"/>
  </r>
  <r>
    <n v="201905"/>
    <d v="2024-07-18T00:00:00"/>
    <n v="113232"/>
    <n v="200549"/>
    <x v="1"/>
    <x v="1"/>
    <n v="1"/>
    <n v="18.989999999999998"/>
    <s v="N"/>
    <s v=""/>
    <s v=""/>
    <n v="0"/>
    <n v="18.989999999999998"/>
    <n v="1"/>
    <x v="9"/>
    <s v="Thu"/>
    <n v="0.5"/>
  </r>
  <r>
    <n v="201905"/>
    <d v="2024-07-18T00:00:00"/>
    <n v="113232"/>
    <n v="300191"/>
    <x v="0"/>
    <x v="11"/>
    <n v="3"/>
    <n v="21.99"/>
    <s v="N"/>
    <s v=""/>
    <s v=""/>
    <n v="0"/>
    <n v="65.97"/>
    <n v="3"/>
    <x v="1"/>
    <s v="Thu"/>
    <n v="0.5"/>
  </r>
  <r>
    <n v="201906"/>
    <d v="2024-07-18T00:00:00"/>
    <n v="106364"/>
    <n v="100252"/>
    <x v="2"/>
    <x v="5"/>
    <n v="1"/>
    <n v="449"/>
    <s v="Y"/>
    <s v="PADDLE15"/>
    <n v="0.15"/>
    <n v="67.349999999999994"/>
    <n v="381.65"/>
    <n v="5"/>
    <x v="10"/>
    <s v="Thu"/>
    <n v="0.2"/>
  </r>
  <r>
    <n v="201906"/>
    <d v="2024-07-18T00:00:00"/>
    <n v="106364"/>
    <n v="100252"/>
    <x v="2"/>
    <x v="5"/>
    <n v="1"/>
    <n v="449"/>
    <s v="Y"/>
    <s v="PADDLE15"/>
    <n v="0.15"/>
    <n v="67.349999999999994"/>
    <n v="381.65"/>
    <n v="5"/>
    <x v="1"/>
    <s v="Thu"/>
    <n v="0.2"/>
  </r>
  <r>
    <n v="201906"/>
    <d v="2024-07-18T00:00:00"/>
    <n v="106364"/>
    <n v="300185"/>
    <x v="0"/>
    <x v="7"/>
    <n v="2"/>
    <n v="29.99"/>
    <s v="Y"/>
    <s v="PADDLE15"/>
    <n v="0.15"/>
    <n v="8.9969999999999999"/>
    <n v="50.982999999999997"/>
    <n v="1"/>
    <x v="1"/>
    <s v="Thu"/>
    <n v="0.2"/>
  </r>
  <r>
    <n v="201906"/>
    <d v="2024-07-18T00:00:00"/>
    <n v="106364"/>
    <n v="300185"/>
    <x v="0"/>
    <x v="7"/>
    <n v="1"/>
    <n v="29.99"/>
    <s v="Y"/>
    <s v="PADDLE15"/>
    <n v="0.15"/>
    <n v="4.4984999999999999"/>
    <n v="25.491499999999998"/>
    <n v="1"/>
    <x v="1"/>
    <s v="Thu"/>
    <n v="0.2"/>
  </r>
  <r>
    <n v="201906"/>
    <d v="2024-07-18T00:00:00"/>
    <n v="106364"/>
    <n v="100254"/>
    <x v="2"/>
    <x v="9"/>
    <n v="1"/>
    <n v="799"/>
    <s v="Y"/>
    <s v="PADDLE15"/>
    <n v="0.15"/>
    <n v="119.85"/>
    <n v="679.15"/>
    <n v="4"/>
    <x v="1"/>
    <s v="Thu"/>
    <n v="0.2"/>
  </r>
  <r>
    <n v="201907"/>
    <d v="2024-07-20T00:00:00"/>
    <n v="122525"/>
    <n v="200558"/>
    <x v="1"/>
    <x v="12"/>
    <n v="1"/>
    <n v="18.989999999999998"/>
    <s v="N"/>
    <s v=""/>
    <s v=""/>
    <n v="0"/>
    <n v="18.989999999999998"/>
    <n v="3"/>
    <x v="11"/>
    <s v="Sat"/>
    <n v="0.16666666666666666"/>
  </r>
  <r>
    <n v="201907"/>
    <d v="2024-07-20T00:00:00"/>
    <n v="122525"/>
    <n v="300185"/>
    <x v="0"/>
    <x v="7"/>
    <n v="1"/>
    <n v="29.99"/>
    <s v="N"/>
    <s v=""/>
    <s v=""/>
    <n v="0"/>
    <n v="29.99"/>
    <n v="3"/>
    <x v="1"/>
    <s v="Sat"/>
    <n v="0.16666666666666666"/>
  </r>
  <r>
    <n v="201907"/>
    <d v="2024-07-20T00:00:00"/>
    <n v="122525"/>
    <n v="300191"/>
    <x v="0"/>
    <x v="11"/>
    <n v="1"/>
    <n v="21.99"/>
    <s v="N"/>
    <s v=""/>
    <s v=""/>
    <n v="0"/>
    <n v="21.99"/>
    <n v="3"/>
    <x v="1"/>
    <s v="Sat"/>
    <n v="0.16666666666666666"/>
  </r>
  <r>
    <n v="201907"/>
    <d v="2024-07-20T00:00:00"/>
    <n v="122525"/>
    <n v="200549"/>
    <x v="1"/>
    <x v="1"/>
    <n v="1"/>
    <n v="18.989999999999998"/>
    <s v="N"/>
    <s v=""/>
    <s v=""/>
    <n v="0"/>
    <n v="18.989999999999998"/>
    <n v="2"/>
    <x v="1"/>
    <s v="Sat"/>
    <n v="0.16666666666666666"/>
  </r>
  <r>
    <n v="201907"/>
    <d v="2024-07-20T00:00:00"/>
    <n v="122525"/>
    <n v="100254"/>
    <x v="2"/>
    <x v="9"/>
    <n v="5"/>
    <n v="799"/>
    <s v="N"/>
    <s v=""/>
    <s v=""/>
    <n v="0"/>
    <n v="3995"/>
    <n v="6"/>
    <x v="1"/>
    <s v="Sat"/>
    <n v="0.16666666666666666"/>
  </r>
  <r>
    <n v="201907"/>
    <d v="2024-07-20T00:00:00"/>
    <n v="122525"/>
    <n v="200549"/>
    <x v="1"/>
    <x v="1"/>
    <n v="1"/>
    <n v="18.989999999999998"/>
    <s v="N"/>
    <s v=""/>
    <s v=""/>
    <n v="0"/>
    <n v="18.989999999999998"/>
    <n v="3"/>
    <x v="1"/>
    <s v="Sat"/>
    <n v="0.16666666666666666"/>
  </r>
  <r>
    <n v="201908"/>
    <d v="2024-07-12T00:00:00"/>
    <n v="115825"/>
    <n v="300191"/>
    <x v="0"/>
    <x v="11"/>
    <n v="1"/>
    <n v="21.99"/>
    <s v="N"/>
    <s v=""/>
    <s v=""/>
    <n v="0"/>
    <n v="21.99"/>
    <n v="3"/>
    <x v="12"/>
    <s v="Fri"/>
    <n v="0.2"/>
  </r>
  <r>
    <n v="201908"/>
    <d v="2024-07-12T00:00:00"/>
    <n v="115825"/>
    <n v="100254"/>
    <x v="2"/>
    <x v="9"/>
    <n v="1"/>
    <n v="799"/>
    <s v="N"/>
    <s v=""/>
    <s v=""/>
    <n v="0"/>
    <n v="799"/>
    <n v="2"/>
    <x v="1"/>
    <s v="Fri"/>
    <n v="0.2"/>
  </r>
  <r>
    <n v="201908"/>
    <d v="2024-07-12T00:00:00"/>
    <n v="115825"/>
    <n v="200557"/>
    <x v="1"/>
    <x v="13"/>
    <n v="5"/>
    <n v="129.99"/>
    <s v="N"/>
    <s v=""/>
    <s v=""/>
    <n v="0"/>
    <n v="649.95000000000005"/>
    <n v="3"/>
    <x v="1"/>
    <s v="Fri"/>
    <n v="0.2"/>
  </r>
  <r>
    <n v="201908"/>
    <d v="2024-07-12T00:00:00"/>
    <n v="115825"/>
    <n v="200558"/>
    <x v="1"/>
    <x v="12"/>
    <n v="2"/>
    <n v="18.989999999999998"/>
    <s v="N"/>
    <s v=""/>
    <s v=""/>
    <n v="0"/>
    <n v="37.979999999999997"/>
    <n v="2"/>
    <x v="1"/>
    <s v="Fri"/>
    <n v="0.2"/>
  </r>
  <r>
    <n v="201908"/>
    <d v="2024-07-12T00:00:00"/>
    <n v="115825"/>
    <n v="300185"/>
    <x v="0"/>
    <x v="7"/>
    <n v="1"/>
    <n v="29.99"/>
    <s v="N"/>
    <s v=""/>
    <s v=""/>
    <n v="0"/>
    <n v="29.99"/>
    <n v="1"/>
    <x v="1"/>
    <s v="Fri"/>
    <n v="0.2"/>
  </r>
  <r>
    <n v="201909"/>
    <d v="2024-07-08T00:00:00"/>
    <n v="126252"/>
    <n v="100251"/>
    <x v="2"/>
    <x v="14"/>
    <n v="4"/>
    <n v="399"/>
    <s v="N"/>
    <s v=""/>
    <s v=""/>
    <n v="0"/>
    <n v="1596"/>
    <n v="2"/>
    <x v="13"/>
    <s v="Mon"/>
    <n v="1"/>
  </r>
  <r>
    <n v="201910"/>
    <d v="2024-07-20T00:00:00"/>
    <n v="122064"/>
    <n v="200549"/>
    <x v="1"/>
    <x v="1"/>
    <n v="1"/>
    <n v="18.989999999999998"/>
    <s v="Y"/>
    <s v="SUMMER10"/>
    <n v="0.1"/>
    <n v="1.899"/>
    <n v="17.090999999999998"/>
    <n v="2"/>
    <x v="14"/>
    <s v="Sat"/>
    <n v="0.25"/>
  </r>
  <r>
    <n v="201910"/>
    <d v="2024-07-20T00:00:00"/>
    <n v="122064"/>
    <n v="200553"/>
    <x v="1"/>
    <x v="15"/>
    <n v="1"/>
    <n v="29.99"/>
    <s v="Y"/>
    <s v="SUMMER10"/>
    <n v="0.1"/>
    <n v="2.9990000000000001"/>
    <n v="26.991"/>
    <n v="4"/>
    <x v="1"/>
    <s v="Sat"/>
    <n v="0.25"/>
  </r>
  <r>
    <n v="201910"/>
    <d v="2024-07-20T00:00:00"/>
    <n v="122064"/>
    <n v="200556"/>
    <x v="1"/>
    <x v="2"/>
    <n v="2"/>
    <n v="64.989999999999995"/>
    <s v="Y"/>
    <s v="SUMMER10"/>
    <n v="0.1"/>
    <n v="12.997999999999999"/>
    <n v="116.98199999999999"/>
    <n v="2"/>
    <x v="1"/>
    <s v="Sat"/>
    <n v="0.25"/>
  </r>
  <r>
    <n v="201910"/>
    <d v="2024-07-20T00:00:00"/>
    <n v="122064"/>
    <n v="300185"/>
    <x v="0"/>
    <x v="7"/>
    <n v="1"/>
    <n v="29.99"/>
    <s v="Y"/>
    <s v="SUMMER10"/>
    <n v="0.1"/>
    <n v="2.9990000000000001"/>
    <n v="26.991"/>
    <n v="3"/>
    <x v="1"/>
    <s v="Sat"/>
    <n v="0.25"/>
  </r>
  <r>
    <n v="201911"/>
    <d v="2024-07-19T00:00:00"/>
    <n v="115090"/>
    <n v="300185"/>
    <x v="0"/>
    <x v="7"/>
    <n v="1"/>
    <n v="29.99"/>
    <s v="Y"/>
    <s v="PADDLE15"/>
    <n v="0.15"/>
    <n v="4.4984999999999999"/>
    <n v="25.491499999999998"/>
    <n v="3"/>
    <x v="15"/>
    <s v="Fri"/>
    <n v="1"/>
  </r>
  <r>
    <n v="201912"/>
    <d v="2024-07-08T00:00:00"/>
    <n v="117897"/>
    <n v="300191"/>
    <x v="0"/>
    <x v="11"/>
    <n v="3"/>
    <n v="21.99"/>
    <s v="N"/>
    <s v=""/>
    <s v=""/>
    <n v="0"/>
    <n v="65.97"/>
    <n v="2"/>
    <x v="16"/>
    <s v="Mon"/>
    <n v="1"/>
  </r>
  <r>
    <n v="201913"/>
    <d v="2024-07-10T00:00:00"/>
    <n v="125487"/>
    <n v="100250"/>
    <x v="2"/>
    <x v="16"/>
    <n v="2"/>
    <n v="189"/>
    <s v="N"/>
    <s v=""/>
    <s v=""/>
    <n v="0"/>
    <n v="378"/>
    <n v="4"/>
    <x v="17"/>
    <s v="Wed"/>
    <n v="0.5"/>
  </r>
  <r>
    <n v="201913"/>
    <d v="2024-07-10T00:00:00"/>
    <n v="125487"/>
    <n v="200549"/>
    <x v="1"/>
    <x v="1"/>
    <n v="1"/>
    <n v="18.989999999999998"/>
    <s v="N"/>
    <s v=""/>
    <s v=""/>
    <n v="0"/>
    <n v="18.989999999999998"/>
    <n v="1"/>
    <x v="1"/>
    <s v="Wed"/>
    <n v="0.5"/>
  </r>
  <r>
    <n v="201914"/>
    <d v="2024-07-10T00:00:00"/>
    <n v="103523"/>
    <n v="100250"/>
    <x v="2"/>
    <x v="16"/>
    <n v="3"/>
    <n v="189"/>
    <s v="N"/>
    <s v=""/>
    <s v=""/>
    <n v="0"/>
    <n v="567"/>
    <n v="5"/>
    <x v="18"/>
    <s v="Wed"/>
    <n v="0.5"/>
  </r>
  <r>
    <n v="201914"/>
    <d v="2024-07-10T00:00:00"/>
    <n v="103523"/>
    <n v="200549"/>
    <x v="1"/>
    <x v="1"/>
    <n v="1"/>
    <n v="18.989999999999998"/>
    <s v="N"/>
    <s v=""/>
    <s v=""/>
    <n v="0"/>
    <n v="18.989999999999998"/>
    <n v="1"/>
    <x v="1"/>
    <s v="Wed"/>
    <n v="0.5"/>
  </r>
  <r>
    <n v="201915"/>
    <d v="2024-07-10T00:00:00"/>
    <n v="108247"/>
    <n v="100250"/>
    <x v="2"/>
    <x v="16"/>
    <n v="2"/>
    <n v="189"/>
    <s v="N"/>
    <s v=""/>
    <s v=""/>
    <n v="0"/>
    <n v="378"/>
    <n v="5"/>
    <x v="19"/>
    <s v="Wed"/>
    <n v="0.5"/>
  </r>
  <r>
    <n v="201915"/>
    <d v="2024-07-10T00:00:00"/>
    <n v="108247"/>
    <n v="300191"/>
    <x v="0"/>
    <x v="11"/>
    <n v="1"/>
    <n v="21.99"/>
    <s v="N"/>
    <s v=""/>
    <s v=""/>
    <n v="0"/>
    <n v="21.99"/>
    <n v="3"/>
    <x v="1"/>
    <s v="Wed"/>
    <n v="0.5"/>
  </r>
  <r>
    <n v="201916"/>
    <d v="2024-07-19T00:00:00"/>
    <n v="123744"/>
    <n v="300185"/>
    <x v="0"/>
    <x v="7"/>
    <n v="1"/>
    <n v="29.99"/>
    <s v="N"/>
    <s v=""/>
    <s v=""/>
    <n v="0"/>
    <n v="29.99"/>
    <n v="2"/>
    <x v="20"/>
    <s v="Fri"/>
    <n v="0.2"/>
  </r>
  <r>
    <n v="201916"/>
    <d v="2024-07-19T00:00:00"/>
    <n v="123744"/>
    <n v="300185"/>
    <x v="0"/>
    <x v="7"/>
    <n v="2"/>
    <n v="29.99"/>
    <s v="N"/>
    <s v=""/>
    <s v=""/>
    <n v="0"/>
    <n v="59.98"/>
    <n v="4"/>
    <x v="1"/>
    <s v="Fri"/>
    <n v="0.2"/>
  </r>
  <r>
    <n v="201916"/>
    <d v="2024-07-19T00:00:00"/>
    <n v="123744"/>
    <n v="100254"/>
    <x v="2"/>
    <x v="9"/>
    <n v="2"/>
    <n v="799"/>
    <s v="N"/>
    <s v=""/>
    <s v=""/>
    <n v="0"/>
    <n v="1598"/>
    <n v="3"/>
    <x v="1"/>
    <s v="Fri"/>
    <n v="0.2"/>
  </r>
  <r>
    <n v="201916"/>
    <d v="2024-07-19T00:00:00"/>
    <n v="123744"/>
    <n v="300185"/>
    <x v="0"/>
    <x v="7"/>
    <n v="1"/>
    <n v="29.99"/>
    <s v="N"/>
    <s v=""/>
    <s v=""/>
    <n v="0"/>
    <n v="29.99"/>
    <n v="1"/>
    <x v="1"/>
    <s v="Fri"/>
    <n v="0.2"/>
  </r>
  <r>
    <n v="201916"/>
    <d v="2024-07-19T00:00:00"/>
    <n v="123744"/>
    <n v="200558"/>
    <x v="1"/>
    <x v="12"/>
    <n v="1"/>
    <n v="18.989999999999998"/>
    <s v="N"/>
    <s v=""/>
    <s v=""/>
    <n v="0"/>
    <n v="18.989999999999998"/>
    <n v="4"/>
    <x v="1"/>
    <s v="Fri"/>
    <n v="0.2"/>
  </r>
  <r>
    <n v="201917"/>
    <d v="2024-07-09T00:00:00"/>
    <n v="122370"/>
    <n v="200549"/>
    <x v="1"/>
    <x v="1"/>
    <n v="1"/>
    <n v="18.989999999999998"/>
    <s v="N"/>
    <s v=""/>
    <s v=""/>
    <n v="0"/>
    <n v="18.989999999999998"/>
    <n v="2"/>
    <x v="6"/>
    <s v="Tue"/>
    <n v="1"/>
  </r>
  <r>
    <n v="201918"/>
    <d v="2024-07-19T00:00:00"/>
    <n v="121115"/>
    <n v="200549"/>
    <x v="1"/>
    <x v="1"/>
    <n v="1"/>
    <n v="18.989999999999998"/>
    <s v="N"/>
    <s v=""/>
    <s v=""/>
    <n v="0"/>
    <n v="18.989999999999998"/>
    <n v="2"/>
    <x v="6"/>
    <s v="Fri"/>
    <n v="1"/>
  </r>
  <r>
    <n v="201919"/>
    <d v="2024-07-19T00:00:00"/>
    <n v="112988"/>
    <n v="200552"/>
    <x v="1"/>
    <x v="17"/>
    <n v="1"/>
    <n v="49.99"/>
    <s v="N"/>
    <s v=""/>
    <s v=""/>
    <n v="0"/>
    <n v="49.99"/>
    <n v="1"/>
    <x v="21"/>
    <s v="Fri"/>
    <n v="1"/>
  </r>
  <r>
    <n v="201920"/>
    <d v="2024-07-19T00:00:00"/>
    <n v="110914"/>
    <n v="300191"/>
    <x v="0"/>
    <x v="11"/>
    <n v="1"/>
    <n v="21.99"/>
    <s v="N"/>
    <s v=""/>
    <s v=""/>
    <n v="0"/>
    <n v="21.99"/>
    <n v="3"/>
    <x v="22"/>
    <s v="Fri"/>
    <n v="0.16666666666666666"/>
  </r>
  <r>
    <n v="201920"/>
    <d v="2024-07-19T00:00:00"/>
    <n v="110914"/>
    <n v="200549"/>
    <x v="1"/>
    <x v="1"/>
    <n v="3"/>
    <n v="18.989999999999998"/>
    <s v="N"/>
    <s v=""/>
    <s v=""/>
    <n v="0"/>
    <n v="56.97"/>
    <n v="2"/>
    <x v="1"/>
    <s v="Fri"/>
    <n v="0.16666666666666666"/>
  </r>
  <r>
    <n v="201920"/>
    <d v="2024-07-19T00:00:00"/>
    <n v="110914"/>
    <n v="100256"/>
    <x v="2"/>
    <x v="18"/>
    <n v="2"/>
    <n v="1499"/>
    <s v="N"/>
    <s v=""/>
    <s v=""/>
    <n v="0"/>
    <n v="2998"/>
    <n v="3"/>
    <x v="1"/>
    <s v="Fri"/>
    <n v="0.16666666666666666"/>
  </r>
  <r>
    <n v="201920"/>
    <d v="2024-07-19T00:00:00"/>
    <n v="110914"/>
    <n v="300185"/>
    <x v="0"/>
    <x v="7"/>
    <n v="1"/>
    <n v="29.99"/>
    <s v="N"/>
    <s v=""/>
    <s v=""/>
    <n v="0"/>
    <n v="29.99"/>
    <n v="4"/>
    <x v="1"/>
    <s v="Fri"/>
    <n v="0.16666666666666666"/>
  </r>
  <r>
    <n v="201920"/>
    <d v="2024-07-19T00:00:00"/>
    <n v="110914"/>
    <n v="200549"/>
    <x v="1"/>
    <x v="1"/>
    <n v="2"/>
    <n v="18.989999999999998"/>
    <s v="N"/>
    <s v=""/>
    <s v=""/>
    <n v="0"/>
    <n v="37.979999999999997"/>
    <n v="2"/>
    <x v="1"/>
    <s v="Fri"/>
    <n v="0.16666666666666666"/>
  </r>
  <r>
    <n v="201920"/>
    <d v="2024-07-19T00:00:00"/>
    <n v="110914"/>
    <n v="100254"/>
    <x v="2"/>
    <x v="9"/>
    <n v="1"/>
    <n v="799"/>
    <s v="N"/>
    <s v=""/>
    <s v=""/>
    <n v="0"/>
    <n v="799"/>
    <n v="7"/>
    <x v="1"/>
    <s v="Fri"/>
    <n v="0.16666666666666666"/>
  </r>
  <r>
    <n v="201921"/>
    <d v="2024-07-19T00:00:00"/>
    <n v="117258"/>
    <n v="100250"/>
    <x v="2"/>
    <x v="16"/>
    <n v="2"/>
    <n v="189"/>
    <s v="N"/>
    <s v=""/>
    <s v=""/>
    <n v="0"/>
    <n v="378"/>
    <n v="4"/>
    <x v="23"/>
    <s v="Fri"/>
    <n v="1"/>
  </r>
  <r>
    <n v="201922"/>
    <d v="2024-07-19T00:00:00"/>
    <n v="125069"/>
    <n v="200549"/>
    <x v="1"/>
    <x v="1"/>
    <n v="1"/>
    <n v="18.989999999999998"/>
    <s v="Y"/>
    <s v="PADDLE15"/>
    <n v="0.15"/>
    <n v="2.8484999999999996"/>
    <n v="16.141500000000001"/>
    <n v="2"/>
    <x v="24"/>
    <s v="Fri"/>
    <n v="0.5"/>
  </r>
  <r>
    <n v="201922"/>
    <d v="2024-07-19T00:00:00"/>
    <n v="125069"/>
    <n v="100254"/>
    <x v="2"/>
    <x v="9"/>
    <n v="1"/>
    <n v="799"/>
    <s v="Y"/>
    <s v="PADDLE15"/>
    <n v="0.15"/>
    <n v="119.85"/>
    <n v="679.15"/>
    <n v="4"/>
    <x v="1"/>
    <s v="Fri"/>
    <n v="0.5"/>
  </r>
  <r>
    <n v="201923"/>
    <d v="2024-07-12T00:00:00"/>
    <n v="109303"/>
    <n v="200550"/>
    <x v="1"/>
    <x v="19"/>
    <n v="1"/>
    <n v="15.99"/>
    <s v="N"/>
    <s v=""/>
    <s v=""/>
    <n v="0"/>
    <n v="15.99"/>
    <n v="1"/>
    <x v="25"/>
    <s v="Fri"/>
    <n v="0.25"/>
  </r>
  <r>
    <n v="201923"/>
    <d v="2024-07-12T00:00:00"/>
    <n v="109303"/>
    <n v="100254"/>
    <x v="2"/>
    <x v="9"/>
    <n v="1"/>
    <n v="799"/>
    <s v="N"/>
    <s v=""/>
    <s v=""/>
    <n v="0"/>
    <n v="799"/>
    <n v="6"/>
    <x v="1"/>
    <s v="Fri"/>
    <n v="0.25"/>
  </r>
  <r>
    <n v="201923"/>
    <d v="2024-07-12T00:00:00"/>
    <n v="109303"/>
    <n v="300185"/>
    <x v="0"/>
    <x v="7"/>
    <n v="1"/>
    <n v="29.99"/>
    <s v="N"/>
    <s v=""/>
    <s v=""/>
    <n v="0"/>
    <n v="29.99"/>
    <n v="2"/>
    <x v="1"/>
    <s v="Fri"/>
    <n v="0.25"/>
  </r>
  <r>
    <n v="201923"/>
    <d v="2024-07-12T00:00:00"/>
    <n v="109303"/>
    <n v="200556"/>
    <x v="1"/>
    <x v="2"/>
    <n v="3"/>
    <n v="64.989999999999995"/>
    <s v="N"/>
    <s v=""/>
    <s v=""/>
    <n v="0"/>
    <n v="194.96999999999997"/>
    <n v="2"/>
    <x v="1"/>
    <s v="Fri"/>
    <n v="0.25"/>
  </r>
  <r>
    <n v="201924"/>
    <d v="2024-07-21T00:00:00"/>
    <n v="128827"/>
    <n v="300187"/>
    <x v="0"/>
    <x v="20"/>
    <n v="1"/>
    <n v="54.99"/>
    <s v="N"/>
    <s v=""/>
    <s v=""/>
    <n v="0"/>
    <n v="54.99"/>
    <n v="4"/>
    <x v="26"/>
    <s v="Sun"/>
    <n v="0.25"/>
  </r>
  <r>
    <n v="201924"/>
    <d v="2024-07-21T00:00:00"/>
    <n v="128827"/>
    <n v="200559"/>
    <x v="1"/>
    <x v="3"/>
    <n v="2"/>
    <n v="59.99"/>
    <s v="N"/>
    <s v=""/>
    <s v=""/>
    <n v="0"/>
    <n v="119.98"/>
    <n v="2"/>
    <x v="1"/>
    <s v="Sun"/>
    <n v="0.25"/>
  </r>
  <r>
    <n v="201924"/>
    <d v="2024-07-21T00:00:00"/>
    <n v="128827"/>
    <n v="200559"/>
    <x v="1"/>
    <x v="3"/>
    <n v="1"/>
    <n v="59.99"/>
    <s v="N"/>
    <s v=""/>
    <s v=""/>
    <n v="0"/>
    <n v="59.99"/>
    <n v="1"/>
    <x v="1"/>
    <s v="Sun"/>
    <n v="0.25"/>
  </r>
  <r>
    <n v="201924"/>
    <d v="2024-07-21T00:00:00"/>
    <n v="128827"/>
    <n v="300191"/>
    <x v="0"/>
    <x v="11"/>
    <n v="2"/>
    <n v="21.99"/>
    <s v="N"/>
    <s v=""/>
    <s v=""/>
    <n v="0"/>
    <n v="43.98"/>
    <n v="3"/>
    <x v="1"/>
    <s v="Sun"/>
    <n v="0.25"/>
  </r>
  <r>
    <n v="201925"/>
    <d v="2024-07-13T00:00:00"/>
    <n v="112270"/>
    <n v="200559"/>
    <x v="1"/>
    <x v="3"/>
    <n v="4"/>
    <n v="59.99"/>
    <s v="N"/>
    <s v=""/>
    <s v=""/>
    <n v="0"/>
    <n v="239.96"/>
    <n v="3"/>
    <x v="27"/>
    <s v="Sat"/>
    <n v="1"/>
  </r>
  <r>
    <n v="201926"/>
    <d v="2024-07-11T00:00:00"/>
    <n v="103744"/>
    <n v="100254"/>
    <x v="2"/>
    <x v="9"/>
    <n v="1"/>
    <n v="799"/>
    <s v="N"/>
    <s v=""/>
    <s v=""/>
    <n v="0"/>
    <n v="799"/>
    <n v="3"/>
    <x v="28"/>
    <s v="Thu"/>
    <n v="1"/>
  </r>
  <r>
    <n v="201927"/>
    <d v="2024-07-12T00:00:00"/>
    <n v="109372"/>
    <n v="200559"/>
    <x v="1"/>
    <x v="3"/>
    <n v="1"/>
    <n v="59.99"/>
    <s v="N"/>
    <s v=""/>
    <s v=""/>
    <n v="0"/>
    <n v="59.99"/>
    <n v="4"/>
    <x v="29"/>
    <s v="Fri"/>
    <n v="1"/>
  </r>
  <r>
    <n v="201928"/>
    <d v="2024-07-19T00:00:00"/>
    <n v="121811"/>
    <n v="100251"/>
    <x v="2"/>
    <x v="14"/>
    <n v="1"/>
    <n v="399"/>
    <s v="N"/>
    <s v=""/>
    <s v=""/>
    <n v="0"/>
    <n v="399"/>
    <n v="3"/>
    <x v="30"/>
    <s v="Fri"/>
    <n v="0.25"/>
  </r>
  <r>
    <n v="201928"/>
    <d v="2024-07-19T00:00:00"/>
    <n v="121811"/>
    <n v="300185"/>
    <x v="0"/>
    <x v="7"/>
    <n v="1"/>
    <n v="29.99"/>
    <s v="N"/>
    <s v=""/>
    <s v=""/>
    <n v="0"/>
    <n v="29.99"/>
    <n v="2"/>
    <x v="1"/>
    <s v="Fri"/>
    <n v="0.25"/>
  </r>
  <r>
    <n v="201928"/>
    <d v="2024-07-19T00:00:00"/>
    <n v="121811"/>
    <n v="200559"/>
    <x v="1"/>
    <x v="3"/>
    <n v="1"/>
    <n v="59.99"/>
    <s v="N"/>
    <s v=""/>
    <s v=""/>
    <n v="0"/>
    <n v="59.99"/>
    <n v="4"/>
    <x v="1"/>
    <s v="Fri"/>
    <n v="0.25"/>
  </r>
  <r>
    <n v="201928"/>
    <d v="2024-07-19T00:00:00"/>
    <n v="121811"/>
    <n v="300185"/>
    <x v="0"/>
    <x v="7"/>
    <n v="5"/>
    <n v="29.99"/>
    <s v="N"/>
    <s v=""/>
    <s v=""/>
    <n v="0"/>
    <n v="149.94999999999999"/>
    <n v="3"/>
    <x v="1"/>
    <s v="Fri"/>
    <n v="0.25"/>
  </r>
  <r>
    <n v="201929"/>
    <d v="2024-07-20T00:00:00"/>
    <n v="105170"/>
    <n v="200553"/>
    <x v="1"/>
    <x v="15"/>
    <n v="1"/>
    <n v="29.99"/>
    <s v="N"/>
    <s v=""/>
    <s v=""/>
    <n v="0"/>
    <n v="29.99"/>
    <n v="4"/>
    <x v="31"/>
    <s v="Sat"/>
    <n v="1"/>
  </r>
  <r>
    <n v="201930"/>
    <d v="2024-07-11T00:00:00"/>
    <n v="106328"/>
    <n v="300185"/>
    <x v="0"/>
    <x v="7"/>
    <n v="1"/>
    <n v="29.99"/>
    <s v="N"/>
    <s v=""/>
    <s v=""/>
    <n v="0"/>
    <n v="29.99"/>
    <n v="4"/>
    <x v="32"/>
    <s v="Thu"/>
    <n v="0.2"/>
  </r>
  <r>
    <n v="201930"/>
    <d v="2024-07-11T00:00:00"/>
    <n v="106328"/>
    <n v="100252"/>
    <x v="2"/>
    <x v="5"/>
    <n v="1"/>
    <n v="449"/>
    <s v="N"/>
    <s v=""/>
    <s v=""/>
    <n v="0"/>
    <n v="449"/>
    <n v="7"/>
    <x v="1"/>
    <s v="Thu"/>
    <n v="0.2"/>
  </r>
  <r>
    <n v="201930"/>
    <d v="2024-07-11T00:00:00"/>
    <n v="106328"/>
    <n v="100250"/>
    <x v="2"/>
    <x v="16"/>
    <n v="1"/>
    <n v="189"/>
    <s v="N"/>
    <s v=""/>
    <s v=""/>
    <n v="0"/>
    <n v="189"/>
    <n v="6"/>
    <x v="1"/>
    <s v="Thu"/>
    <n v="0.2"/>
  </r>
  <r>
    <n v="201930"/>
    <d v="2024-07-11T00:00:00"/>
    <n v="106328"/>
    <n v="300185"/>
    <x v="0"/>
    <x v="7"/>
    <n v="1"/>
    <n v="29.99"/>
    <s v="N"/>
    <s v=""/>
    <s v=""/>
    <n v="0"/>
    <n v="29.99"/>
    <n v="3"/>
    <x v="1"/>
    <s v="Thu"/>
    <n v="0.2"/>
  </r>
  <r>
    <n v="201930"/>
    <d v="2024-07-11T00:00:00"/>
    <n v="106328"/>
    <n v="300185"/>
    <x v="0"/>
    <x v="7"/>
    <n v="1"/>
    <n v="29.99"/>
    <s v="N"/>
    <s v=""/>
    <s v=""/>
    <n v="0"/>
    <n v="29.99"/>
    <n v="3"/>
    <x v="1"/>
    <s v="Thu"/>
    <n v="0.2"/>
  </r>
  <r>
    <n v="201931"/>
    <d v="2024-07-10T00:00:00"/>
    <n v="116801"/>
    <n v="200559"/>
    <x v="1"/>
    <x v="3"/>
    <n v="1"/>
    <n v="59.99"/>
    <s v="N"/>
    <s v=""/>
    <s v=""/>
    <n v="0"/>
    <n v="59.99"/>
    <n v="4"/>
    <x v="33"/>
    <s v="Wed"/>
    <n v="0.25"/>
  </r>
  <r>
    <n v="201931"/>
    <d v="2024-07-10T00:00:00"/>
    <n v="116801"/>
    <n v="200549"/>
    <x v="1"/>
    <x v="1"/>
    <n v="1"/>
    <n v="18.989999999999998"/>
    <s v="N"/>
    <s v=""/>
    <s v=""/>
    <n v="0"/>
    <n v="18.989999999999998"/>
    <n v="3"/>
    <x v="1"/>
    <s v="Wed"/>
    <n v="0.25"/>
  </r>
  <r>
    <n v="201931"/>
    <d v="2024-07-10T00:00:00"/>
    <n v="116801"/>
    <n v="200548"/>
    <x v="1"/>
    <x v="21"/>
    <n v="1"/>
    <n v="29.99"/>
    <s v="N"/>
    <s v=""/>
    <s v=""/>
    <n v="0"/>
    <n v="29.99"/>
    <n v="2"/>
    <x v="1"/>
    <s v="Wed"/>
    <n v="0.25"/>
  </r>
  <r>
    <n v="201931"/>
    <d v="2024-07-10T00:00:00"/>
    <n v="116801"/>
    <n v="300185"/>
    <x v="0"/>
    <x v="7"/>
    <n v="4"/>
    <n v="29.99"/>
    <s v="N"/>
    <s v=""/>
    <s v=""/>
    <n v="0"/>
    <n v="119.96"/>
    <n v="1"/>
    <x v="1"/>
    <s v="Wed"/>
    <n v="0.25"/>
  </r>
  <r>
    <n v="201932"/>
    <d v="2024-07-13T00:00:00"/>
    <n v="130928"/>
    <n v="100255"/>
    <x v="2"/>
    <x v="22"/>
    <n v="1"/>
    <n v="1299"/>
    <s v="Y"/>
    <s v="SUMMER10"/>
    <n v="0.1"/>
    <n v="129.9"/>
    <n v="1169.0999999999999"/>
    <n v="5"/>
    <x v="34"/>
    <s v="Sat"/>
    <n v="0.2"/>
  </r>
  <r>
    <n v="201932"/>
    <d v="2024-07-13T00:00:00"/>
    <n v="130928"/>
    <n v="300185"/>
    <x v="0"/>
    <x v="7"/>
    <n v="4"/>
    <n v="29.99"/>
    <s v="Y"/>
    <s v="SUMMER10"/>
    <n v="0.1"/>
    <n v="11.996"/>
    <n v="107.964"/>
    <n v="2"/>
    <x v="1"/>
    <s v="Sat"/>
    <n v="0.2"/>
  </r>
  <r>
    <n v="201932"/>
    <d v="2024-07-13T00:00:00"/>
    <n v="130928"/>
    <n v="100251"/>
    <x v="2"/>
    <x v="14"/>
    <n v="1"/>
    <n v="399"/>
    <s v="Y"/>
    <s v="SUMMER10"/>
    <n v="0.1"/>
    <n v="39.900000000000006"/>
    <n v="359.1"/>
    <n v="6"/>
    <x v="1"/>
    <s v="Sat"/>
    <n v="0.2"/>
  </r>
  <r>
    <n v="201932"/>
    <d v="2024-07-13T00:00:00"/>
    <n v="130928"/>
    <n v="300188"/>
    <x v="0"/>
    <x v="23"/>
    <n v="1"/>
    <n v="64.989999999999995"/>
    <s v="Y"/>
    <s v="SUMMER10"/>
    <n v="0.1"/>
    <n v="6.4989999999999997"/>
    <n v="58.490999999999993"/>
    <n v="4"/>
    <x v="1"/>
    <s v="Sat"/>
    <n v="0.2"/>
  </r>
  <r>
    <n v="201932"/>
    <d v="2024-07-13T00:00:00"/>
    <n v="130928"/>
    <n v="100248"/>
    <x v="2"/>
    <x v="24"/>
    <n v="3"/>
    <n v="199"/>
    <s v="Y"/>
    <s v="SUMMER10"/>
    <n v="0.1"/>
    <n v="59.7"/>
    <n v="537.29999999999995"/>
    <n v="4"/>
    <x v="1"/>
    <s v="Sat"/>
    <n v="0.2"/>
  </r>
  <r>
    <n v="201933"/>
    <d v="2024-07-18T00:00:00"/>
    <n v="129549"/>
    <n v="200552"/>
    <x v="1"/>
    <x v="17"/>
    <n v="1"/>
    <n v="49.99"/>
    <s v="N"/>
    <s v=""/>
    <s v=""/>
    <n v="0"/>
    <n v="49.99"/>
    <n v="3"/>
    <x v="35"/>
    <s v="Thu"/>
    <n v="0.2"/>
  </r>
  <r>
    <n v="201933"/>
    <d v="2024-07-18T00:00:00"/>
    <n v="129549"/>
    <n v="300191"/>
    <x v="0"/>
    <x v="11"/>
    <n v="1"/>
    <n v="21.99"/>
    <s v="N"/>
    <s v=""/>
    <s v=""/>
    <n v="0"/>
    <n v="21.99"/>
    <n v="2"/>
    <x v="1"/>
    <s v="Thu"/>
    <n v="0.2"/>
  </r>
  <r>
    <n v="201933"/>
    <d v="2024-07-18T00:00:00"/>
    <n v="129549"/>
    <n v="100257"/>
    <x v="2"/>
    <x v="4"/>
    <n v="1"/>
    <n v="379"/>
    <s v="N"/>
    <s v=""/>
    <s v=""/>
    <n v="0"/>
    <n v="379"/>
    <n v="5"/>
    <x v="1"/>
    <s v="Thu"/>
    <n v="0.2"/>
  </r>
  <r>
    <n v="201933"/>
    <d v="2024-07-18T00:00:00"/>
    <n v="129549"/>
    <n v="100248"/>
    <x v="2"/>
    <x v="24"/>
    <n v="1"/>
    <n v="199"/>
    <s v="N"/>
    <s v=""/>
    <s v=""/>
    <n v="0"/>
    <n v="199"/>
    <n v="4"/>
    <x v="1"/>
    <s v="Thu"/>
    <n v="0.2"/>
  </r>
  <r>
    <n v="201933"/>
    <d v="2024-07-18T00:00:00"/>
    <n v="129549"/>
    <n v="300186"/>
    <x v="0"/>
    <x v="25"/>
    <n v="1"/>
    <n v="49.99"/>
    <s v="N"/>
    <s v=""/>
    <s v=""/>
    <n v="0"/>
    <n v="49.99"/>
    <n v="1"/>
    <x v="1"/>
    <s v="Thu"/>
    <n v="0.2"/>
  </r>
  <r>
    <n v="201934"/>
    <d v="2024-07-18T00:00:00"/>
    <n v="115057"/>
    <n v="300185"/>
    <x v="0"/>
    <x v="7"/>
    <n v="1"/>
    <n v="29.99"/>
    <s v="N"/>
    <s v=""/>
    <s v=""/>
    <n v="0"/>
    <n v="29.99"/>
    <n v="3"/>
    <x v="31"/>
    <s v="Thu"/>
    <n v="1"/>
  </r>
  <r>
    <n v="201935"/>
    <d v="2024-07-15T00:00:00"/>
    <n v="118115"/>
    <n v="100252"/>
    <x v="2"/>
    <x v="5"/>
    <n v="2"/>
    <n v="449"/>
    <s v="N"/>
    <s v=""/>
    <s v=""/>
    <n v="0"/>
    <n v="898"/>
    <n v="5"/>
    <x v="36"/>
    <s v="Mon"/>
    <n v="0.5"/>
  </r>
  <r>
    <n v="201935"/>
    <d v="2024-07-15T00:00:00"/>
    <n v="118115"/>
    <n v="200549"/>
    <x v="1"/>
    <x v="1"/>
    <n v="2"/>
    <n v="18.989999999999998"/>
    <s v="N"/>
    <s v=""/>
    <s v=""/>
    <n v="0"/>
    <n v="37.979999999999997"/>
    <n v="4"/>
    <x v="1"/>
    <s v="Mon"/>
    <n v="0.5"/>
  </r>
  <r>
    <n v="201936"/>
    <d v="2024-07-14T00:00:00"/>
    <n v="116550"/>
    <n v="300185"/>
    <x v="0"/>
    <x v="7"/>
    <n v="1"/>
    <n v="29.99"/>
    <s v="Y"/>
    <s v="SUMMER10"/>
    <n v="0.1"/>
    <n v="2.9990000000000001"/>
    <n v="26.991"/>
    <n v="1"/>
    <x v="37"/>
    <s v="Sun"/>
    <n v="0.25"/>
  </r>
  <r>
    <n v="201936"/>
    <d v="2024-07-14T00:00:00"/>
    <n v="116550"/>
    <n v="200559"/>
    <x v="1"/>
    <x v="3"/>
    <n v="1"/>
    <n v="59.99"/>
    <s v="Y"/>
    <s v="SUMMER10"/>
    <n v="0.1"/>
    <n v="5.9990000000000006"/>
    <n v="53.991"/>
    <n v="3"/>
    <x v="1"/>
    <s v="Sun"/>
    <n v="0.25"/>
  </r>
  <r>
    <n v="201936"/>
    <d v="2024-07-14T00:00:00"/>
    <n v="116550"/>
    <n v="200550"/>
    <x v="1"/>
    <x v="19"/>
    <n v="2"/>
    <n v="15.99"/>
    <s v="Y"/>
    <s v="SUMMER10"/>
    <n v="0.1"/>
    <n v="3.1980000000000004"/>
    <n v="28.782"/>
    <n v="2"/>
    <x v="1"/>
    <s v="Sun"/>
    <n v="0.25"/>
  </r>
  <r>
    <n v="201936"/>
    <d v="2024-07-14T00:00:00"/>
    <n v="116550"/>
    <n v="200559"/>
    <x v="1"/>
    <x v="3"/>
    <n v="5"/>
    <n v="59.99"/>
    <s v="Y"/>
    <s v="SUMMER10"/>
    <n v="0.1"/>
    <n v="29.995000000000001"/>
    <n v="269.95499999999998"/>
    <n v="4"/>
    <x v="1"/>
    <s v="Sun"/>
    <n v="0.25"/>
  </r>
  <r>
    <n v="201937"/>
    <d v="2024-07-12T00:00:00"/>
    <n v="114108"/>
    <n v="200559"/>
    <x v="1"/>
    <x v="3"/>
    <n v="1"/>
    <n v="59.99"/>
    <s v="N"/>
    <s v=""/>
    <s v=""/>
    <n v="0"/>
    <n v="59.99"/>
    <n v="4"/>
    <x v="38"/>
    <s v="Fri"/>
    <n v="0.25"/>
  </r>
  <r>
    <n v="201937"/>
    <d v="2024-07-12T00:00:00"/>
    <n v="114108"/>
    <n v="200549"/>
    <x v="1"/>
    <x v="1"/>
    <n v="1"/>
    <n v="18.989999999999998"/>
    <s v="N"/>
    <s v=""/>
    <s v=""/>
    <n v="0"/>
    <n v="18.989999999999998"/>
    <n v="4"/>
    <x v="1"/>
    <s v="Fri"/>
    <n v="0.25"/>
  </r>
  <r>
    <n v="201937"/>
    <d v="2024-07-12T00:00:00"/>
    <n v="114108"/>
    <n v="200551"/>
    <x v="1"/>
    <x v="26"/>
    <n v="5"/>
    <n v="79.989999999999995"/>
    <s v="N"/>
    <s v=""/>
    <s v=""/>
    <n v="0"/>
    <n v="399.95"/>
    <n v="3"/>
    <x v="1"/>
    <s v="Fri"/>
    <n v="0.25"/>
  </r>
  <r>
    <n v="201937"/>
    <d v="2024-07-12T00:00:00"/>
    <n v="114108"/>
    <n v="200548"/>
    <x v="1"/>
    <x v="21"/>
    <n v="1"/>
    <n v="29.99"/>
    <s v="N"/>
    <s v=""/>
    <s v=""/>
    <n v="0"/>
    <n v="29.99"/>
    <n v="4"/>
    <x v="1"/>
    <s v="Fri"/>
    <n v="0.25"/>
  </r>
  <r>
    <n v="201938"/>
    <d v="2024-07-21T00:00:00"/>
    <n v="124837"/>
    <n v="200554"/>
    <x v="1"/>
    <x v="6"/>
    <n v="3"/>
    <n v="67.989999999999995"/>
    <s v="N"/>
    <s v=""/>
    <s v=""/>
    <n v="0"/>
    <n v="203.96999999999997"/>
    <n v="4"/>
    <x v="39"/>
    <s v="Sun"/>
    <n v="1"/>
  </r>
  <r>
    <n v="201939"/>
    <d v="2024-07-13T00:00:00"/>
    <n v="124132"/>
    <n v="200559"/>
    <x v="1"/>
    <x v="3"/>
    <n v="1"/>
    <n v="59.99"/>
    <s v="N"/>
    <s v=""/>
    <s v=""/>
    <n v="0"/>
    <n v="59.99"/>
    <n v="3"/>
    <x v="29"/>
    <s v="Sat"/>
    <n v="1"/>
  </r>
  <r>
    <n v="201940"/>
    <d v="2024-07-11T00:00:00"/>
    <n v="111174"/>
    <n v="200559"/>
    <x v="1"/>
    <x v="3"/>
    <n v="1"/>
    <n v="59.99"/>
    <s v="N"/>
    <s v=""/>
    <s v=""/>
    <n v="0"/>
    <n v="59.99"/>
    <n v="2"/>
    <x v="29"/>
    <s v="Thu"/>
    <n v="1"/>
  </r>
  <r>
    <n v="201941"/>
    <d v="2024-07-08T00:00:00"/>
    <n v="121247"/>
    <n v="200549"/>
    <x v="1"/>
    <x v="1"/>
    <n v="1"/>
    <n v="18.989999999999998"/>
    <s v="N"/>
    <s v=""/>
    <s v=""/>
    <n v="0"/>
    <n v="18.989999999999998"/>
    <n v="2"/>
    <x v="6"/>
    <s v="Mon"/>
    <n v="1"/>
  </r>
  <r>
    <n v="201942"/>
    <d v="2024-07-10T00:00:00"/>
    <n v="129825"/>
    <n v="200551"/>
    <x v="1"/>
    <x v="26"/>
    <n v="5"/>
    <n v="79.989999999999995"/>
    <s v="N"/>
    <s v=""/>
    <s v=""/>
    <n v="0"/>
    <n v="399.95"/>
    <n v="2"/>
    <x v="40"/>
    <s v="Wed"/>
    <n v="0.33333333333333331"/>
  </r>
  <r>
    <n v="201942"/>
    <d v="2024-07-10T00:00:00"/>
    <n v="129825"/>
    <n v="200559"/>
    <x v="1"/>
    <x v="3"/>
    <n v="2"/>
    <n v="59.99"/>
    <s v="N"/>
    <s v=""/>
    <s v=""/>
    <n v="0"/>
    <n v="119.98"/>
    <n v="3"/>
    <x v="1"/>
    <s v="Wed"/>
    <n v="0.33333333333333331"/>
  </r>
  <r>
    <n v="201942"/>
    <d v="2024-07-10T00:00:00"/>
    <n v="129825"/>
    <n v="200549"/>
    <x v="1"/>
    <x v="1"/>
    <n v="3"/>
    <n v="18.989999999999998"/>
    <s v="N"/>
    <s v=""/>
    <s v=""/>
    <n v="0"/>
    <n v="56.97"/>
    <n v="3"/>
    <x v="1"/>
    <s v="Wed"/>
    <n v="0.33333333333333331"/>
  </r>
  <r>
    <n v="201943"/>
    <d v="2024-07-15T00:00:00"/>
    <n v="129503"/>
    <n v="100257"/>
    <x v="2"/>
    <x v="4"/>
    <n v="5"/>
    <n v="379"/>
    <s v="N"/>
    <s v=""/>
    <s v=""/>
    <n v="0"/>
    <n v="1895"/>
    <n v="6"/>
    <x v="41"/>
    <s v="Mon"/>
    <n v="0.25"/>
  </r>
  <r>
    <n v="201943"/>
    <d v="2024-07-15T00:00:00"/>
    <n v="129503"/>
    <n v="100255"/>
    <x v="2"/>
    <x v="22"/>
    <n v="1"/>
    <n v="1299"/>
    <s v="N"/>
    <s v=""/>
    <s v=""/>
    <n v="0"/>
    <n v="1299"/>
    <n v="4"/>
    <x v="1"/>
    <s v="Mon"/>
    <n v="0.25"/>
  </r>
  <r>
    <n v="201943"/>
    <d v="2024-07-15T00:00:00"/>
    <n v="129503"/>
    <n v="200554"/>
    <x v="1"/>
    <x v="6"/>
    <n v="1"/>
    <n v="67.989999999999995"/>
    <s v="N"/>
    <s v=""/>
    <s v=""/>
    <n v="0"/>
    <n v="67.989999999999995"/>
    <n v="3"/>
    <x v="1"/>
    <s v="Mon"/>
    <n v="0.25"/>
  </r>
  <r>
    <n v="201943"/>
    <d v="2024-07-15T00:00:00"/>
    <n v="129503"/>
    <n v="300189"/>
    <x v="0"/>
    <x v="10"/>
    <n v="1"/>
    <n v="24.99"/>
    <s v="N"/>
    <s v=""/>
    <s v=""/>
    <n v="0"/>
    <n v="24.99"/>
    <n v="1"/>
    <x v="1"/>
    <s v="Mon"/>
    <n v="0.25"/>
  </r>
  <r>
    <n v="201944"/>
    <d v="2024-07-12T00:00:00"/>
    <n v="127801"/>
    <n v="100254"/>
    <x v="2"/>
    <x v="9"/>
    <n v="1"/>
    <n v="799"/>
    <s v="N"/>
    <s v=""/>
    <s v=""/>
    <n v="0"/>
    <n v="799"/>
    <n v="4"/>
    <x v="42"/>
    <s v="Fri"/>
    <n v="0.5"/>
  </r>
  <r>
    <n v="201944"/>
    <d v="2024-07-12T00:00:00"/>
    <n v="127801"/>
    <n v="100254"/>
    <x v="2"/>
    <x v="9"/>
    <n v="1"/>
    <n v="799"/>
    <s v="N"/>
    <s v=""/>
    <s v=""/>
    <n v="0"/>
    <n v="799"/>
    <n v="6"/>
    <x v="1"/>
    <s v="Fri"/>
    <n v="0.5"/>
  </r>
  <r>
    <n v="201945"/>
    <d v="2024-07-11T00:00:00"/>
    <n v="118065"/>
    <n v="100249"/>
    <x v="2"/>
    <x v="8"/>
    <n v="1"/>
    <n v="249"/>
    <s v="N"/>
    <s v=""/>
    <s v=""/>
    <n v="0"/>
    <n v="249"/>
    <n v="6"/>
    <x v="43"/>
    <s v="Thu"/>
    <n v="0.25"/>
  </r>
  <r>
    <n v="201945"/>
    <d v="2024-07-11T00:00:00"/>
    <n v="118065"/>
    <n v="300190"/>
    <x v="0"/>
    <x v="0"/>
    <n v="1"/>
    <n v="35.99"/>
    <s v="N"/>
    <s v=""/>
    <s v=""/>
    <n v="0"/>
    <n v="35.99"/>
    <n v="3"/>
    <x v="1"/>
    <s v="Thu"/>
    <n v="0.25"/>
  </r>
  <r>
    <n v="201945"/>
    <d v="2024-07-11T00:00:00"/>
    <n v="118065"/>
    <n v="200559"/>
    <x v="1"/>
    <x v="3"/>
    <n v="3"/>
    <n v="59.99"/>
    <s v="N"/>
    <s v=""/>
    <s v=""/>
    <n v="0"/>
    <n v="179.97"/>
    <n v="3"/>
    <x v="1"/>
    <s v="Thu"/>
    <n v="0.25"/>
  </r>
  <r>
    <n v="201945"/>
    <d v="2024-07-11T00:00:00"/>
    <n v="118065"/>
    <n v="200549"/>
    <x v="1"/>
    <x v="1"/>
    <n v="4"/>
    <n v="18.989999999999998"/>
    <s v="N"/>
    <s v=""/>
    <s v=""/>
    <n v="0"/>
    <n v="75.959999999999994"/>
    <n v="4"/>
    <x v="1"/>
    <s v="Thu"/>
    <n v="0.25"/>
  </r>
  <r>
    <n v="201946"/>
    <d v="2024-07-11T00:00:00"/>
    <n v="104487"/>
    <n v="100250"/>
    <x v="2"/>
    <x v="16"/>
    <n v="3"/>
    <n v="189"/>
    <s v="N"/>
    <s v=""/>
    <s v=""/>
    <n v="0"/>
    <n v="567"/>
    <n v="3"/>
    <x v="44"/>
    <s v="Thu"/>
    <n v="1"/>
  </r>
  <r>
    <n v="201947"/>
    <d v="2024-07-20T00:00:00"/>
    <n v="114530"/>
    <n v="200555"/>
    <x v="1"/>
    <x v="27"/>
    <n v="1"/>
    <n v="39.99"/>
    <s v="Y"/>
    <s v="SUBSCRIBE10"/>
    <n v="0.1"/>
    <n v="3.9990000000000006"/>
    <n v="35.991"/>
    <n v="3"/>
    <x v="45"/>
    <s v="Sat"/>
    <n v="1"/>
  </r>
  <r>
    <n v="201948"/>
    <d v="2024-07-13T00:00:00"/>
    <n v="103089"/>
    <n v="300185"/>
    <x v="0"/>
    <x v="7"/>
    <n v="1"/>
    <n v="29.99"/>
    <s v="N"/>
    <s v=""/>
    <s v=""/>
    <n v="0"/>
    <n v="29.99"/>
    <n v="2"/>
    <x v="46"/>
    <s v="Sat"/>
    <n v="0.2"/>
  </r>
  <r>
    <n v="201948"/>
    <d v="2024-07-13T00:00:00"/>
    <n v="103089"/>
    <n v="200550"/>
    <x v="1"/>
    <x v="19"/>
    <n v="1"/>
    <n v="15.99"/>
    <s v="N"/>
    <s v=""/>
    <s v=""/>
    <n v="0"/>
    <n v="15.99"/>
    <n v="1"/>
    <x v="1"/>
    <s v="Sat"/>
    <n v="0.2"/>
  </r>
  <r>
    <n v="201948"/>
    <d v="2024-07-13T00:00:00"/>
    <n v="103089"/>
    <n v="300191"/>
    <x v="0"/>
    <x v="11"/>
    <n v="1"/>
    <n v="21.99"/>
    <s v="N"/>
    <s v=""/>
    <s v=""/>
    <n v="0"/>
    <n v="21.99"/>
    <n v="2"/>
    <x v="1"/>
    <s v="Sat"/>
    <n v="0.2"/>
  </r>
  <r>
    <n v="201948"/>
    <d v="2024-07-13T00:00:00"/>
    <n v="103089"/>
    <n v="200556"/>
    <x v="1"/>
    <x v="2"/>
    <n v="2"/>
    <n v="64.989999999999995"/>
    <s v="N"/>
    <s v=""/>
    <s v=""/>
    <n v="0"/>
    <n v="129.97999999999999"/>
    <n v="2"/>
    <x v="1"/>
    <s v="Sat"/>
    <n v="0.2"/>
  </r>
  <r>
    <n v="201948"/>
    <d v="2024-07-13T00:00:00"/>
    <n v="103089"/>
    <n v="200554"/>
    <x v="1"/>
    <x v="6"/>
    <n v="1"/>
    <n v="67.989999999999995"/>
    <s v="N"/>
    <s v=""/>
    <s v=""/>
    <n v="0"/>
    <n v="67.989999999999995"/>
    <n v="1"/>
    <x v="1"/>
    <s v="Sat"/>
    <n v="0.2"/>
  </r>
  <r>
    <n v="201949"/>
    <d v="2024-07-20T00:00:00"/>
    <n v="120778"/>
    <n v="100256"/>
    <x v="2"/>
    <x v="18"/>
    <n v="3"/>
    <n v="1499"/>
    <s v="N"/>
    <s v=""/>
    <s v=""/>
    <n v="0"/>
    <n v="4497"/>
    <n v="4"/>
    <x v="47"/>
    <s v="Sat"/>
    <n v="1"/>
  </r>
  <r>
    <n v="201950"/>
    <d v="2024-07-18T00:00:00"/>
    <n v="120035"/>
    <n v="200556"/>
    <x v="1"/>
    <x v="2"/>
    <n v="1"/>
    <n v="64.989999999999995"/>
    <s v="N"/>
    <s v=""/>
    <s v=""/>
    <n v="0"/>
    <n v="64.989999999999995"/>
    <n v="3"/>
    <x v="48"/>
    <s v="Thu"/>
    <n v="0.5"/>
  </r>
  <r>
    <n v="201950"/>
    <d v="2024-07-18T00:00:00"/>
    <n v="120035"/>
    <n v="300190"/>
    <x v="0"/>
    <x v="0"/>
    <n v="2"/>
    <n v="35.99"/>
    <s v="N"/>
    <s v=""/>
    <s v=""/>
    <n v="0"/>
    <n v="71.98"/>
    <n v="1"/>
    <x v="1"/>
    <s v="Thu"/>
    <n v="0.5"/>
  </r>
  <r>
    <n v="201951"/>
    <d v="2024-07-19T00:00:00"/>
    <n v="124378"/>
    <n v="300191"/>
    <x v="0"/>
    <x v="11"/>
    <n v="1"/>
    <n v="21.99"/>
    <s v="N"/>
    <s v=""/>
    <s v=""/>
    <n v="0"/>
    <n v="21.99"/>
    <n v="2"/>
    <x v="49"/>
    <s v="Fri"/>
    <n v="1"/>
  </r>
  <r>
    <n v="201952"/>
    <d v="2024-07-20T00:00:00"/>
    <n v="107889"/>
    <n v="300185"/>
    <x v="0"/>
    <x v="7"/>
    <n v="5"/>
    <n v="29.99"/>
    <s v="N"/>
    <s v=""/>
    <s v=""/>
    <n v="0"/>
    <n v="149.94999999999999"/>
    <n v="1"/>
    <x v="50"/>
    <s v="Sat"/>
    <n v="0.5"/>
  </r>
  <r>
    <n v="201952"/>
    <d v="2024-07-20T00:00:00"/>
    <n v="107889"/>
    <n v="100250"/>
    <x v="2"/>
    <x v="16"/>
    <n v="1"/>
    <n v="189"/>
    <s v="N"/>
    <s v=""/>
    <s v=""/>
    <n v="0"/>
    <n v="189"/>
    <n v="5"/>
    <x v="1"/>
    <s v="Sat"/>
    <n v="0.5"/>
  </r>
  <r>
    <n v="201953"/>
    <d v="2024-07-11T00:00:00"/>
    <n v="119169"/>
    <n v="100254"/>
    <x v="2"/>
    <x v="9"/>
    <n v="1"/>
    <n v="799"/>
    <s v="N"/>
    <s v=""/>
    <s v=""/>
    <n v="0"/>
    <n v="799"/>
    <n v="4"/>
    <x v="51"/>
    <s v="Thu"/>
    <n v="0.25"/>
  </r>
  <r>
    <n v="201953"/>
    <d v="2024-07-11T00:00:00"/>
    <n v="119169"/>
    <n v="300185"/>
    <x v="0"/>
    <x v="7"/>
    <n v="5"/>
    <n v="29.99"/>
    <s v="N"/>
    <s v=""/>
    <s v=""/>
    <n v="0"/>
    <n v="149.94999999999999"/>
    <n v="1"/>
    <x v="1"/>
    <s v="Thu"/>
    <n v="0.25"/>
  </r>
  <r>
    <n v="201953"/>
    <d v="2024-07-11T00:00:00"/>
    <n v="119169"/>
    <n v="200556"/>
    <x v="1"/>
    <x v="2"/>
    <n v="1"/>
    <n v="64.989999999999995"/>
    <s v="N"/>
    <s v=""/>
    <s v=""/>
    <n v="0"/>
    <n v="64.989999999999995"/>
    <n v="3"/>
    <x v="1"/>
    <s v="Thu"/>
    <n v="0.25"/>
  </r>
  <r>
    <n v="201953"/>
    <d v="2024-07-11T00:00:00"/>
    <n v="119169"/>
    <n v="100256"/>
    <x v="2"/>
    <x v="18"/>
    <n v="1"/>
    <n v="1499"/>
    <s v="N"/>
    <s v=""/>
    <s v=""/>
    <n v="0"/>
    <n v="1499"/>
    <n v="7"/>
    <x v="1"/>
    <s v="Thu"/>
    <n v="0.25"/>
  </r>
  <r>
    <n v="201954"/>
    <d v="2024-07-09T00:00:00"/>
    <n v="114724"/>
    <n v="200549"/>
    <x v="1"/>
    <x v="1"/>
    <n v="2"/>
    <n v="18.989999999999998"/>
    <s v="N"/>
    <s v=""/>
    <s v=""/>
    <n v="0"/>
    <n v="37.979999999999997"/>
    <n v="4"/>
    <x v="52"/>
    <s v="Tue"/>
    <n v="1"/>
  </r>
  <r>
    <n v="201955"/>
    <d v="2024-07-10T00:00:00"/>
    <n v="130645"/>
    <n v="200559"/>
    <x v="1"/>
    <x v="3"/>
    <n v="1"/>
    <n v="59.99"/>
    <s v="N"/>
    <s v=""/>
    <s v=""/>
    <n v="0"/>
    <n v="59.99"/>
    <n v="1"/>
    <x v="29"/>
    <s v="Wed"/>
    <n v="1"/>
  </r>
  <r>
    <n v="201956"/>
    <d v="2024-07-11T00:00:00"/>
    <n v="118310"/>
    <n v="200549"/>
    <x v="1"/>
    <x v="1"/>
    <n v="1"/>
    <n v="18.989999999999998"/>
    <s v="N"/>
    <s v=""/>
    <s v=""/>
    <n v="0"/>
    <n v="18.989999999999998"/>
    <n v="4"/>
    <x v="53"/>
    <s v="Thu"/>
    <n v="0.5"/>
  </r>
  <r>
    <n v="201956"/>
    <d v="2024-07-11T00:00:00"/>
    <n v="118310"/>
    <n v="200559"/>
    <x v="1"/>
    <x v="3"/>
    <n v="1"/>
    <n v="59.99"/>
    <s v="N"/>
    <s v=""/>
    <s v=""/>
    <n v="0"/>
    <n v="59.99"/>
    <n v="1"/>
    <x v="1"/>
    <s v="Thu"/>
    <n v="0.5"/>
  </r>
  <r>
    <n v="201957"/>
    <d v="2024-07-20T00:00:00"/>
    <n v="131933"/>
    <n v="100252"/>
    <x v="2"/>
    <x v="5"/>
    <n v="4"/>
    <n v="449"/>
    <s v="N"/>
    <s v=""/>
    <s v=""/>
    <n v="0"/>
    <n v="1796"/>
    <n v="4"/>
    <x v="54"/>
    <s v="Sat"/>
    <n v="1"/>
  </r>
  <r>
    <n v="201958"/>
    <d v="2024-07-13T00:00:00"/>
    <n v="108499"/>
    <n v="200549"/>
    <x v="1"/>
    <x v="1"/>
    <n v="3"/>
    <n v="18.989999999999998"/>
    <s v="N"/>
    <s v=""/>
    <s v=""/>
    <n v="0"/>
    <n v="56.97"/>
    <n v="4"/>
    <x v="55"/>
    <s v="Sat"/>
    <n v="0.33333333333333331"/>
  </r>
  <r>
    <n v="201958"/>
    <d v="2024-07-13T00:00:00"/>
    <n v="108499"/>
    <n v="300187"/>
    <x v="0"/>
    <x v="20"/>
    <n v="1"/>
    <n v="54.99"/>
    <s v="N"/>
    <s v=""/>
    <s v=""/>
    <n v="0"/>
    <n v="54.99"/>
    <n v="2"/>
    <x v="1"/>
    <s v="Sat"/>
    <n v="0.33333333333333331"/>
  </r>
  <r>
    <n v="201958"/>
    <d v="2024-07-13T00:00:00"/>
    <n v="108499"/>
    <n v="300191"/>
    <x v="0"/>
    <x v="11"/>
    <n v="1"/>
    <n v="21.99"/>
    <s v="N"/>
    <s v=""/>
    <s v=""/>
    <n v="0"/>
    <n v="21.99"/>
    <n v="4"/>
    <x v="1"/>
    <s v="Sat"/>
    <n v="0.33333333333333331"/>
  </r>
  <r>
    <n v="201959"/>
    <d v="2024-07-13T00:00:00"/>
    <n v="128338"/>
    <n v="100250"/>
    <x v="2"/>
    <x v="16"/>
    <n v="1"/>
    <n v="189"/>
    <s v="N"/>
    <s v=""/>
    <s v=""/>
    <n v="0"/>
    <n v="189"/>
    <n v="7"/>
    <x v="56"/>
    <s v="Sat"/>
    <n v="1"/>
  </r>
  <r>
    <n v="201960"/>
    <d v="2024-07-13T00:00:00"/>
    <n v="120865"/>
    <n v="200559"/>
    <x v="1"/>
    <x v="3"/>
    <n v="1"/>
    <n v="59.99"/>
    <s v="N"/>
    <s v=""/>
    <s v=""/>
    <n v="0"/>
    <n v="59.99"/>
    <n v="3"/>
    <x v="57"/>
    <s v="Sat"/>
    <n v="0.5"/>
  </r>
  <r>
    <n v="201960"/>
    <d v="2024-07-13T00:00:00"/>
    <n v="120865"/>
    <n v="300190"/>
    <x v="0"/>
    <x v="0"/>
    <n v="1"/>
    <n v="35.99"/>
    <s v="N"/>
    <s v=""/>
    <s v=""/>
    <n v="0"/>
    <n v="35.99"/>
    <n v="4"/>
    <x v="1"/>
    <s v="Sat"/>
    <n v="0.5"/>
  </r>
  <r>
    <n v="201961"/>
    <d v="2024-07-12T00:00:00"/>
    <n v="112865"/>
    <n v="100252"/>
    <x v="2"/>
    <x v="5"/>
    <n v="4"/>
    <n v="449"/>
    <s v="Y"/>
    <s v="SUMMER10"/>
    <n v="0.1"/>
    <n v="179.60000000000002"/>
    <n v="1616.4"/>
    <n v="6"/>
    <x v="58"/>
    <s v="Fri"/>
    <n v="1"/>
  </r>
  <r>
    <n v="201962"/>
    <d v="2024-07-21T00:00:00"/>
    <n v="121163"/>
    <n v="300185"/>
    <x v="0"/>
    <x v="7"/>
    <n v="2"/>
    <n v="29.99"/>
    <s v="N"/>
    <s v=""/>
    <s v=""/>
    <n v="0"/>
    <n v="59.98"/>
    <n v="1"/>
    <x v="4"/>
    <s v="Sun"/>
    <n v="1"/>
  </r>
  <r>
    <n v="201963"/>
    <d v="2024-07-09T00:00:00"/>
    <n v="113691"/>
    <n v="200558"/>
    <x v="1"/>
    <x v="12"/>
    <n v="4"/>
    <n v="18.989999999999998"/>
    <s v="N"/>
    <s v=""/>
    <s v=""/>
    <n v="0"/>
    <n v="75.959999999999994"/>
    <n v="1"/>
    <x v="59"/>
    <s v="Tue"/>
    <n v="0.25"/>
  </r>
  <r>
    <n v="201963"/>
    <d v="2024-07-09T00:00:00"/>
    <n v="113691"/>
    <n v="300191"/>
    <x v="0"/>
    <x v="11"/>
    <n v="1"/>
    <n v="21.99"/>
    <s v="N"/>
    <s v=""/>
    <s v=""/>
    <n v="0"/>
    <n v="21.99"/>
    <n v="4"/>
    <x v="1"/>
    <s v="Tue"/>
    <n v="0.25"/>
  </r>
  <r>
    <n v="201963"/>
    <d v="2024-07-09T00:00:00"/>
    <n v="113691"/>
    <n v="200549"/>
    <x v="1"/>
    <x v="1"/>
    <n v="1"/>
    <n v="18.989999999999998"/>
    <s v="N"/>
    <s v=""/>
    <s v=""/>
    <n v="0"/>
    <n v="18.989999999999998"/>
    <n v="1"/>
    <x v="1"/>
    <s v="Tue"/>
    <n v="0.25"/>
  </r>
  <r>
    <n v="201963"/>
    <d v="2024-07-09T00:00:00"/>
    <n v="113691"/>
    <n v="200559"/>
    <x v="1"/>
    <x v="3"/>
    <n v="4"/>
    <n v="59.99"/>
    <s v="N"/>
    <s v=""/>
    <s v=""/>
    <n v="0"/>
    <n v="239.96"/>
    <n v="4"/>
    <x v="1"/>
    <s v="Tue"/>
    <n v="0.25"/>
  </r>
  <r>
    <n v="201964"/>
    <d v="2024-07-19T00:00:00"/>
    <n v="130931"/>
    <n v="100252"/>
    <x v="2"/>
    <x v="5"/>
    <n v="3"/>
    <n v="449"/>
    <s v="N"/>
    <s v=""/>
    <s v=""/>
    <n v="0"/>
    <n v="1347"/>
    <n v="5"/>
    <x v="60"/>
    <s v="Fri"/>
    <n v="1"/>
  </r>
  <r>
    <n v="201965"/>
    <d v="2024-07-14T00:00:00"/>
    <n v="110179"/>
    <n v="200549"/>
    <x v="1"/>
    <x v="1"/>
    <n v="1"/>
    <n v="18.989999999999998"/>
    <s v="N"/>
    <s v=""/>
    <s v=""/>
    <n v="0"/>
    <n v="18.989999999999998"/>
    <n v="1"/>
    <x v="61"/>
    <s v="Sun"/>
    <n v="0.25"/>
  </r>
  <r>
    <n v="201965"/>
    <d v="2024-07-14T00:00:00"/>
    <n v="110179"/>
    <n v="200559"/>
    <x v="1"/>
    <x v="3"/>
    <n v="1"/>
    <n v="59.99"/>
    <s v="N"/>
    <s v=""/>
    <s v=""/>
    <n v="0"/>
    <n v="59.99"/>
    <n v="1"/>
    <x v="1"/>
    <s v="Sun"/>
    <n v="0.25"/>
  </r>
  <r>
    <n v="201965"/>
    <d v="2024-07-14T00:00:00"/>
    <n v="110179"/>
    <n v="200551"/>
    <x v="1"/>
    <x v="26"/>
    <n v="3"/>
    <n v="79.989999999999995"/>
    <s v="N"/>
    <s v=""/>
    <s v=""/>
    <n v="0"/>
    <n v="239.96999999999997"/>
    <n v="1"/>
    <x v="1"/>
    <s v="Sun"/>
    <n v="0.25"/>
  </r>
  <r>
    <n v="201965"/>
    <d v="2024-07-14T00:00:00"/>
    <n v="110179"/>
    <n v="300191"/>
    <x v="0"/>
    <x v="11"/>
    <n v="2"/>
    <n v="21.99"/>
    <s v="N"/>
    <s v=""/>
    <s v=""/>
    <n v="0"/>
    <n v="43.98"/>
    <n v="3"/>
    <x v="1"/>
    <s v="Sun"/>
    <n v="0.25"/>
  </r>
  <r>
    <n v="201966"/>
    <d v="2024-07-20T00:00:00"/>
    <n v="112462"/>
    <n v="200549"/>
    <x v="1"/>
    <x v="1"/>
    <n v="4"/>
    <n v="18.989999999999998"/>
    <s v="Y"/>
    <s v="SUMMER10"/>
    <n v="0.1"/>
    <n v="7.5960000000000001"/>
    <n v="68.36399999999999"/>
    <n v="1"/>
    <x v="62"/>
    <s v="Sat"/>
    <n v="0.25"/>
  </r>
  <r>
    <n v="201966"/>
    <d v="2024-07-20T00:00:00"/>
    <n v="112462"/>
    <n v="300185"/>
    <x v="0"/>
    <x v="7"/>
    <n v="1"/>
    <n v="29.99"/>
    <s v="Y"/>
    <s v="SUMMER10"/>
    <n v="0.1"/>
    <n v="2.9990000000000001"/>
    <n v="26.991"/>
    <n v="1"/>
    <x v="1"/>
    <s v="Sat"/>
    <n v="0.25"/>
  </r>
  <r>
    <n v="201966"/>
    <d v="2024-07-20T00:00:00"/>
    <n v="112462"/>
    <n v="100250"/>
    <x v="2"/>
    <x v="16"/>
    <n v="1"/>
    <n v="189"/>
    <s v="Y"/>
    <s v="SUMMER10"/>
    <n v="0.1"/>
    <n v="18.900000000000002"/>
    <n v="170.1"/>
    <n v="2"/>
    <x v="1"/>
    <s v="Sat"/>
    <n v="0.25"/>
  </r>
  <r>
    <n v="201966"/>
    <d v="2024-07-20T00:00:00"/>
    <n v="112462"/>
    <n v="200556"/>
    <x v="1"/>
    <x v="2"/>
    <n v="1"/>
    <n v="64.989999999999995"/>
    <s v="Y"/>
    <s v="SUMMER10"/>
    <n v="0.1"/>
    <n v="6.4989999999999997"/>
    <n v="58.490999999999993"/>
    <n v="1"/>
    <x v="1"/>
    <s v="Sat"/>
    <n v="0.25"/>
  </r>
  <r>
    <n v="201967"/>
    <d v="2024-07-19T00:00:00"/>
    <n v="114107"/>
    <n v="200556"/>
    <x v="1"/>
    <x v="2"/>
    <n v="4"/>
    <n v="64.989999999999995"/>
    <s v="N"/>
    <s v=""/>
    <s v=""/>
    <n v="0"/>
    <n v="259.95999999999998"/>
    <n v="2"/>
    <x v="63"/>
    <s v="Fri"/>
    <n v="0.2"/>
  </r>
  <r>
    <n v="201967"/>
    <d v="2024-07-19T00:00:00"/>
    <n v="114107"/>
    <n v="200549"/>
    <x v="1"/>
    <x v="1"/>
    <n v="1"/>
    <n v="18.989999999999998"/>
    <s v="N"/>
    <s v=""/>
    <s v=""/>
    <n v="0"/>
    <n v="18.989999999999998"/>
    <n v="2"/>
    <x v="1"/>
    <s v="Fri"/>
    <n v="0.2"/>
  </r>
  <r>
    <n v="201967"/>
    <d v="2024-07-19T00:00:00"/>
    <n v="114107"/>
    <n v="100254"/>
    <x v="2"/>
    <x v="9"/>
    <n v="5"/>
    <n v="799"/>
    <s v="N"/>
    <s v=""/>
    <s v=""/>
    <n v="0"/>
    <n v="3995"/>
    <n v="5"/>
    <x v="1"/>
    <s v="Fri"/>
    <n v="0.2"/>
  </r>
  <r>
    <n v="201967"/>
    <d v="2024-07-19T00:00:00"/>
    <n v="114107"/>
    <n v="200559"/>
    <x v="1"/>
    <x v="3"/>
    <n v="3"/>
    <n v="59.99"/>
    <s v="N"/>
    <s v=""/>
    <s v=""/>
    <n v="0"/>
    <n v="179.97"/>
    <n v="1"/>
    <x v="1"/>
    <s v="Fri"/>
    <n v="0.2"/>
  </r>
  <r>
    <n v="201967"/>
    <d v="2024-07-19T00:00:00"/>
    <n v="114107"/>
    <n v="100250"/>
    <x v="2"/>
    <x v="16"/>
    <n v="1"/>
    <n v="189"/>
    <s v="N"/>
    <s v=""/>
    <s v=""/>
    <n v="0"/>
    <n v="189"/>
    <n v="5"/>
    <x v="1"/>
    <s v="Fri"/>
    <n v="0.2"/>
  </r>
  <r>
    <n v="201968"/>
    <d v="2024-07-11T00:00:00"/>
    <n v="115285"/>
    <n v="300187"/>
    <x v="0"/>
    <x v="20"/>
    <n v="1"/>
    <n v="54.99"/>
    <s v="Y"/>
    <s v="SUMMER10"/>
    <n v="0.1"/>
    <n v="5.4990000000000006"/>
    <n v="49.491"/>
    <n v="1"/>
    <x v="64"/>
    <s v="Thu"/>
    <n v="0.5"/>
  </r>
  <r>
    <n v="201968"/>
    <d v="2024-07-11T00:00:00"/>
    <n v="115285"/>
    <n v="300191"/>
    <x v="0"/>
    <x v="11"/>
    <n v="1"/>
    <n v="21.99"/>
    <s v="Y"/>
    <s v="SUMMER10"/>
    <n v="0.1"/>
    <n v="2.1989999999999998"/>
    <n v="19.790999999999997"/>
    <n v="1"/>
    <x v="1"/>
    <s v="Thu"/>
    <n v="0.5"/>
  </r>
  <r>
    <n v="201969"/>
    <d v="2024-07-19T00:00:00"/>
    <n v="105656"/>
    <n v="200559"/>
    <x v="1"/>
    <x v="3"/>
    <n v="1"/>
    <n v="59.99"/>
    <s v="Y"/>
    <s v="SUMMER10"/>
    <n v="0.1"/>
    <n v="5.9990000000000006"/>
    <n v="53.991"/>
    <n v="2"/>
    <x v="65"/>
    <s v="Fri"/>
    <n v="1"/>
  </r>
  <r>
    <n v="201970"/>
    <d v="2024-07-09T00:00:00"/>
    <n v="110391"/>
    <n v="200556"/>
    <x v="1"/>
    <x v="2"/>
    <n v="5"/>
    <n v="64.989999999999995"/>
    <s v="N"/>
    <s v=""/>
    <s v=""/>
    <n v="0"/>
    <n v="324.95"/>
    <n v="2"/>
    <x v="66"/>
    <s v="Tue"/>
    <n v="1"/>
  </r>
  <r>
    <n v="201971"/>
    <d v="2024-07-19T00:00:00"/>
    <n v="129684"/>
    <n v="200549"/>
    <x v="1"/>
    <x v="1"/>
    <n v="1"/>
    <n v="18.989999999999998"/>
    <s v="Y"/>
    <s v="SUMMER10"/>
    <n v="0.1"/>
    <n v="1.899"/>
    <n v="17.090999999999998"/>
    <n v="4"/>
    <x v="67"/>
    <s v="Fri"/>
    <n v="1"/>
  </r>
  <r>
    <n v="201972"/>
    <d v="2024-07-09T00:00:00"/>
    <n v="106326"/>
    <n v="200549"/>
    <x v="1"/>
    <x v="1"/>
    <n v="1"/>
    <n v="18.989999999999998"/>
    <s v="N"/>
    <s v=""/>
    <s v=""/>
    <n v="0"/>
    <n v="18.989999999999998"/>
    <n v="2"/>
    <x v="6"/>
    <s v="Tue"/>
    <n v="1"/>
  </r>
  <r>
    <n v="201973"/>
    <d v="2024-07-20T00:00:00"/>
    <n v="120365"/>
    <n v="300187"/>
    <x v="0"/>
    <x v="20"/>
    <n v="5"/>
    <n v="54.99"/>
    <s v="Y"/>
    <s v="SUMMER10"/>
    <n v="0.1"/>
    <n v="27.495000000000001"/>
    <n v="247.45499999999998"/>
    <n v="2"/>
    <x v="68"/>
    <s v="Sat"/>
    <n v="0.2"/>
  </r>
  <r>
    <n v="201973"/>
    <d v="2024-07-20T00:00:00"/>
    <n v="120365"/>
    <n v="300191"/>
    <x v="0"/>
    <x v="11"/>
    <n v="2"/>
    <n v="21.99"/>
    <s v="Y"/>
    <s v="SUMMER10"/>
    <n v="0.1"/>
    <n v="4.3979999999999997"/>
    <n v="39.581999999999994"/>
    <n v="4"/>
    <x v="1"/>
    <s v="Sat"/>
    <n v="0.2"/>
  </r>
  <r>
    <n v="201973"/>
    <d v="2024-07-20T00:00:00"/>
    <n v="120365"/>
    <n v="300185"/>
    <x v="0"/>
    <x v="7"/>
    <n v="5"/>
    <n v="29.99"/>
    <s v="Y"/>
    <s v="SUMMER10"/>
    <n v="0.1"/>
    <n v="14.994999999999999"/>
    <n v="134.95499999999998"/>
    <n v="3"/>
    <x v="1"/>
    <s v="Sat"/>
    <n v="0.2"/>
  </r>
  <r>
    <n v="201973"/>
    <d v="2024-07-20T00:00:00"/>
    <n v="120365"/>
    <n v="200559"/>
    <x v="1"/>
    <x v="3"/>
    <n v="1"/>
    <n v="59.99"/>
    <s v="Y"/>
    <s v="SUMMER10"/>
    <n v="0.1"/>
    <n v="5.9990000000000006"/>
    <n v="53.991"/>
    <n v="1"/>
    <x v="1"/>
    <s v="Sat"/>
    <n v="0.2"/>
  </r>
  <r>
    <n v="201973"/>
    <d v="2024-07-20T00:00:00"/>
    <n v="120365"/>
    <n v="200556"/>
    <x v="1"/>
    <x v="2"/>
    <n v="1"/>
    <n v="64.989999999999995"/>
    <s v="Y"/>
    <s v="SUMMER10"/>
    <n v="0.1"/>
    <n v="6.4989999999999997"/>
    <n v="58.490999999999993"/>
    <n v="2"/>
    <x v="1"/>
    <s v="Sat"/>
    <n v="0.2"/>
  </r>
  <r>
    <n v="201974"/>
    <d v="2024-07-08T00:00:00"/>
    <n v="111269"/>
    <n v="200559"/>
    <x v="1"/>
    <x v="3"/>
    <n v="1"/>
    <n v="59.99"/>
    <s v="N"/>
    <s v=""/>
    <s v=""/>
    <n v="0"/>
    <n v="59.99"/>
    <n v="1"/>
    <x v="69"/>
    <s v="Mon"/>
    <n v="0.5"/>
  </r>
  <r>
    <n v="201974"/>
    <d v="2024-07-08T00:00:00"/>
    <n v="111269"/>
    <n v="100254"/>
    <x v="2"/>
    <x v="9"/>
    <n v="1"/>
    <n v="799"/>
    <s v="N"/>
    <s v=""/>
    <s v=""/>
    <n v="0"/>
    <n v="799"/>
    <n v="5"/>
    <x v="1"/>
    <s v="Mon"/>
    <n v="0.5"/>
  </r>
  <r>
    <n v="201975"/>
    <d v="2024-07-10T00:00:00"/>
    <n v="107671"/>
    <n v="100250"/>
    <x v="2"/>
    <x v="16"/>
    <n v="4"/>
    <n v="189"/>
    <s v="Y"/>
    <s v="SUMMER10"/>
    <n v="0.1"/>
    <n v="75.600000000000009"/>
    <n v="680.4"/>
    <n v="3"/>
    <x v="70"/>
    <s v="Wed"/>
    <n v="1"/>
  </r>
  <r>
    <n v="201976"/>
    <d v="2024-07-12T00:00:00"/>
    <n v="129686"/>
    <n v="100254"/>
    <x v="2"/>
    <x v="9"/>
    <n v="1"/>
    <n v="799"/>
    <s v="N"/>
    <s v=""/>
    <s v=""/>
    <n v="0"/>
    <n v="799"/>
    <n v="2"/>
    <x v="71"/>
    <s v="Fri"/>
    <n v="0.33333333333333331"/>
  </r>
  <r>
    <n v="201976"/>
    <d v="2024-07-12T00:00:00"/>
    <n v="129686"/>
    <n v="100249"/>
    <x v="2"/>
    <x v="8"/>
    <n v="1"/>
    <n v="249"/>
    <s v="N"/>
    <s v=""/>
    <s v=""/>
    <n v="0"/>
    <n v="249"/>
    <n v="3"/>
    <x v="1"/>
    <s v="Fri"/>
    <n v="0.33333333333333331"/>
  </r>
  <r>
    <n v="201976"/>
    <d v="2024-07-12T00:00:00"/>
    <n v="129686"/>
    <n v="200559"/>
    <x v="1"/>
    <x v="3"/>
    <n v="2"/>
    <n v="59.99"/>
    <s v="N"/>
    <s v=""/>
    <s v=""/>
    <n v="0"/>
    <n v="119.98"/>
    <n v="2"/>
    <x v="1"/>
    <s v="Fri"/>
    <n v="0.33333333333333331"/>
  </r>
  <r>
    <n v="201977"/>
    <d v="2024-07-12T00:00:00"/>
    <n v="126512"/>
    <n v="100254"/>
    <x v="2"/>
    <x v="9"/>
    <n v="3"/>
    <n v="799"/>
    <s v="Y"/>
    <s v="SUMMER10"/>
    <n v="0.1"/>
    <n v="239.70000000000002"/>
    <n v="2157.3000000000002"/>
    <n v="3"/>
    <x v="72"/>
    <s v="Fri"/>
    <n v="0.25"/>
  </r>
  <r>
    <n v="201977"/>
    <d v="2024-07-12T00:00:00"/>
    <n v="126512"/>
    <n v="200558"/>
    <x v="1"/>
    <x v="12"/>
    <n v="1"/>
    <n v="18.989999999999998"/>
    <s v="Y"/>
    <s v="SUMMER10"/>
    <n v="0.1"/>
    <n v="1.899"/>
    <n v="17.090999999999998"/>
    <n v="2"/>
    <x v="1"/>
    <s v="Fri"/>
    <n v="0.25"/>
  </r>
  <r>
    <n v="201977"/>
    <d v="2024-07-12T00:00:00"/>
    <n v="126512"/>
    <n v="200549"/>
    <x v="1"/>
    <x v="1"/>
    <n v="1"/>
    <n v="18.989999999999998"/>
    <s v="Y"/>
    <s v="SUMMER10"/>
    <n v="0.1"/>
    <n v="1.899"/>
    <n v="17.090999999999998"/>
    <n v="2"/>
    <x v="1"/>
    <s v="Fri"/>
    <n v="0.25"/>
  </r>
  <r>
    <n v="201977"/>
    <d v="2024-07-12T00:00:00"/>
    <n v="126512"/>
    <n v="300185"/>
    <x v="0"/>
    <x v="7"/>
    <n v="4"/>
    <n v="29.99"/>
    <s v="Y"/>
    <s v="SUMMER10"/>
    <n v="0.1"/>
    <n v="11.996"/>
    <n v="107.964"/>
    <n v="4"/>
    <x v="1"/>
    <s v="Fri"/>
    <n v="0.25"/>
  </r>
  <r>
    <n v="201978"/>
    <d v="2024-07-19T00:00:00"/>
    <n v="104414"/>
    <n v="200549"/>
    <x v="1"/>
    <x v="1"/>
    <n v="1"/>
    <n v="18.989999999999998"/>
    <s v="Y"/>
    <s v="SUMMER10"/>
    <n v="0.1"/>
    <n v="1.899"/>
    <n v="17.090999999999998"/>
    <n v="4"/>
    <x v="67"/>
    <s v="Fri"/>
    <n v="1"/>
  </r>
  <r>
    <n v="201979"/>
    <d v="2024-07-20T00:00:00"/>
    <n v="116000"/>
    <n v="100250"/>
    <x v="2"/>
    <x v="16"/>
    <n v="3"/>
    <n v="189"/>
    <s v="N"/>
    <s v=""/>
    <s v=""/>
    <n v="0"/>
    <n v="567"/>
    <n v="4"/>
    <x v="73"/>
    <s v="Sat"/>
    <n v="0.33333333333333331"/>
  </r>
  <r>
    <n v="201979"/>
    <d v="2024-07-20T00:00:00"/>
    <n v="116000"/>
    <n v="300191"/>
    <x v="0"/>
    <x v="11"/>
    <n v="1"/>
    <n v="21.99"/>
    <s v="N"/>
    <s v=""/>
    <s v=""/>
    <n v="0"/>
    <n v="21.99"/>
    <n v="1"/>
    <x v="1"/>
    <s v="Sat"/>
    <n v="0.33333333333333331"/>
  </r>
  <r>
    <n v="201979"/>
    <d v="2024-07-20T00:00:00"/>
    <n v="116000"/>
    <n v="200554"/>
    <x v="1"/>
    <x v="6"/>
    <n v="2"/>
    <n v="67.989999999999995"/>
    <s v="N"/>
    <s v=""/>
    <s v=""/>
    <n v="0"/>
    <n v="135.97999999999999"/>
    <n v="1"/>
    <x v="1"/>
    <s v="Sat"/>
    <n v="0.33333333333333331"/>
  </r>
  <r>
    <n v="201980"/>
    <d v="2024-07-20T00:00:00"/>
    <n v="122429"/>
    <n v="300189"/>
    <x v="0"/>
    <x v="10"/>
    <n v="1"/>
    <n v="24.99"/>
    <s v="N"/>
    <s v=""/>
    <s v=""/>
    <n v="0"/>
    <n v="24.99"/>
    <n v="4"/>
    <x v="74"/>
    <s v="Sat"/>
    <n v="0.5"/>
  </r>
  <r>
    <n v="201980"/>
    <d v="2024-07-20T00:00:00"/>
    <n v="122429"/>
    <n v="300185"/>
    <x v="0"/>
    <x v="7"/>
    <n v="2"/>
    <n v="29.99"/>
    <s v="N"/>
    <s v=""/>
    <s v=""/>
    <n v="0"/>
    <n v="59.98"/>
    <n v="1"/>
    <x v="1"/>
    <s v="Sat"/>
    <n v="0.5"/>
  </r>
  <r>
    <n v="201981"/>
    <d v="2024-07-11T00:00:00"/>
    <n v="113511"/>
    <n v="300186"/>
    <x v="0"/>
    <x v="25"/>
    <n v="1"/>
    <n v="49.99"/>
    <s v="Y"/>
    <s v="SUMMER10"/>
    <n v="0.1"/>
    <n v="4.9990000000000006"/>
    <n v="44.991"/>
    <n v="2"/>
    <x v="75"/>
    <s v="Thu"/>
    <n v="0.33333333333333331"/>
  </r>
  <r>
    <n v="201981"/>
    <d v="2024-07-11T00:00:00"/>
    <n v="113511"/>
    <n v="100255"/>
    <x v="2"/>
    <x v="22"/>
    <n v="1"/>
    <n v="1299"/>
    <s v="Y"/>
    <s v="SUMMER10"/>
    <n v="0.1"/>
    <n v="129.9"/>
    <n v="1169.0999999999999"/>
    <n v="3"/>
    <x v="1"/>
    <s v="Thu"/>
    <n v="0.33333333333333331"/>
  </r>
  <r>
    <n v="201981"/>
    <d v="2024-07-11T00:00:00"/>
    <n v="113511"/>
    <n v="300190"/>
    <x v="0"/>
    <x v="0"/>
    <n v="1"/>
    <n v="35.99"/>
    <s v="Y"/>
    <s v="SUMMER10"/>
    <n v="0.1"/>
    <n v="3.5990000000000002"/>
    <n v="32.391000000000005"/>
    <n v="1"/>
    <x v="1"/>
    <s v="Thu"/>
    <n v="0.33333333333333331"/>
  </r>
  <r>
    <n v="201982"/>
    <d v="2024-07-12T00:00:00"/>
    <n v="104234"/>
    <n v="200553"/>
    <x v="1"/>
    <x v="15"/>
    <n v="2"/>
    <n v="29.99"/>
    <s v="N"/>
    <s v=""/>
    <s v=""/>
    <n v="0"/>
    <n v="59.98"/>
    <n v="3"/>
    <x v="4"/>
    <s v="Fri"/>
    <n v="1"/>
  </r>
  <r>
    <n v="201983"/>
    <d v="2024-07-18T00:00:00"/>
    <n v="109614"/>
    <n v="200559"/>
    <x v="1"/>
    <x v="3"/>
    <n v="3"/>
    <n v="59.99"/>
    <s v="N"/>
    <s v=""/>
    <s v=""/>
    <n v="0"/>
    <n v="179.97"/>
    <n v="4"/>
    <x v="76"/>
    <s v="Thu"/>
    <n v="0.5"/>
  </r>
  <r>
    <n v="201983"/>
    <d v="2024-07-18T00:00:00"/>
    <n v="109614"/>
    <n v="200549"/>
    <x v="1"/>
    <x v="1"/>
    <n v="1"/>
    <n v="18.989999999999998"/>
    <s v="N"/>
    <s v=""/>
    <s v=""/>
    <n v="0"/>
    <n v="18.989999999999998"/>
    <n v="3"/>
    <x v="1"/>
    <s v="Thu"/>
    <n v="0.5"/>
  </r>
  <r>
    <n v="201984"/>
    <d v="2024-07-17T00:00:00"/>
    <n v="107996"/>
    <n v="300186"/>
    <x v="0"/>
    <x v="25"/>
    <n v="1"/>
    <n v="49.99"/>
    <s v="N"/>
    <s v=""/>
    <s v=""/>
    <n v="0"/>
    <n v="49.99"/>
    <n v="2"/>
    <x v="77"/>
    <s v="Wed"/>
    <n v="0.16666666666666666"/>
  </r>
  <r>
    <n v="201984"/>
    <d v="2024-07-17T00:00:00"/>
    <n v="107996"/>
    <n v="100253"/>
    <x v="2"/>
    <x v="28"/>
    <n v="1"/>
    <n v="279"/>
    <s v="N"/>
    <s v=""/>
    <s v=""/>
    <n v="0"/>
    <n v="279"/>
    <n v="5"/>
    <x v="1"/>
    <s v="Wed"/>
    <n v="0.16666666666666666"/>
  </r>
  <r>
    <n v="201984"/>
    <d v="2024-07-17T00:00:00"/>
    <n v="107996"/>
    <n v="100253"/>
    <x v="2"/>
    <x v="28"/>
    <n v="2"/>
    <n v="279"/>
    <s v="N"/>
    <s v=""/>
    <s v=""/>
    <n v="0"/>
    <n v="558"/>
    <n v="5"/>
    <x v="1"/>
    <s v="Wed"/>
    <n v="0.16666666666666666"/>
  </r>
  <r>
    <n v="201984"/>
    <d v="2024-07-17T00:00:00"/>
    <n v="107996"/>
    <n v="100252"/>
    <x v="2"/>
    <x v="5"/>
    <n v="4"/>
    <n v="449"/>
    <s v="N"/>
    <s v=""/>
    <s v=""/>
    <n v="0"/>
    <n v="1796"/>
    <n v="7"/>
    <x v="1"/>
    <s v="Wed"/>
    <n v="0.16666666666666666"/>
  </r>
  <r>
    <n v="201984"/>
    <d v="2024-07-17T00:00:00"/>
    <n v="107996"/>
    <n v="300191"/>
    <x v="0"/>
    <x v="11"/>
    <n v="2"/>
    <n v="21.99"/>
    <s v="N"/>
    <s v=""/>
    <s v=""/>
    <n v="0"/>
    <n v="43.98"/>
    <n v="4"/>
    <x v="1"/>
    <s v="Wed"/>
    <n v="0.16666666666666666"/>
  </r>
  <r>
    <n v="201984"/>
    <d v="2024-07-17T00:00:00"/>
    <n v="107996"/>
    <n v="200556"/>
    <x v="1"/>
    <x v="2"/>
    <n v="3"/>
    <n v="64.989999999999995"/>
    <s v="N"/>
    <s v=""/>
    <s v=""/>
    <n v="0"/>
    <n v="194.96999999999997"/>
    <n v="1"/>
    <x v="1"/>
    <s v="Wed"/>
    <n v="0.16666666666666666"/>
  </r>
  <r>
    <n v="201985"/>
    <d v="2024-07-13T00:00:00"/>
    <n v="120066"/>
    <n v="200549"/>
    <x v="1"/>
    <x v="1"/>
    <n v="1"/>
    <n v="18.989999999999998"/>
    <s v="N"/>
    <s v=""/>
    <s v=""/>
    <n v="0"/>
    <n v="18.989999999999998"/>
    <n v="1"/>
    <x v="78"/>
    <s v="Sat"/>
    <n v="0.25"/>
  </r>
  <r>
    <n v="201985"/>
    <d v="2024-07-13T00:00:00"/>
    <n v="120066"/>
    <n v="200549"/>
    <x v="1"/>
    <x v="1"/>
    <n v="2"/>
    <n v="18.989999999999998"/>
    <s v="N"/>
    <s v=""/>
    <s v=""/>
    <n v="0"/>
    <n v="37.979999999999997"/>
    <n v="4"/>
    <x v="1"/>
    <s v="Sat"/>
    <n v="0.25"/>
  </r>
  <r>
    <n v="201985"/>
    <d v="2024-07-13T00:00:00"/>
    <n v="120066"/>
    <n v="200559"/>
    <x v="1"/>
    <x v="3"/>
    <n v="3"/>
    <n v="59.99"/>
    <s v="N"/>
    <s v=""/>
    <s v=""/>
    <n v="0"/>
    <n v="179.97"/>
    <n v="4"/>
    <x v="1"/>
    <s v="Sat"/>
    <n v="0.25"/>
  </r>
  <r>
    <n v="201985"/>
    <d v="2024-07-13T00:00:00"/>
    <n v="120066"/>
    <n v="100253"/>
    <x v="2"/>
    <x v="28"/>
    <n v="1"/>
    <n v="279"/>
    <s v="N"/>
    <s v=""/>
    <s v=""/>
    <n v="0"/>
    <n v="279"/>
    <n v="4"/>
    <x v="1"/>
    <s v="Sat"/>
    <n v="0.25"/>
  </r>
  <r>
    <n v="201986"/>
    <d v="2024-07-19T00:00:00"/>
    <n v="114740"/>
    <n v="200549"/>
    <x v="1"/>
    <x v="1"/>
    <n v="1"/>
    <n v="18.989999999999998"/>
    <s v="N"/>
    <s v=""/>
    <s v=""/>
    <n v="0"/>
    <n v="18.989999999999998"/>
    <n v="1"/>
    <x v="6"/>
    <s v="Fri"/>
    <n v="1"/>
  </r>
  <r>
    <n v="201987"/>
    <d v="2024-07-14T00:00:00"/>
    <n v="108268"/>
    <n v="100256"/>
    <x v="2"/>
    <x v="18"/>
    <n v="1"/>
    <n v="1499"/>
    <s v="N"/>
    <s v=""/>
    <s v=""/>
    <n v="0"/>
    <n v="1499"/>
    <n v="6"/>
    <x v="79"/>
    <s v="Sun"/>
    <n v="0.33333333333333331"/>
  </r>
  <r>
    <n v="201987"/>
    <d v="2024-07-14T00:00:00"/>
    <n v="108268"/>
    <n v="200556"/>
    <x v="1"/>
    <x v="2"/>
    <n v="1"/>
    <n v="64.989999999999995"/>
    <s v="N"/>
    <s v=""/>
    <s v=""/>
    <n v="0"/>
    <n v="64.989999999999995"/>
    <n v="4"/>
    <x v="1"/>
    <s v="Sun"/>
    <n v="0.33333333333333331"/>
  </r>
  <r>
    <n v="201987"/>
    <d v="2024-07-14T00:00:00"/>
    <n v="108268"/>
    <n v="100248"/>
    <x v="2"/>
    <x v="24"/>
    <n v="1"/>
    <n v="199"/>
    <s v="N"/>
    <s v=""/>
    <s v=""/>
    <n v="0"/>
    <n v="199"/>
    <n v="7"/>
    <x v="1"/>
    <s v="Sun"/>
    <n v="0.33333333333333331"/>
  </r>
  <r>
    <n v="201988"/>
    <d v="2024-07-20T00:00:00"/>
    <n v="102376"/>
    <n v="200559"/>
    <x v="1"/>
    <x v="3"/>
    <n v="1"/>
    <n v="59.99"/>
    <s v="N"/>
    <s v=""/>
    <s v=""/>
    <n v="0"/>
    <n v="59.99"/>
    <n v="3"/>
    <x v="29"/>
    <s v="Sat"/>
    <n v="1"/>
  </r>
  <r>
    <n v="201989"/>
    <d v="2024-07-20T00:00:00"/>
    <n v="110397"/>
    <n v="100252"/>
    <x v="2"/>
    <x v="5"/>
    <n v="1"/>
    <n v="449"/>
    <s v="N"/>
    <s v=""/>
    <s v=""/>
    <n v="0"/>
    <n v="449"/>
    <n v="5"/>
    <x v="80"/>
    <s v="Sat"/>
    <n v="1"/>
  </r>
  <r>
    <n v="201990"/>
    <d v="2024-07-09T00:00:00"/>
    <n v="103467"/>
    <n v="100257"/>
    <x v="2"/>
    <x v="4"/>
    <n v="2"/>
    <n v="379"/>
    <s v="N"/>
    <s v=""/>
    <s v=""/>
    <n v="0"/>
    <n v="758"/>
    <n v="3"/>
    <x v="81"/>
    <s v="Tue"/>
    <n v="0.2"/>
  </r>
  <r>
    <n v="201990"/>
    <d v="2024-07-09T00:00:00"/>
    <n v="103467"/>
    <n v="200559"/>
    <x v="1"/>
    <x v="3"/>
    <n v="2"/>
    <n v="59.99"/>
    <s v="N"/>
    <s v=""/>
    <s v=""/>
    <n v="0"/>
    <n v="119.98"/>
    <n v="4"/>
    <x v="1"/>
    <s v="Tue"/>
    <n v="0.2"/>
  </r>
  <r>
    <n v="201990"/>
    <d v="2024-07-09T00:00:00"/>
    <n v="103467"/>
    <n v="300187"/>
    <x v="0"/>
    <x v="20"/>
    <n v="2"/>
    <n v="54.99"/>
    <s v="N"/>
    <s v=""/>
    <s v=""/>
    <n v="0"/>
    <n v="109.98"/>
    <n v="2"/>
    <x v="1"/>
    <s v="Tue"/>
    <n v="0.2"/>
  </r>
  <r>
    <n v="201990"/>
    <d v="2024-07-09T00:00:00"/>
    <n v="103467"/>
    <n v="300191"/>
    <x v="0"/>
    <x v="11"/>
    <n v="1"/>
    <n v="21.99"/>
    <s v="N"/>
    <s v=""/>
    <s v=""/>
    <n v="0"/>
    <n v="21.99"/>
    <n v="1"/>
    <x v="1"/>
    <s v="Tue"/>
    <n v="0.2"/>
  </r>
  <r>
    <n v="201990"/>
    <d v="2024-07-09T00:00:00"/>
    <n v="103467"/>
    <n v="100252"/>
    <x v="2"/>
    <x v="5"/>
    <n v="2"/>
    <n v="449"/>
    <s v="N"/>
    <s v=""/>
    <s v=""/>
    <n v="0"/>
    <n v="898"/>
    <n v="2"/>
    <x v="1"/>
    <s v="Tue"/>
    <n v="0.2"/>
  </r>
  <r>
    <n v="201991"/>
    <d v="2024-07-11T00:00:00"/>
    <n v="121627"/>
    <n v="100250"/>
    <x v="2"/>
    <x v="16"/>
    <n v="1"/>
    <n v="189"/>
    <s v="N"/>
    <s v=""/>
    <s v=""/>
    <n v="0"/>
    <n v="189"/>
    <n v="4"/>
    <x v="56"/>
    <s v="Thu"/>
    <n v="1"/>
  </r>
  <r>
    <n v="201992"/>
    <d v="2024-07-19T00:00:00"/>
    <n v="102707"/>
    <n v="200556"/>
    <x v="1"/>
    <x v="2"/>
    <n v="1"/>
    <n v="64.989999999999995"/>
    <s v="N"/>
    <s v=""/>
    <s v=""/>
    <n v="0"/>
    <n v="64.989999999999995"/>
    <n v="1"/>
    <x v="82"/>
    <s v="Fri"/>
    <n v="1"/>
  </r>
  <r>
    <n v="201993"/>
    <d v="2024-07-13T00:00:00"/>
    <n v="130011"/>
    <n v="200549"/>
    <x v="1"/>
    <x v="1"/>
    <n v="2"/>
    <n v="18.989999999999998"/>
    <s v="Y"/>
    <s v="SUMMER10"/>
    <n v="0.1"/>
    <n v="3.798"/>
    <n v="34.181999999999995"/>
    <n v="4"/>
    <x v="83"/>
    <s v="Sat"/>
    <n v="1"/>
  </r>
  <r>
    <n v="201994"/>
    <d v="2024-07-11T00:00:00"/>
    <n v="109602"/>
    <n v="100251"/>
    <x v="2"/>
    <x v="14"/>
    <n v="3"/>
    <n v="399"/>
    <s v="N"/>
    <s v=""/>
    <s v=""/>
    <n v="0"/>
    <n v="1197"/>
    <n v="6"/>
    <x v="84"/>
    <s v="Thu"/>
    <n v="0.5"/>
  </r>
  <r>
    <n v="201994"/>
    <d v="2024-07-11T00:00:00"/>
    <n v="109602"/>
    <n v="300187"/>
    <x v="0"/>
    <x v="20"/>
    <n v="2"/>
    <n v="54.99"/>
    <s v="N"/>
    <s v=""/>
    <s v=""/>
    <n v="0"/>
    <n v="109.98"/>
    <n v="3"/>
    <x v="1"/>
    <s v="Thu"/>
    <n v="0.5"/>
  </r>
  <r>
    <n v="201995"/>
    <d v="2024-07-15T00:00:00"/>
    <n v="106983"/>
    <n v="100250"/>
    <x v="2"/>
    <x v="16"/>
    <n v="3"/>
    <n v="189"/>
    <s v="N"/>
    <s v=""/>
    <s v=""/>
    <n v="0"/>
    <n v="567"/>
    <n v="7"/>
    <x v="44"/>
    <s v="Mon"/>
    <n v="1"/>
  </r>
  <r>
    <n v="201996"/>
    <d v="2024-07-15T00:00:00"/>
    <n v="103634"/>
    <n v="200556"/>
    <x v="1"/>
    <x v="2"/>
    <n v="1"/>
    <n v="64.989999999999995"/>
    <s v="N"/>
    <s v=""/>
    <s v=""/>
    <n v="0"/>
    <n v="64.989999999999995"/>
    <n v="4"/>
    <x v="82"/>
    <s v="Mon"/>
    <n v="1"/>
  </r>
  <r>
    <n v="201997"/>
    <d v="2024-07-19T00:00:00"/>
    <n v="130814"/>
    <n v="300187"/>
    <x v="0"/>
    <x v="20"/>
    <n v="1"/>
    <n v="54.99"/>
    <s v="N"/>
    <s v=""/>
    <s v=""/>
    <n v="0"/>
    <n v="54.99"/>
    <n v="3"/>
    <x v="85"/>
    <s v="Fri"/>
    <n v="1"/>
  </r>
  <r>
    <n v="201998"/>
    <d v="2024-07-19T00:00:00"/>
    <n v="103962"/>
    <n v="100253"/>
    <x v="2"/>
    <x v="28"/>
    <n v="1"/>
    <n v="279"/>
    <s v="N"/>
    <s v=""/>
    <s v=""/>
    <n v="0"/>
    <n v="279"/>
    <n v="4"/>
    <x v="86"/>
    <s v="Fri"/>
    <n v="0.25"/>
  </r>
  <r>
    <n v="201998"/>
    <d v="2024-07-19T00:00:00"/>
    <n v="103962"/>
    <n v="200549"/>
    <x v="1"/>
    <x v="1"/>
    <n v="1"/>
    <n v="18.989999999999998"/>
    <s v="N"/>
    <s v=""/>
    <s v=""/>
    <n v="0"/>
    <n v="18.989999999999998"/>
    <n v="3"/>
    <x v="1"/>
    <s v="Fri"/>
    <n v="0.25"/>
  </r>
  <r>
    <n v="201998"/>
    <d v="2024-07-19T00:00:00"/>
    <n v="103962"/>
    <n v="100257"/>
    <x v="2"/>
    <x v="4"/>
    <n v="2"/>
    <n v="379"/>
    <s v="N"/>
    <s v=""/>
    <s v=""/>
    <n v="0"/>
    <n v="758"/>
    <n v="7"/>
    <x v="1"/>
    <s v="Fri"/>
    <n v="0.25"/>
  </r>
  <r>
    <n v="201998"/>
    <d v="2024-07-19T00:00:00"/>
    <n v="103962"/>
    <n v="200558"/>
    <x v="1"/>
    <x v="12"/>
    <n v="4"/>
    <n v="18.989999999999998"/>
    <s v="N"/>
    <s v=""/>
    <s v=""/>
    <n v="0"/>
    <n v="75.959999999999994"/>
    <n v="4"/>
    <x v="1"/>
    <s v="Fri"/>
    <n v="0.25"/>
  </r>
  <r>
    <n v="201999"/>
    <d v="2024-07-13T00:00:00"/>
    <n v="110941"/>
    <n v="300185"/>
    <x v="0"/>
    <x v="7"/>
    <n v="1"/>
    <n v="29.99"/>
    <s v="Y"/>
    <s v="SUMMER10"/>
    <n v="0.1"/>
    <n v="2.9990000000000001"/>
    <n v="26.991"/>
    <n v="1"/>
    <x v="87"/>
    <s v="Sat"/>
    <n v="1"/>
  </r>
  <r>
    <n v="202000"/>
    <d v="2024-07-10T00:00:00"/>
    <n v="105602"/>
    <n v="300185"/>
    <x v="0"/>
    <x v="7"/>
    <n v="4"/>
    <n v="29.99"/>
    <s v="N"/>
    <s v=""/>
    <s v=""/>
    <n v="0"/>
    <n v="119.96"/>
    <n v="3"/>
    <x v="88"/>
    <s v="Wed"/>
    <n v="0.5"/>
  </r>
  <r>
    <n v="202000"/>
    <d v="2024-07-10T00:00:00"/>
    <n v="105602"/>
    <n v="100252"/>
    <x v="2"/>
    <x v="5"/>
    <n v="1"/>
    <n v="449"/>
    <s v="N"/>
    <s v=""/>
    <s v=""/>
    <n v="0"/>
    <n v="449"/>
    <n v="2"/>
    <x v="1"/>
    <s v="Wed"/>
    <n v="0.5"/>
  </r>
  <r>
    <n v="202001"/>
    <d v="2024-07-15T00:00:00"/>
    <n v="131405"/>
    <n v="300185"/>
    <x v="0"/>
    <x v="7"/>
    <n v="1"/>
    <n v="29.99"/>
    <s v="Y"/>
    <s v="SUMMER10"/>
    <n v="0.1"/>
    <n v="2.9990000000000001"/>
    <n v="26.991"/>
    <n v="4"/>
    <x v="89"/>
    <s v="Mon"/>
    <n v="0.25"/>
  </r>
  <r>
    <n v="202001"/>
    <d v="2024-07-15T00:00:00"/>
    <n v="131405"/>
    <n v="200559"/>
    <x v="1"/>
    <x v="3"/>
    <n v="1"/>
    <n v="59.99"/>
    <s v="Y"/>
    <s v="SUMMER10"/>
    <n v="0.1"/>
    <n v="5.9990000000000006"/>
    <n v="53.991"/>
    <n v="1"/>
    <x v="1"/>
    <s v="Mon"/>
    <n v="0.25"/>
  </r>
  <r>
    <n v="202001"/>
    <d v="2024-07-15T00:00:00"/>
    <n v="131405"/>
    <n v="200553"/>
    <x v="1"/>
    <x v="15"/>
    <n v="3"/>
    <n v="29.99"/>
    <s v="Y"/>
    <s v="SUMMER10"/>
    <n v="0.1"/>
    <n v="8.9969999999999999"/>
    <n v="80.972999999999999"/>
    <n v="4"/>
    <x v="1"/>
    <s v="Mon"/>
    <n v="0.25"/>
  </r>
  <r>
    <n v="202001"/>
    <d v="2024-07-15T00:00:00"/>
    <n v="131405"/>
    <n v="300185"/>
    <x v="0"/>
    <x v="7"/>
    <n v="1"/>
    <n v="29.99"/>
    <s v="Y"/>
    <s v="SUMMER10"/>
    <n v="0.1"/>
    <n v="2.9990000000000001"/>
    <n v="26.991"/>
    <n v="2"/>
    <x v="1"/>
    <s v="Mon"/>
    <n v="0.25"/>
  </r>
  <r>
    <n v="202002"/>
    <d v="2024-07-20T00:00:00"/>
    <n v="116404"/>
    <n v="100253"/>
    <x v="2"/>
    <x v="28"/>
    <n v="1"/>
    <n v="279"/>
    <s v="N"/>
    <s v=""/>
    <s v=""/>
    <n v="0"/>
    <n v="279"/>
    <n v="5"/>
    <x v="90"/>
    <s v="Sat"/>
    <n v="1"/>
  </r>
  <r>
    <n v="202003"/>
    <d v="2024-07-12T00:00:00"/>
    <n v="131370"/>
    <n v="200558"/>
    <x v="1"/>
    <x v="12"/>
    <n v="1"/>
    <n v="18.989999999999998"/>
    <s v="N"/>
    <s v=""/>
    <s v=""/>
    <n v="0"/>
    <n v="18.989999999999998"/>
    <n v="3"/>
    <x v="6"/>
    <s v="Fri"/>
    <n v="1"/>
  </r>
  <r>
    <n v="202004"/>
    <d v="2024-07-20T00:00:00"/>
    <n v="108698"/>
    <n v="300191"/>
    <x v="0"/>
    <x v="11"/>
    <n v="1"/>
    <n v="21.99"/>
    <s v="Y"/>
    <s v="SUMMER10"/>
    <n v="0.1"/>
    <n v="2.1989999999999998"/>
    <n v="19.790999999999997"/>
    <n v="4"/>
    <x v="91"/>
    <s v="Sat"/>
    <n v="1"/>
  </r>
  <r>
    <n v="202005"/>
    <d v="2024-07-12T00:00:00"/>
    <n v="120115"/>
    <n v="300190"/>
    <x v="0"/>
    <x v="0"/>
    <n v="4"/>
    <n v="35.99"/>
    <s v="N"/>
    <s v=""/>
    <s v=""/>
    <n v="0"/>
    <n v="143.96"/>
    <n v="3"/>
    <x v="92"/>
    <s v="Fri"/>
    <n v="0.16666666666666666"/>
  </r>
  <r>
    <n v="202005"/>
    <d v="2024-07-12T00:00:00"/>
    <n v="120115"/>
    <n v="200556"/>
    <x v="1"/>
    <x v="2"/>
    <n v="4"/>
    <n v="64.989999999999995"/>
    <s v="N"/>
    <s v=""/>
    <s v=""/>
    <n v="0"/>
    <n v="259.95999999999998"/>
    <n v="3"/>
    <x v="1"/>
    <s v="Fri"/>
    <n v="0.16666666666666666"/>
  </r>
  <r>
    <n v="202005"/>
    <d v="2024-07-12T00:00:00"/>
    <n v="120115"/>
    <n v="100252"/>
    <x v="2"/>
    <x v="5"/>
    <n v="1"/>
    <n v="449"/>
    <s v="N"/>
    <s v=""/>
    <s v=""/>
    <n v="0"/>
    <n v="449"/>
    <n v="5"/>
    <x v="1"/>
    <s v="Fri"/>
    <n v="0.16666666666666666"/>
  </r>
  <r>
    <n v="202005"/>
    <d v="2024-07-12T00:00:00"/>
    <n v="120115"/>
    <n v="300185"/>
    <x v="0"/>
    <x v="7"/>
    <n v="1"/>
    <n v="29.99"/>
    <s v="N"/>
    <s v=""/>
    <s v=""/>
    <n v="0"/>
    <n v="29.99"/>
    <n v="3"/>
    <x v="1"/>
    <s v="Fri"/>
    <n v="0.16666666666666666"/>
  </r>
  <r>
    <n v="202005"/>
    <d v="2024-07-12T00:00:00"/>
    <n v="120115"/>
    <n v="200556"/>
    <x v="1"/>
    <x v="2"/>
    <n v="1"/>
    <n v="64.989999999999995"/>
    <s v="N"/>
    <s v=""/>
    <s v=""/>
    <n v="0"/>
    <n v="64.989999999999995"/>
    <n v="3"/>
    <x v="1"/>
    <s v="Fri"/>
    <n v="0.16666666666666666"/>
  </r>
  <r>
    <n v="202005"/>
    <d v="2024-07-12T00:00:00"/>
    <n v="120115"/>
    <n v="100252"/>
    <x v="2"/>
    <x v="5"/>
    <n v="1"/>
    <n v="449"/>
    <s v="N"/>
    <s v=""/>
    <s v=""/>
    <n v="0"/>
    <n v="449"/>
    <n v="5"/>
    <x v="1"/>
    <s v="Fri"/>
    <n v="0.16666666666666666"/>
  </r>
  <r>
    <n v="202006"/>
    <d v="2024-07-19T00:00:00"/>
    <n v="105684"/>
    <n v="200555"/>
    <x v="1"/>
    <x v="27"/>
    <n v="1"/>
    <n v="39.99"/>
    <s v="N"/>
    <s v=""/>
    <s v=""/>
    <n v="0"/>
    <n v="39.99"/>
    <n v="3"/>
    <x v="93"/>
    <s v="Fri"/>
    <n v="0.5"/>
  </r>
  <r>
    <n v="202006"/>
    <d v="2024-07-19T00:00:00"/>
    <n v="105684"/>
    <n v="200549"/>
    <x v="1"/>
    <x v="1"/>
    <n v="4"/>
    <n v="18.989999999999998"/>
    <s v="N"/>
    <s v=""/>
    <s v=""/>
    <n v="0"/>
    <n v="75.959999999999994"/>
    <n v="3"/>
    <x v="1"/>
    <s v="Fri"/>
    <n v="0.5"/>
  </r>
  <r>
    <n v="202007"/>
    <d v="2024-07-19T00:00:00"/>
    <n v="113820"/>
    <n v="100250"/>
    <x v="2"/>
    <x v="16"/>
    <n v="1"/>
    <n v="189"/>
    <s v="N"/>
    <s v=""/>
    <s v=""/>
    <n v="0"/>
    <n v="189"/>
    <n v="5"/>
    <x v="56"/>
    <s v="Fri"/>
    <n v="1"/>
  </r>
  <r>
    <n v="202008"/>
    <d v="2024-07-10T00:00:00"/>
    <n v="124781"/>
    <n v="200556"/>
    <x v="1"/>
    <x v="2"/>
    <n v="1"/>
    <n v="64.989999999999995"/>
    <s v="N"/>
    <s v=""/>
    <s v=""/>
    <n v="0"/>
    <n v="64.989999999999995"/>
    <n v="1"/>
    <x v="94"/>
    <s v="Wed"/>
    <n v="0.25"/>
  </r>
  <r>
    <n v="202008"/>
    <d v="2024-07-10T00:00:00"/>
    <n v="124781"/>
    <n v="100252"/>
    <x v="2"/>
    <x v="5"/>
    <n v="1"/>
    <n v="449"/>
    <s v="N"/>
    <s v=""/>
    <s v=""/>
    <n v="0"/>
    <n v="449"/>
    <n v="5"/>
    <x v="1"/>
    <s v="Wed"/>
    <n v="0.25"/>
  </r>
  <r>
    <n v="202008"/>
    <d v="2024-07-10T00:00:00"/>
    <n v="124781"/>
    <n v="100254"/>
    <x v="2"/>
    <x v="9"/>
    <n v="1"/>
    <n v="799"/>
    <s v="N"/>
    <s v=""/>
    <s v=""/>
    <n v="0"/>
    <n v="799"/>
    <n v="7"/>
    <x v="1"/>
    <s v="Wed"/>
    <n v="0.25"/>
  </r>
  <r>
    <n v="202008"/>
    <d v="2024-07-10T00:00:00"/>
    <n v="124781"/>
    <n v="100255"/>
    <x v="2"/>
    <x v="22"/>
    <n v="1"/>
    <n v="1299"/>
    <s v="N"/>
    <s v=""/>
    <s v=""/>
    <n v="0"/>
    <n v="1299"/>
    <n v="4"/>
    <x v="1"/>
    <s v="Wed"/>
    <n v="0.25"/>
  </r>
  <r>
    <n v="202009"/>
    <d v="2024-07-11T00:00:00"/>
    <n v="121178"/>
    <n v="200559"/>
    <x v="1"/>
    <x v="3"/>
    <n v="5"/>
    <n v="59.99"/>
    <s v="N"/>
    <s v=""/>
    <s v=""/>
    <n v="0"/>
    <n v="299.95"/>
    <n v="3"/>
    <x v="95"/>
    <s v="Thu"/>
    <n v="0.2"/>
  </r>
  <r>
    <n v="202009"/>
    <d v="2024-07-11T00:00:00"/>
    <n v="121178"/>
    <n v="100252"/>
    <x v="2"/>
    <x v="5"/>
    <n v="1"/>
    <n v="449"/>
    <s v="N"/>
    <s v=""/>
    <s v=""/>
    <n v="0"/>
    <n v="449"/>
    <n v="7"/>
    <x v="1"/>
    <s v="Thu"/>
    <n v="0.2"/>
  </r>
  <r>
    <n v="202009"/>
    <d v="2024-07-11T00:00:00"/>
    <n v="121178"/>
    <n v="300185"/>
    <x v="0"/>
    <x v="7"/>
    <n v="1"/>
    <n v="29.99"/>
    <s v="N"/>
    <s v=""/>
    <s v=""/>
    <n v="0"/>
    <n v="29.99"/>
    <n v="3"/>
    <x v="1"/>
    <s v="Thu"/>
    <n v="0.2"/>
  </r>
  <r>
    <n v="202009"/>
    <d v="2024-07-11T00:00:00"/>
    <n v="121178"/>
    <n v="200559"/>
    <x v="1"/>
    <x v="3"/>
    <n v="1"/>
    <n v="59.99"/>
    <s v="N"/>
    <s v=""/>
    <s v=""/>
    <n v="0"/>
    <n v="59.99"/>
    <n v="4"/>
    <x v="1"/>
    <s v="Thu"/>
    <n v="0.2"/>
  </r>
  <r>
    <n v="202009"/>
    <d v="2024-07-11T00:00:00"/>
    <n v="121178"/>
    <n v="200549"/>
    <x v="1"/>
    <x v="1"/>
    <n v="3"/>
    <n v="18.989999999999998"/>
    <s v="N"/>
    <s v=""/>
    <s v=""/>
    <n v="0"/>
    <n v="56.97"/>
    <n v="4"/>
    <x v="1"/>
    <s v="Thu"/>
    <n v="0.2"/>
  </r>
  <r>
    <n v="202010"/>
    <d v="2024-07-20T00:00:00"/>
    <n v="113848"/>
    <n v="200548"/>
    <x v="1"/>
    <x v="21"/>
    <n v="1"/>
    <n v="29.99"/>
    <s v="N"/>
    <s v=""/>
    <s v=""/>
    <n v="0"/>
    <n v="29.99"/>
    <n v="4"/>
    <x v="31"/>
    <s v="Sat"/>
    <n v="1"/>
  </r>
  <r>
    <n v="202011"/>
    <d v="2024-07-19T00:00:00"/>
    <n v="118499"/>
    <n v="200549"/>
    <x v="1"/>
    <x v="1"/>
    <n v="1"/>
    <n v="18.989999999999998"/>
    <s v="N"/>
    <s v=""/>
    <s v=""/>
    <n v="0"/>
    <n v="18.989999999999998"/>
    <n v="2"/>
    <x v="96"/>
    <s v="Fri"/>
    <n v="0.2"/>
  </r>
  <r>
    <n v="202011"/>
    <d v="2024-07-19T00:00:00"/>
    <n v="118499"/>
    <n v="100256"/>
    <x v="2"/>
    <x v="18"/>
    <n v="3"/>
    <n v="1499"/>
    <s v="N"/>
    <s v=""/>
    <s v=""/>
    <n v="0"/>
    <n v="4497"/>
    <n v="5"/>
    <x v="1"/>
    <s v="Fri"/>
    <n v="0.2"/>
  </r>
  <r>
    <n v="202011"/>
    <d v="2024-07-19T00:00:00"/>
    <n v="118499"/>
    <n v="200559"/>
    <x v="1"/>
    <x v="3"/>
    <n v="3"/>
    <n v="59.99"/>
    <s v="N"/>
    <s v=""/>
    <s v=""/>
    <n v="0"/>
    <n v="179.97"/>
    <n v="2"/>
    <x v="1"/>
    <s v="Fri"/>
    <n v="0.2"/>
  </r>
  <r>
    <n v="202011"/>
    <d v="2024-07-19T00:00:00"/>
    <n v="118499"/>
    <n v="300191"/>
    <x v="0"/>
    <x v="11"/>
    <n v="2"/>
    <n v="21.99"/>
    <s v="N"/>
    <s v=""/>
    <s v=""/>
    <n v="0"/>
    <n v="43.98"/>
    <n v="4"/>
    <x v="1"/>
    <s v="Fri"/>
    <n v="0.2"/>
  </r>
  <r>
    <n v="202011"/>
    <d v="2024-07-19T00:00:00"/>
    <n v="118499"/>
    <n v="300185"/>
    <x v="0"/>
    <x v="7"/>
    <n v="1"/>
    <n v="29.99"/>
    <s v="N"/>
    <s v=""/>
    <s v=""/>
    <n v="0"/>
    <n v="29.99"/>
    <n v="3"/>
    <x v="1"/>
    <s v="Fri"/>
    <n v="0.2"/>
  </r>
  <r>
    <n v="202012"/>
    <d v="2024-07-10T00:00:00"/>
    <n v="110200"/>
    <n v="100252"/>
    <x v="2"/>
    <x v="5"/>
    <n v="2"/>
    <n v="449"/>
    <s v="N"/>
    <s v=""/>
    <s v=""/>
    <n v="0"/>
    <n v="898"/>
    <n v="4"/>
    <x v="97"/>
    <s v="Wed"/>
    <n v="1"/>
  </r>
  <r>
    <n v="202013"/>
    <d v="2024-07-20T00:00:00"/>
    <n v="110999"/>
    <n v="200549"/>
    <x v="1"/>
    <x v="1"/>
    <n v="1"/>
    <n v="18.989999999999998"/>
    <s v="N"/>
    <s v=""/>
    <s v=""/>
    <n v="0"/>
    <n v="18.989999999999998"/>
    <n v="1"/>
    <x v="98"/>
    <s v="Sat"/>
    <n v="0.25"/>
  </r>
  <r>
    <n v="202013"/>
    <d v="2024-07-20T00:00:00"/>
    <n v="110999"/>
    <n v="200556"/>
    <x v="1"/>
    <x v="2"/>
    <n v="4"/>
    <n v="64.989999999999995"/>
    <s v="N"/>
    <s v=""/>
    <s v=""/>
    <n v="0"/>
    <n v="259.95999999999998"/>
    <n v="3"/>
    <x v="1"/>
    <s v="Sat"/>
    <n v="0.25"/>
  </r>
  <r>
    <n v="202013"/>
    <d v="2024-07-20T00:00:00"/>
    <n v="110999"/>
    <n v="200549"/>
    <x v="1"/>
    <x v="1"/>
    <n v="2"/>
    <n v="18.989999999999998"/>
    <s v="N"/>
    <s v=""/>
    <s v=""/>
    <n v="0"/>
    <n v="37.979999999999997"/>
    <n v="4"/>
    <x v="1"/>
    <s v="Sat"/>
    <n v="0.25"/>
  </r>
  <r>
    <n v="202013"/>
    <d v="2024-07-20T00:00:00"/>
    <n v="110999"/>
    <n v="200559"/>
    <x v="1"/>
    <x v="3"/>
    <n v="1"/>
    <n v="59.99"/>
    <s v="N"/>
    <s v=""/>
    <s v=""/>
    <n v="0"/>
    <n v="59.99"/>
    <n v="1"/>
    <x v="1"/>
    <s v="Sat"/>
    <n v="0.25"/>
  </r>
  <r>
    <n v="202014"/>
    <d v="2024-07-19T00:00:00"/>
    <n v="113319"/>
    <n v="200557"/>
    <x v="1"/>
    <x v="13"/>
    <n v="1"/>
    <n v="129.99"/>
    <s v="N"/>
    <s v=""/>
    <s v=""/>
    <n v="0"/>
    <n v="129.99"/>
    <n v="1"/>
    <x v="99"/>
    <s v="Fri"/>
    <n v="0.33333333333333331"/>
  </r>
  <r>
    <n v="202014"/>
    <d v="2024-07-19T00:00:00"/>
    <n v="113319"/>
    <n v="100250"/>
    <x v="2"/>
    <x v="16"/>
    <n v="2"/>
    <n v="189"/>
    <s v="N"/>
    <s v=""/>
    <s v=""/>
    <n v="0"/>
    <n v="378"/>
    <n v="5"/>
    <x v="1"/>
    <s v="Fri"/>
    <n v="0.33333333333333331"/>
  </r>
  <r>
    <n v="202014"/>
    <d v="2024-07-19T00:00:00"/>
    <n v="113319"/>
    <n v="200556"/>
    <x v="1"/>
    <x v="2"/>
    <n v="3"/>
    <n v="64.989999999999995"/>
    <s v="N"/>
    <s v=""/>
    <s v=""/>
    <n v="0"/>
    <n v="194.96999999999997"/>
    <n v="4"/>
    <x v="1"/>
    <s v="Fri"/>
    <n v="0.33333333333333331"/>
  </r>
  <r>
    <n v="202015"/>
    <d v="2024-07-20T00:00:00"/>
    <n v="115740"/>
    <n v="200548"/>
    <x v="1"/>
    <x v="21"/>
    <n v="1"/>
    <n v="29.99"/>
    <s v="N"/>
    <s v=""/>
    <s v=""/>
    <n v="0"/>
    <n v="29.99"/>
    <n v="3"/>
    <x v="100"/>
    <s v="Sat"/>
    <n v="0.16666666666666666"/>
  </r>
  <r>
    <n v="202015"/>
    <d v="2024-07-20T00:00:00"/>
    <n v="115740"/>
    <n v="100250"/>
    <x v="2"/>
    <x v="16"/>
    <n v="2"/>
    <n v="189"/>
    <s v="N"/>
    <s v=""/>
    <s v=""/>
    <n v="0"/>
    <n v="378"/>
    <n v="4"/>
    <x v="1"/>
    <s v="Sat"/>
    <n v="0.16666666666666666"/>
  </r>
  <r>
    <n v="202015"/>
    <d v="2024-07-20T00:00:00"/>
    <n v="115740"/>
    <n v="200549"/>
    <x v="1"/>
    <x v="1"/>
    <n v="1"/>
    <n v="18.989999999999998"/>
    <s v="N"/>
    <s v=""/>
    <s v=""/>
    <n v="0"/>
    <n v="18.989999999999998"/>
    <n v="4"/>
    <x v="1"/>
    <s v="Sat"/>
    <n v="0.16666666666666666"/>
  </r>
  <r>
    <n v="202015"/>
    <d v="2024-07-20T00:00:00"/>
    <n v="115740"/>
    <n v="100253"/>
    <x v="2"/>
    <x v="28"/>
    <n v="1"/>
    <n v="279"/>
    <s v="N"/>
    <s v=""/>
    <s v=""/>
    <n v="0"/>
    <n v="279"/>
    <n v="5"/>
    <x v="1"/>
    <s v="Sat"/>
    <n v="0.16666666666666666"/>
  </r>
  <r>
    <n v="202015"/>
    <d v="2024-07-20T00:00:00"/>
    <n v="115740"/>
    <n v="100250"/>
    <x v="2"/>
    <x v="16"/>
    <n v="1"/>
    <n v="189"/>
    <s v="N"/>
    <s v=""/>
    <s v=""/>
    <n v="0"/>
    <n v="189"/>
    <n v="5"/>
    <x v="1"/>
    <s v="Sat"/>
    <n v="0.16666666666666666"/>
  </r>
  <r>
    <n v="202015"/>
    <d v="2024-07-20T00:00:00"/>
    <n v="115740"/>
    <n v="100250"/>
    <x v="2"/>
    <x v="16"/>
    <n v="1"/>
    <n v="189"/>
    <s v="N"/>
    <s v=""/>
    <s v=""/>
    <n v="0"/>
    <n v="189"/>
    <n v="2"/>
    <x v="1"/>
    <s v="Sat"/>
    <n v="0.16666666666666666"/>
  </r>
  <r>
    <n v="202016"/>
    <d v="2024-07-17T00:00:00"/>
    <n v="119017"/>
    <n v="300185"/>
    <x v="0"/>
    <x v="7"/>
    <n v="4"/>
    <n v="29.99"/>
    <s v="N"/>
    <s v=""/>
    <s v=""/>
    <n v="0"/>
    <n v="119.96"/>
    <n v="4"/>
    <x v="101"/>
    <s v="Wed"/>
    <n v="1"/>
  </r>
  <r>
    <n v="202017"/>
    <d v="2024-07-10T00:00:00"/>
    <n v="109729"/>
    <n v="100250"/>
    <x v="2"/>
    <x v="16"/>
    <n v="1"/>
    <n v="189"/>
    <s v="Y"/>
    <s v="SUMMER10"/>
    <n v="0.1"/>
    <n v="18.900000000000002"/>
    <n v="170.1"/>
    <n v="4"/>
    <x v="102"/>
    <s v="Wed"/>
    <n v="1"/>
  </r>
  <r>
    <n v="202018"/>
    <d v="2024-07-17T00:00:00"/>
    <n v="119071"/>
    <n v="300191"/>
    <x v="0"/>
    <x v="11"/>
    <n v="1"/>
    <n v="21.99"/>
    <s v="N"/>
    <s v=""/>
    <s v=""/>
    <n v="0"/>
    <n v="21.99"/>
    <n v="1"/>
    <x v="103"/>
    <s v="Wed"/>
    <n v="0.25"/>
  </r>
  <r>
    <n v="202018"/>
    <d v="2024-07-17T00:00:00"/>
    <n v="119071"/>
    <n v="100252"/>
    <x v="2"/>
    <x v="5"/>
    <n v="3"/>
    <n v="449"/>
    <s v="N"/>
    <s v=""/>
    <s v=""/>
    <n v="0"/>
    <n v="1347"/>
    <n v="5"/>
    <x v="1"/>
    <s v="Wed"/>
    <n v="0.25"/>
  </r>
  <r>
    <n v="202018"/>
    <d v="2024-07-17T00:00:00"/>
    <n v="119071"/>
    <n v="200549"/>
    <x v="1"/>
    <x v="1"/>
    <n v="2"/>
    <n v="18.989999999999998"/>
    <s v="N"/>
    <s v=""/>
    <s v=""/>
    <n v="0"/>
    <n v="37.979999999999997"/>
    <n v="1"/>
    <x v="1"/>
    <s v="Wed"/>
    <n v="0.25"/>
  </r>
  <r>
    <n v="202018"/>
    <d v="2024-07-17T00:00:00"/>
    <n v="119071"/>
    <n v="200556"/>
    <x v="1"/>
    <x v="2"/>
    <n v="4"/>
    <n v="64.989999999999995"/>
    <s v="N"/>
    <s v=""/>
    <s v=""/>
    <n v="0"/>
    <n v="259.95999999999998"/>
    <n v="1"/>
    <x v="1"/>
    <s v="Wed"/>
    <n v="0.25"/>
  </r>
  <r>
    <n v="202019"/>
    <d v="2024-07-12T00:00:00"/>
    <n v="106630"/>
    <n v="200556"/>
    <x v="1"/>
    <x v="2"/>
    <n v="4"/>
    <n v="64.989999999999995"/>
    <s v="N"/>
    <s v=""/>
    <s v=""/>
    <n v="0"/>
    <n v="259.95999999999998"/>
    <n v="4"/>
    <x v="104"/>
    <s v="Fri"/>
    <n v="1"/>
  </r>
  <r>
    <n v="202020"/>
    <d v="2024-07-19T00:00:00"/>
    <n v="111955"/>
    <n v="200559"/>
    <x v="1"/>
    <x v="3"/>
    <n v="2"/>
    <n v="59.99"/>
    <s v="N"/>
    <s v=""/>
    <s v=""/>
    <n v="0"/>
    <n v="119.98"/>
    <n v="2"/>
    <x v="3"/>
    <s v="Fri"/>
    <n v="1"/>
  </r>
  <r>
    <n v="202021"/>
    <d v="2024-07-10T00:00:00"/>
    <n v="122867"/>
    <n v="200559"/>
    <x v="1"/>
    <x v="3"/>
    <n v="1"/>
    <n v="59.99"/>
    <s v="N"/>
    <s v=""/>
    <s v=""/>
    <n v="0"/>
    <n v="59.99"/>
    <n v="3"/>
    <x v="29"/>
    <s v="Wed"/>
    <n v="1"/>
  </r>
  <r>
    <n v="202022"/>
    <d v="2024-07-13T00:00:00"/>
    <n v="124240"/>
    <n v="100250"/>
    <x v="2"/>
    <x v="16"/>
    <n v="1"/>
    <n v="189"/>
    <s v="N"/>
    <s v=""/>
    <s v=""/>
    <n v="0"/>
    <n v="189"/>
    <n v="2"/>
    <x v="56"/>
    <s v="Sat"/>
    <n v="1"/>
  </r>
  <r>
    <n v="202023"/>
    <d v="2024-07-12T00:00:00"/>
    <n v="131853"/>
    <n v="100252"/>
    <x v="2"/>
    <x v="5"/>
    <n v="4"/>
    <n v="449"/>
    <s v="Y"/>
    <s v="SUMMER10"/>
    <n v="0.1"/>
    <n v="179.60000000000002"/>
    <n v="1616.4"/>
    <n v="7"/>
    <x v="58"/>
    <s v="Fri"/>
    <n v="1"/>
  </r>
  <r>
    <n v="202024"/>
    <d v="2024-07-19T00:00:00"/>
    <n v="106963"/>
    <n v="100254"/>
    <x v="2"/>
    <x v="9"/>
    <n v="3"/>
    <n v="799"/>
    <s v="N"/>
    <s v=""/>
    <s v=""/>
    <n v="0"/>
    <n v="2397"/>
    <n v="6"/>
    <x v="105"/>
    <s v="Fri"/>
    <n v="0.25"/>
  </r>
  <r>
    <n v="202024"/>
    <d v="2024-07-19T00:00:00"/>
    <n v="106963"/>
    <n v="300188"/>
    <x v="0"/>
    <x v="23"/>
    <n v="5"/>
    <n v="64.989999999999995"/>
    <s v="N"/>
    <s v=""/>
    <s v=""/>
    <n v="0"/>
    <n v="324.95"/>
    <n v="2"/>
    <x v="1"/>
    <s v="Fri"/>
    <n v="0.25"/>
  </r>
  <r>
    <n v="202024"/>
    <d v="2024-07-19T00:00:00"/>
    <n v="106963"/>
    <n v="100251"/>
    <x v="2"/>
    <x v="14"/>
    <n v="1"/>
    <n v="399"/>
    <s v="N"/>
    <s v=""/>
    <s v=""/>
    <n v="0"/>
    <n v="399"/>
    <n v="4"/>
    <x v="1"/>
    <s v="Fri"/>
    <n v="0.25"/>
  </r>
  <r>
    <n v="202024"/>
    <d v="2024-07-19T00:00:00"/>
    <n v="106963"/>
    <n v="300185"/>
    <x v="0"/>
    <x v="7"/>
    <n v="1"/>
    <n v="29.99"/>
    <s v="N"/>
    <s v=""/>
    <s v=""/>
    <n v="0"/>
    <n v="29.99"/>
    <n v="2"/>
    <x v="1"/>
    <s v="Fri"/>
    <n v="0.25"/>
  </r>
  <r>
    <n v="202025"/>
    <d v="2024-07-14T00:00:00"/>
    <n v="113697"/>
    <n v="100248"/>
    <x v="2"/>
    <x v="24"/>
    <n v="2"/>
    <n v="199"/>
    <s v="N"/>
    <s v=""/>
    <s v=""/>
    <n v="0"/>
    <n v="398"/>
    <n v="3"/>
    <x v="106"/>
    <s v="Sun"/>
    <n v="1"/>
  </r>
  <r>
    <n v="202026"/>
    <d v="2024-07-12T00:00:00"/>
    <n v="122862"/>
    <n v="200554"/>
    <x v="1"/>
    <x v="6"/>
    <n v="1"/>
    <n v="67.989999999999995"/>
    <s v="Y"/>
    <s v="SUBSCRIBE10"/>
    <n v="0.1"/>
    <n v="6.7989999999999995"/>
    <n v="61.190999999999995"/>
    <n v="2"/>
    <x v="107"/>
    <s v="Fri"/>
    <n v="0.5"/>
  </r>
  <r>
    <n v="202026"/>
    <d v="2024-07-12T00:00:00"/>
    <n v="122862"/>
    <n v="200549"/>
    <x v="1"/>
    <x v="1"/>
    <n v="1"/>
    <n v="18.989999999999998"/>
    <s v="Y"/>
    <s v="SUBSCRIBE10"/>
    <n v="0.1"/>
    <n v="1.899"/>
    <n v="17.090999999999998"/>
    <n v="1"/>
    <x v="1"/>
    <s v="Fri"/>
    <n v="0.5"/>
  </r>
  <r>
    <n v="202027"/>
    <d v="2024-07-17T00:00:00"/>
    <n v="132016"/>
    <n v="200550"/>
    <x v="1"/>
    <x v="19"/>
    <n v="1"/>
    <n v="15.99"/>
    <s v="Y"/>
    <s v="SUMMER10"/>
    <n v="0.1"/>
    <n v="1.5990000000000002"/>
    <n v="14.391"/>
    <n v="4"/>
    <x v="108"/>
    <s v="Wed"/>
    <n v="0.2"/>
  </r>
  <r>
    <n v="202027"/>
    <d v="2024-07-17T00:00:00"/>
    <n v="132016"/>
    <n v="300191"/>
    <x v="0"/>
    <x v="11"/>
    <n v="3"/>
    <n v="21.99"/>
    <s v="Y"/>
    <s v="SUMMER10"/>
    <n v="0.1"/>
    <n v="6.5970000000000004"/>
    <n v="59.372999999999998"/>
    <n v="3"/>
    <x v="1"/>
    <s v="Wed"/>
    <n v="0.2"/>
  </r>
  <r>
    <n v="202027"/>
    <d v="2024-07-17T00:00:00"/>
    <n v="132016"/>
    <n v="300185"/>
    <x v="0"/>
    <x v="7"/>
    <n v="4"/>
    <n v="29.99"/>
    <s v="Y"/>
    <s v="SUMMER10"/>
    <n v="0.1"/>
    <n v="11.996"/>
    <n v="107.964"/>
    <n v="3"/>
    <x v="1"/>
    <s v="Wed"/>
    <n v="0.2"/>
  </r>
  <r>
    <n v="202027"/>
    <d v="2024-07-17T00:00:00"/>
    <n v="132016"/>
    <n v="100250"/>
    <x v="2"/>
    <x v="16"/>
    <n v="4"/>
    <n v="189"/>
    <s v="Y"/>
    <s v="SUMMER10"/>
    <n v="0.1"/>
    <n v="75.600000000000009"/>
    <n v="680.4"/>
    <n v="6"/>
    <x v="1"/>
    <s v="Wed"/>
    <n v="0.2"/>
  </r>
  <r>
    <n v="202027"/>
    <d v="2024-07-17T00:00:00"/>
    <n v="132016"/>
    <n v="200559"/>
    <x v="1"/>
    <x v="3"/>
    <n v="1"/>
    <n v="59.99"/>
    <s v="Y"/>
    <s v="SUMMER10"/>
    <n v="0.1"/>
    <n v="5.9990000000000006"/>
    <n v="53.991"/>
    <n v="3"/>
    <x v="1"/>
    <s v="Wed"/>
    <n v="0.2"/>
  </r>
  <r>
    <n v="202028"/>
    <d v="2024-07-18T00:00:00"/>
    <n v="117687"/>
    <n v="200551"/>
    <x v="1"/>
    <x v="26"/>
    <n v="1"/>
    <n v="79.989999999999995"/>
    <s v="N"/>
    <s v=""/>
    <s v=""/>
    <n v="0"/>
    <n v="79.989999999999995"/>
    <n v="2"/>
    <x v="109"/>
    <s v="Thu"/>
    <n v="1"/>
  </r>
  <r>
    <n v="202029"/>
    <d v="2024-07-15T00:00:00"/>
    <n v="129149"/>
    <n v="300188"/>
    <x v="0"/>
    <x v="23"/>
    <n v="1"/>
    <n v="64.989999999999995"/>
    <s v="N"/>
    <s v=""/>
    <s v=""/>
    <n v="0"/>
    <n v="64.989999999999995"/>
    <n v="3"/>
    <x v="82"/>
    <s v="Mon"/>
    <n v="1"/>
  </r>
  <r>
    <n v="202030"/>
    <d v="2024-07-11T00:00:00"/>
    <n v="122137"/>
    <n v="100250"/>
    <x v="2"/>
    <x v="16"/>
    <n v="4"/>
    <n v="189"/>
    <s v="N"/>
    <s v=""/>
    <s v=""/>
    <n v="0"/>
    <n v="756"/>
    <n v="7"/>
    <x v="110"/>
    <s v="Thu"/>
    <n v="1"/>
  </r>
  <r>
    <n v="202031"/>
    <d v="2024-07-15T00:00:00"/>
    <n v="123955"/>
    <n v="300187"/>
    <x v="0"/>
    <x v="20"/>
    <n v="2"/>
    <n v="54.99"/>
    <s v="N"/>
    <s v=""/>
    <s v=""/>
    <n v="0"/>
    <n v="109.98"/>
    <n v="1"/>
    <x v="111"/>
    <s v="Mon"/>
    <n v="1"/>
  </r>
  <r>
    <n v="202032"/>
    <d v="2024-07-15T00:00:00"/>
    <n v="109878"/>
    <n v="100254"/>
    <x v="2"/>
    <x v="9"/>
    <n v="3"/>
    <n v="799"/>
    <s v="N"/>
    <s v=""/>
    <s v=""/>
    <n v="0"/>
    <n v="2397"/>
    <n v="2"/>
    <x v="112"/>
    <s v="Mon"/>
    <n v="0.25"/>
  </r>
  <r>
    <n v="202032"/>
    <d v="2024-07-15T00:00:00"/>
    <n v="109878"/>
    <n v="200559"/>
    <x v="1"/>
    <x v="3"/>
    <n v="3"/>
    <n v="59.99"/>
    <s v="N"/>
    <s v=""/>
    <s v=""/>
    <n v="0"/>
    <n v="179.97"/>
    <n v="3"/>
    <x v="1"/>
    <s v="Mon"/>
    <n v="0.25"/>
  </r>
  <r>
    <n v="202032"/>
    <d v="2024-07-15T00:00:00"/>
    <n v="109878"/>
    <n v="300185"/>
    <x v="0"/>
    <x v="7"/>
    <n v="4"/>
    <n v="29.99"/>
    <s v="N"/>
    <s v=""/>
    <s v=""/>
    <n v="0"/>
    <n v="119.96"/>
    <n v="1"/>
    <x v="1"/>
    <s v="Mon"/>
    <n v="0.25"/>
  </r>
  <r>
    <n v="202032"/>
    <d v="2024-07-15T00:00:00"/>
    <n v="109878"/>
    <n v="200554"/>
    <x v="1"/>
    <x v="6"/>
    <n v="1"/>
    <n v="67.989999999999995"/>
    <s v="N"/>
    <s v=""/>
    <s v=""/>
    <n v="0"/>
    <n v="67.989999999999995"/>
    <n v="3"/>
    <x v="1"/>
    <s v="Mon"/>
    <n v="0.25"/>
  </r>
  <r>
    <n v="202033"/>
    <d v="2024-07-15T00:00:00"/>
    <n v="118997"/>
    <n v="100252"/>
    <x v="2"/>
    <x v="5"/>
    <n v="1"/>
    <n v="449"/>
    <s v="N"/>
    <s v=""/>
    <s v=""/>
    <n v="0"/>
    <n v="449"/>
    <n v="7"/>
    <x v="113"/>
    <s v="Mon"/>
    <n v="0.25"/>
  </r>
  <r>
    <n v="202033"/>
    <d v="2024-07-15T00:00:00"/>
    <n v="118997"/>
    <n v="200555"/>
    <x v="1"/>
    <x v="27"/>
    <n v="1"/>
    <n v="39.99"/>
    <s v="N"/>
    <s v=""/>
    <s v=""/>
    <n v="0"/>
    <n v="39.99"/>
    <n v="4"/>
    <x v="1"/>
    <s v="Mon"/>
    <n v="0.25"/>
  </r>
  <r>
    <n v="202033"/>
    <d v="2024-07-15T00:00:00"/>
    <n v="118997"/>
    <n v="300191"/>
    <x v="0"/>
    <x v="11"/>
    <n v="1"/>
    <n v="21.99"/>
    <s v="N"/>
    <s v=""/>
    <s v=""/>
    <n v="0"/>
    <n v="21.99"/>
    <n v="3"/>
    <x v="1"/>
    <s v="Mon"/>
    <n v="0.25"/>
  </r>
  <r>
    <n v="202033"/>
    <d v="2024-07-15T00:00:00"/>
    <n v="118997"/>
    <n v="100248"/>
    <x v="2"/>
    <x v="24"/>
    <n v="1"/>
    <n v="199"/>
    <s v="N"/>
    <s v=""/>
    <s v=""/>
    <n v="0"/>
    <n v="199"/>
    <n v="4"/>
    <x v="1"/>
    <s v="Mon"/>
    <n v="0.25"/>
  </r>
  <r>
    <n v="202034"/>
    <d v="2024-07-13T00:00:00"/>
    <n v="120688"/>
    <n v="200549"/>
    <x v="1"/>
    <x v="1"/>
    <n v="2"/>
    <n v="18.989999999999998"/>
    <s v="N"/>
    <s v=""/>
    <s v=""/>
    <n v="0"/>
    <n v="37.979999999999997"/>
    <n v="1"/>
    <x v="52"/>
    <s v="Sat"/>
    <n v="1"/>
  </r>
  <r>
    <n v="202035"/>
    <d v="2024-07-12T00:00:00"/>
    <n v="117857"/>
    <n v="200559"/>
    <x v="1"/>
    <x v="3"/>
    <n v="4"/>
    <n v="59.99"/>
    <s v="N"/>
    <s v=""/>
    <s v=""/>
    <n v="0"/>
    <n v="239.96"/>
    <n v="3"/>
    <x v="114"/>
    <s v="Fri"/>
    <n v="0.5"/>
  </r>
  <r>
    <n v="202035"/>
    <d v="2024-07-12T00:00:00"/>
    <n v="117857"/>
    <n v="200549"/>
    <x v="1"/>
    <x v="1"/>
    <n v="4"/>
    <n v="18.989999999999998"/>
    <s v="N"/>
    <s v=""/>
    <s v=""/>
    <n v="0"/>
    <n v="75.959999999999994"/>
    <n v="4"/>
    <x v="1"/>
    <s v="Fri"/>
    <n v="0.5"/>
  </r>
  <r>
    <n v="202036"/>
    <d v="2024-07-13T00:00:00"/>
    <n v="108874"/>
    <n v="300191"/>
    <x v="0"/>
    <x v="11"/>
    <n v="4"/>
    <n v="21.99"/>
    <s v="N"/>
    <s v=""/>
    <s v=""/>
    <n v="0"/>
    <n v="87.96"/>
    <n v="3"/>
    <x v="115"/>
    <s v="Sat"/>
    <n v="1"/>
  </r>
  <r>
    <n v="202037"/>
    <d v="2024-07-20T00:00:00"/>
    <n v="118762"/>
    <n v="200552"/>
    <x v="1"/>
    <x v="17"/>
    <n v="1"/>
    <n v="49.99"/>
    <s v="N"/>
    <s v=""/>
    <s v=""/>
    <n v="0"/>
    <n v="49.99"/>
    <n v="1"/>
    <x v="116"/>
    <s v="Sat"/>
    <n v="0.5"/>
  </r>
  <r>
    <n v="202037"/>
    <d v="2024-07-20T00:00:00"/>
    <n v="118762"/>
    <n v="300185"/>
    <x v="0"/>
    <x v="7"/>
    <n v="1"/>
    <n v="29.99"/>
    <s v="N"/>
    <s v=""/>
    <s v=""/>
    <n v="0"/>
    <n v="29.99"/>
    <n v="3"/>
    <x v="1"/>
    <s v="Sat"/>
    <n v="0.5"/>
  </r>
  <r>
    <n v="202038"/>
    <d v="2024-07-20T00:00:00"/>
    <n v="123418"/>
    <n v="300191"/>
    <x v="0"/>
    <x v="11"/>
    <n v="2"/>
    <n v="21.99"/>
    <s v="N"/>
    <s v=""/>
    <s v=""/>
    <n v="0"/>
    <n v="43.98"/>
    <n v="4"/>
    <x v="117"/>
    <s v="Sat"/>
    <n v="1"/>
  </r>
  <r>
    <n v="202039"/>
    <d v="2024-07-11T00:00:00"/>
    <n v="115885"/>
    <n v="100250"/>
    <x v="2"/>
    <x v="16"/>
    <n v="2"/>
    <n v="189"/>
    <s v="N"/>
    <s v=""/>
    <s v=""/>
    <n v="0"/>
    <n v="378"/>
    <n v="7"/>
    <x v="118"/>
    <s v="Thu"/>
    <n v="0.5"/>
  </r>
  <r>
    <n v="202039"/>
    <d v="2024-07-11T00:00:00"/>
    <n v="115885"/>
    <n v="100250"/>
    <x v="2"/>
    <x v="16"/>
    <n v="5"/>
    <n v="189"/>
    <s v="N"/>
    <s v=""/>
    <s v=""/>
    <n v="0"/>
    <n v="945"/>
    <n v="7"/>
    <x v="1"/>
    <s v="Thu"/>
    <n v="0.5"/>
  </r>
  <r>
    <n v="202040"/>
    <d v="2024-07-19T00:00:00"/>
    <n v="111920"/>
    <n v="100252"/>
    <x v="2"/>
    <x v="5"/>
    <n v="1"/>
    <n v="449"/>
    <s v="N"/>
    <s v=""/>
    <s v=""/>
    <n v="0"/>
    <n v="449"/>
    <n v="5"/>
    <x v="119"/>
    <s v="Fri"/>
    <n v="0.5"/>
  </r>
  <r>
    <n v="202040"/>
    <d v="2024-07-19T00:00:00"/>
    <n v="111920"/>
    <n v="100250"/>
    <x v="2"/>
    <x v="16"/>
    <n v="1"/>
    <n v="189"/>
    <s v="N"/>
    <s v=""/>
    <s v=""/>
    <n v="0"/>
    <n v="189"/>
    <n v="6"/>
    <x v="1"/>
    <s v="Fri"/>
    <n v="0.5"/>
  </r>
  <r>
    <n v="202041"/>
    <d v="2024-07-11T00:00:00"/>
    <n v="130193"/>
    <n v="100252"/>
    <x v="2"/>
    <x v="5"/>
    <n v="2"/>
    <n v="449"/>
    <s v="Y"/>
    <s v="SUMMER10"/>
    <n v="0.1"/>
    <n v="89.800000000000011"/>
    <n v="808.2"/>
    <n v="3"/>
    <x v="120"/>
    <s v="Thu"/>
    <n v="0.5"/>
  </r>
  <r>
    <n v="202041"/>
    <d v="2024-07-11T00:00:00"/>
    <n v="130193"/>
    <n v="300185"/>
    <x v="0"/>
    <x v="7"/>
    <n v="3"/>
    <n v="29.99"/>
    <s v="Y"/>
    <s v="SUMMER10"/>
    <n v="0.1"/>
    <n v="8.9969999999999999"/>
    <n v="80.972999999999999"/>
    <n v="4"/>
    <x v="1"/>
    <s v="Thu"/>
    <n v="0.5"/>
  </r>
  <r>
    <n v="202042"/>
    <d v="2024-07-12T00:00:00"/>
    <n v="105038"/>
    <n v="200549"/>
    <x v="1"/>
    <x v="1"/>
    <n v="3"/>
    <n v="18.989999999999998"/>
    <s v="Y"/>
    <s v="PADDLE15"/>
    <n v="0.15"/>
    <n v="8.5454999999999988"/>
    <n v="48.424500000000002"/>
    <n v="2"/>
    <x v="121"/>
    <s v="Fri"/>
    <n v="0.25"/>
  </r>
  <r>
    <n v="202042"/>
    <d v="2024-07-12T00:00:00"/>
    <n v="105038"/>
    <n v="300187"/>
    <x v="0"/>
    <x v="20"/>
    <n v="2"/>
    <n v="54.99"/>
    <s v="Y"/>
    <s v="PADDLE15"/>
    <n v="0.15"/>
    <n v="16.497"/>
    <n v="93.483000000000004"/>
    <n v="2"/>
    <x v="1"/>
    <s v="Fri"/>
    <n v="0.25"/>
  </r>
  <r>
    <n v="202042"/>
    <d v="2024-07-12T00:00:00"/>
    <n v="105038"/>
    <n v="300191"/>
    <x v="0"/>
    <x v="11"/>
    <n v="4"/>
    <n v="21.99"/>
    <s v="Y"/>
    <s v="PADDLE15"/>
    <n v="0.15"/>
    <n v="13.193999999999999"/>
    <n v="74.765999999999991"/>
    <n v="1"/>
    <x v="1"/>
    <s v="Fri"/>
    <n v="0.25"/>
  </r>
  <r>
    <n v="202042"/>
    <d v="2024-07-12T00:00:00"/>
    <n v="105038"/>
    <n v="200556"/>
    <x v="1"/>
    <x v="2"/>
    <n v="2"/>
    <n v="64.989999999999995"/>
    <s v="Y"/>
    <s v="PADDLE15"/>
    <n v="0.15"/>
    <n v="19.496999999999996"/>
    <n v="110.48299999999999"/>
    <n v="3"/>
    <x v="1"/>
    <s v="Fri"/>
    <n v="0.25"/>
  </r>
  <r>
    <n v="202043"/>
    <d v="2024-07-10T00:00:00"/>
    <n v="125418"/>
    <n v="300186"/>
    <x v="0"/>
    <x v="25"/>
    <n v="1"/>
    <n v="49.99"/>
    <s v="N"/>
    <s v=""/>
    <s v=""/>
    <n v="0"/>
    <n v="49.99"/>
    <n v="4"/>
    <x v="122"/>
    <s v="Wed"/>
    <n v="0.25"/>
  </r>
  <r>
    <n v="202043"/>
    <d v="2024-07-10T00:00:00"/>
    <n v="125418"/>
    <n v="100250"/>
    <x v="2"/>
    <x v="16"/>
    <n v="4"/>
    <n v="189"/>
    <s v="N"/>
    <s v=""/>
    <s v=""/>
    <n v="0"/>
    <n v="756"/>
    <n v="4"/>
    <x v="1"/>
    <s v="Wed"/>
    <n v="0.25"/>
  </r>
  <r>
    <n v="202043"/>
    <d v="2024-07-10T00:00:00"/>
    <n v="125418"/>
    <n v="200559"/>
    <x v="1"/>
    <x v="3"/>
    <n v="1"/>
    <n v="59.99"/>
    <s v="N"/>
    <s v=""/>
    <s v=""/>
    <n v="0"/>
    <n v="59.99"/>
    <n v="2"/>
    <x v="1"/>
    <s v="Wed"/>
    <n v="0.25"/>
  </r>
  <r>
    <n v="202043"/>
    <d v="2024-07-10T00:00:00"/>
    <n v="125418"/>
    <n v="300188"/>
    <x v="0"/>
    <x v="23"/>
    <n v="1"/>
    <n v="64.989999999999995"/>
    <s v="N"/>
    <s v=""/>
    <s v=""/>
    <n v="0"/>
    <n v="64.989999999999995"/>
    <n v="4"/>
    <x v="1"/>
    <s v="Wed"/>
    <n v="0.25"/>
  </r>
  <r>
    <n v="202044"/>
    <d v="2024-07-13T00:00:00"/>
    <n v="102573"/>
    <n v="200551"/>
    <x v="1"/>
    <x v="26"/>
    <n v="5"/>
    <n v="79.989999999999995"/>
    <s v="N"/>
    <s v=""/>
    <s v=""/>
    <n v="0"/>
    <n v="399.95"/>
    <n v="1"/>
    <x v="123"/>
    <s v="Sat"/>
    <n v="0.25"/>
  </r>
  <r>
    <n v="202044"/>
    <d v="2024-07-13T00:00:00"/>
    <n v="102573"/>
    <n v="200549"/>
    <x v="1"/>
    <x v="1"/>
    <n v="2"/>
    <n v="18.989999999999998"/>
    <s v="N"/>
    <s v=""/>
    <s v=""/>
    <n v="0"/>
    <n v="37.979999999999997"/>
    <n v="3"/>
    <x v="1"/>
    <s v="Sat"/>
    <n v="0.25"/>
  </r>
  <r>
    <n v="202044"/>
    <d v="2024-07-13T00:00:00"/>
    <n v="102573"/>
    <n v="300185"/>
    <x v="0"/>
    <x v="7"/>
    <n v="1"/>
    <n v="29.99"/>
    <s v="N"/>
    <s v=""/>
    <s v=""/>
    <n v="0"/>
    <n v="29.99"/>
    <n v="1"/>
    <x v="1"/>
    <s v="Sat"/>
    <n v="0.25"/>
  </r>
  <r>
    <n v="202044"/>
    <d v="2024-07-13T00:00:00"/>
    <n v="102573"/>
    <n v="100254"/>
    <x v="2"/>
    <x v="9"/>
    <n v="1"/>
    <n v="799"/>
    <s v="N"/>
    <s v=""/>
    <s v=""/>
    <n v="0"/>
    <n v="799"/>
    <n v="7"/>
    <x v="1"/>
    <s v="Sat"/>
    <n v="0.25"/>
  </r>
  <r>
    <n v="202045"/>
    <d v="2024-07-16T00:00:00"/>
    <n v="117138"/>
    <n v="200549"/>
    <x v="1"/>
    <x v="1"/>
    <n v="1"/>
    <n v="18.989999999999998"/>
    <s v="N"/>
    <s v=""/>
    <s v=""/>
    <n v="0"/>
    <n v="18.989999999999998"/>
    <n v="1"/>
    <x v="124"/>
    <s v="Tue"/>
    <n v="0.2"/>
  </r>
  <r>
    <n v="202045"/>
    <d v="2024-07-16T00:00:00"/>
    <n v="117138"/>
    <n v="300185"/>
    <x v="0"/>
    <x v="7"/>
    <n v="2"/>
    <n v="29.99"/>
    <s v="N"/>
    <s v=""/>
    <s v=""/>
    <n v="0"/>
    <n v="59.98"/>
    <n v="1"/>
    <x v="1"/>
    <s v="Tue"/>
    <n v="0.2"/>
  </r>
  <r>
    <n v="202045"/>
    <d v="2024-07-16T00:00:00"/>
    <n v="117138"/>
    <n v="300191"/>
    <x v="0"/>
    <x v="11"/>
    <n v="1"/>
    <n v="21.99"/>
    <s v="N"/>
    <s v=""/>
    <s v=""/>
    <n v="0"/>
    <n v="21.99"/>
    <n v="2"/>
    <x v="1"/>
    <s v="Tue"/>
    <n v="0.2"/>
  </r>
  <r>
    <n v="202045"/>
    <d v="2024-07-16T00:00:00"/>
    <n v="117138"/>
    <n v="300187"/>
    <x v="0"/>
    <x v="20"/>
    <n v="1"/>
    <n v="54.99"/>
    <s v="N"/>
    <s v=""/>
    <s v=""/>
    <n v="0"/>
    <n v="54.99"/>
    <n v="1"/>
    <x v="1"/>
    <s v="Tue"/>
    <n v="0.2"/>
  </r>
  <r>
    <n v="202045"/>
    <d v="2024-07-16T00:00:00"/>
    <n v="117138"/>
    <n v="300191"/>
    <x v="0"/>
    <x v="11"/>
    <n v="4"/>
    <n v="21.99"/>
    <s v="N"/>
    <s v=""/>
    <s v=""/>
    <n v="0"/>
    <n v="87.96"/>
    <n v="1"/>
    <x v="1"/>
    <s v="Tue"/>
    <n v="0.2"/>
  </r>
  <r>
    <n v="202046"/>
    <d v="2024-07-19T00:00:00"/>
    <n v="126726"/>
    <n v="300185"/>
    <x v="0"/>
    <x v="7"/>
    <n v="1"/>
    <n v="29.99"/>
    <s v="N"/>
    <s v=""/>
    <s v=""/>
    <n v="0"/>
    <n v="29.99"/>
    <n v="1"/>
    <x v="125"/>
    <s v="Fri"/>
    <n v="0.25"/>
  </r>
  <r>
    <n v="202046"/>
    <d v="2024-07-19T00:00:00"/>
    <n v="126726"/>
    <n v="300188"/>
    <x v="0"/>
    <x v="23"/>
    <n v="2"/>
    <n v="64.989999999999995"/>
    <s v="N"/>
    <s v=""/>
    <s v=""/>
    <n v="0"/>
    <n v="129.97999999999999"/>
    <n v="2"/>
    <x v="1"/>
    <s v="Fri"/>
    <n v="0.25"/>
  </r>
  <r>
    <n v="202046"/>
    <d v="2024-07-19T00:00:00"/>
    <n v="126726"/>
    <n v="300185"/>
    <x v="0"/>
    <x v="7"/>
    <n v="2"/>
    <n v="29.99"/>
    <s v="N"/>
    <s v=""/>
    <s v=""/>
    <n v="0"/>
    <n v="59.98"/>
    <n v="3"/>
    <x v="1"/>
    <s v="Fri"/>
    <n v="0.25"/>
  </r>
  <r>
    <n v="202046"/>
    <d v="2024-07-19T00:00:00"/>
    <n v="126726"/>
    <n v="200553"/>
    <x v="1"/>
    <x v="15"/>
    <n v="5"/>
    <n v="29.99"/>
    <s v="N"/>
    <s v=""/>
    <s v=""/>
    <n v="0"/>
    <n v="149.94999999999999"/>
    <n v="2"/>
    <x v="1"/>
    <s v="Fri"/>
    <n v="0.25"/>
  </r>
  <r>
    <n v="202047"/>
    <d v="2024-07-14T00:00:00"/>
    <n v="131883"/>
    <n v="300191"/>
    <x v="0"/>
    <x v="11"/>
    <n v="1"/>
    <n v="21.99"/>
    <s v="N"/>
    <s v=""/>
    <s v=""/>
    <n v="0"/>
    <n v="21.99"/>
    <n v="1"/>
    <x v="126"/>
    <s v="Sun"/>
    <n v="0.2"/>
  </r>
  <r>
    <n v="202047"/>
    <d v="2024-07-14T00:00:00"/>
    <n v="131883"/>
    <n v="200559"/>
    <x v="1"/>
    <x v="3"/>
    <n v="5"/>
    <n v="59.99"/>
    <s v="N"/>
    <s v=""/>
    <s v=""/>
    <n v="0"/>
    <n v="299.95"/>
    <n v="3"/>
    <x v="1"/>
    <s v="Sun"/>
    <n v="0.2"/>
  </r>
  <r>
    <n v="202047"/>
    <d v="2024-07-14T00:00:00"/>
    <n v="131883"/>
    <n v="200559"/>
    <x v="1"/>
    <x v="3"/>
    <n v="1"/>
    <n v="59.99"/>
    <s v="N"/>
    <s v=""/>
    <s v=""/>
    <n v="0"/>
    <n v="59.99"/>
    <n v="2"/>
    <x v="1"/>
    <s v="Sun"/>
    <n v="0.2"/>
  </r>
  <r>
    <n v="202047"/>
    <d v="2024-07-14T00:00:00"/>
    <n v="131883"/>
    <n v="200559"/>
    <x v="1"/>
    <x v="3"/>
    <n v="1"/>
    <n v="59.99"/>
    <s v="N"/>
    <s v=""/>
    <s v=""/>
    <n v="0"/>
    <n v="59.99"/>
    <n v="3"/>
    <x v="1"/>
    <s v="Sun"/>
    <n v="0.2"/>
  </r>
  <r>
    <n v="202047"/>
    <d v="2024-07-14T00:00:00"/>
    <n v="131883"/>
    <n v="200559"/>
    <x v="1"/>
    <x v="3"/>
    <n v="1"/>
    <n v="59.99"/>
    <s v="N"/>
    <s v=""/>
    <s v=""/>
    <n v="0"/>
    <n v="59.99"/>
    <n v="1"/>
    <x v="1"/>
    <s v="Sun"/>
    <n v="0.2"/>
  </r>
  <r>
    <n v="202048"/>
    <d v="2024-07-14T00:00:00"/>
    <n v="110640"/>
    <n v="300191"/>
    <x v="0"/>
    <x v="11"/>
    <n v="1"/>
    <n v="21.99"/>
    <s v="N"/>
    <s v=""/>
    <s v=""/>
    <n v="0"/>
    <n v="21.99"/>
    <n v="2"/>
    <x v="49"/>
    <s v="Sun"/>
    <n v="1"/>
  </r>
  <r>
    <n v="202049"/>
    <d v="2024-07-11T00:00:00"/>
    <n v="131827"/>
    <n v="200549"/>
    <x v="1"/>
    <x v="1"/>
    <n v="2"/>
    <n v="18.989999999999998"/>
    <s v="N"/>
    <s v=""/>
    <s v=""/>
    <n v="0"/>
    <n v="37.979999999999997"/>
    <n v="2"/>
    <x v="52"/>
    <s v="Thu"/>
    <n v="1"/>
  </r>
  <r>
    <n v="202050"/>
    <d v="2024-07-08T00:00:00"/>
    <n v="126116"/>
    <n v="300185"/>
    <x v="0"/>
    <x v="7"/>
    <n v="2"/>
    <n v="29.99"/>
    <s v="N"/>
    <s v=""/>
    <s v=""/>
    <n v="0"/>
    <n v="59.98"/>
    <n v="4"/>
    <x v="4"/>
    <s v="Mon"/>
    <n v="1"/>
  </r>
  <r>
    <n v="202051"/>
    <d v="2024-07-18T00:00:00"/>
    <n v="102309"/>
    <n v="300191"/>
    <x v="0"/>
    <x v="11"/>
    <n v="2"/>
    <n v="21.99"/>
    <s v="N"/>
    <s v=""/>
    <s v=""/>
    <n v="0"/>
    <n v="43.98"/>
    <n v="4"/>
    <x v="117"/>
    <s v="Thu"/>
    <n v="1"/>
  </r>
  <r>
    <n v="202052"/>
    <d v="2024-07-20T00:00:00"/>
    <n v="122156"/>
    <n v="200559"/>
    <x v="1"/>
    <x v="3"/>
    <n v="4"/>
    <n v="59.99"/>
    <s v="N"/>
    <s v=""/>
    <s v=""/>
    <n v="0"/>
    <n v="239.96"/>
    <n v="4"/>
    <x v="27"/>
    <s v="Sat"/>
    <n v="1"/>
  </r>
  <r>
    <n v="202053"/>
    <d v="2024-07-18T00:00:00"/>
    <n v="120312"/>
    <n v="100254"/>
    <x v="2"/>
    <x v="9"/>
    <n v="1"/>
    <n v="799"/>
    <s v="N"/>
    <s v=""/>
    <s v=""/>
    <n v="0"/>
    <n v="799"/>
    <n v="6"/>
    <x v="127"/>
    <s v="Thu"/>
    <n v="0.16666666666666666"/>
  </r>
  <r>
    <n v="202053"/>
    <d v="2024-07-18T00:00:00"/>
    <n v="120312"/>
    <n v="300189"/>
    <x v="0"/>
    <x v="10"/>
    <n v="1"/>
    <n v="24.99"/>
    <s v="N"/>
    <s v=""/>
    <s v=""/>
    <n v="0"/>
    <n v="24.99"/>
    <n v="4"/>
    <x v="1"/>
    <s v="Thu"/>
    <n v="0.16666666666666666"/>
  </r>
  <r>
    <n v="202053"/>
    <d v="2024-07-18T00:00:00"/>
    <n v="120312"/>
    <n v="200559"/>
    <x v="1"/>
    <x v="3"/>
    <n v="1"/>
    <n v="59.99"/>
    <s v="N"/>
    <s v=""/>
    <s v=""/>
    <n v="0"/>
    <n v="59.99"/>
    <n v="4"/>
    <x v="1"/>
    <s v="Thu"/>
    <n v="0.16666666666666666"/>
  </r>
  <r>
    <n v="202053"/>
    <d v="2024-07-18T00:00:00"/>
    <n v="120312"/>
    <n v="300191"/>
    <x v="0"/>
    <x v="11"/>
    <n v="1"/>
    <n v="21.99"/>
    <s v="N"/>
    <s v=""/>
    <s v=""/>
    <n v="0"/>
    <n v="21.99"/>
    <n v="2"/>
    <x v="1"/>
    <s v="Thu"/>
    <n v="0.16666666666666666"/>
  </r>
  <r>
    <n v="202053"/>
    <d v="2024-07-18T00:00:00"/>
    <n v="120312"/>
    <n v="300185"/>
    <x v="0"/>
    <x v="7"/>
    <n v="1"/>
    <n v="29.99"/>
    <s v="N"/>
    <s v=""/>
    <s v=""/>
    <n v="0"/>
    <n v="29.99"/>
    <n v="4"/>
    <x v="1"/>
    <s v="Thu"/>
    <n v="0.16666666666666666"/>
  </r>
  <r>
    <n v="202053"/>
    <d v="2024-07-18T00:00:00"/>
    <n v="120312"/>
    <n v="200557"/>
    <x v="1"/>
    <x v="13"/>
    <n v="2"/>
    <n v="129.99"/>
    <s v="N"/>
    <s v=""/>
    <s v=""/>
    <n v="0"/>
    <n v="259.98"/>
    <n v="4"/>
    <x v="1"/>
    <s v="Thu"/>
    <n v="0.16666666666666666"/>
  </r>
  <r>
    <n v="202054"/>
    <d v="2024-07-17T00:00:00"/>
    <n v="109882"/>
    <n v="200556"/>
    <x v="1"/>
    <x v="2"/>
    <n v="2"/>
    <n v="64.989999999999995"/>
    <s v="N"/>
    <s v=""/>
    <s v=""/>
    <n v="0"/>
    <n v="129.97999999999999"/>
    <n v="4"/>
    <x v="128"/>
    <s v="Wed"/>
    <n v="1"/>
  </r>
  <r>
    <n v="202055"/>
    <d v="2024-07-13T00:00:00"/>
    <n v="106016"/>
    <n v="100257"/>
    <x v="2"/>
    <x v="4"/>
    <n v="3"/>
    <n v="379"/>
    <s v="N"/>
    <s v=""/>
    <s v=""/>
    <n v="0"/>
    <n v="1137"/>
    <n v="5"/>
    <x v="129"/>
    <s v="Sat"/>
    <n v="1"/>
  </r>
  <r>
    <n v="202056"/>
    <d v="2024-07-13T00:00:00"/>
    <n v="129937"/>
    <n v="200556"/>
    <x v="1"/>
    <x v="2"/>
    <n v="3"/>
    <n v="64.989999999999995"/>
    <s v="Y"/>
    <s v="PADDLE15"/>
    <n v="0.15"/>
    <n v="29.245499999999993"/>
    <n v="165.72449999999998"/>
    <n v="1"/>
    <x v="130"/>
    <s v="Sat"/>
    <n v="0.5"/>
  </r>
  <r>
    <n v="202056"/>
    <d v="2024-07-13T00:00:00"/>
    <n v="129937"/>
    <n v="200556"/>
    <x v="1"/>
    <x v="2"/>
    <n v="1"/>
    <n v="64.989999999999995"/>
    <s v="Y"/>
    <s v="PADDLE15"/>
    <n v="0.15"/>
    <n v="9.7484999999999982"/>
    <n v="55.241499999999995"/>
    <n v="4"/>
    <x v="1"/>
    <s v="Sat"/>
    <n v="0.5"/>
  </r>
  <r>
    <n v="202057"/>
    <d v="2024-07-13T00:00:00"/>
    <n v="115843"/>
    <n v="300191"/>
    <x v="0"/>
    <x v="11"/>
    <n v="1"/>
    <n v="21.99"/>
    <s v="N"/>
    <s v=""/>
    <s v=""/>
    <n v="0"/>
    <n v="21.99"/>
    <n v="4"/>
    <x v="131"/>
    <s v="Sat"/>
    <n v="0.5"/>
  </r>
  <r>
    <n v="202057"/>
    <d v="2024-07-13T00:00:00"/>
    <n v="115843"/>
    <n v="100250"/>
    <x v="2"/>
    <x v="16"/>
    <n v="4"/>
    <n v="189"/>
    <s v="N"/>
    <s v=""/>
    <s v=""/>
    <n v="0"/>
    <n v="756"/>
    <n v="5"/>
    <x v="1"/>
    <s v="Sat"/>
    <n v="0.5"/>
  </r>
  <r>
    <n v="202058"/>
    <d v="2024-07-19T00:00:00"/>
    <n v="124112"/>
    <n v="100254"/>
    <x v="2"/>
    <x v="9"/>
    <n v="1"/>
    <n v="799"/>
    <s v="Y"/>
    <s v="SUMMER10"/>
    <n v="0.1"/>
    <n v="79.900000000000006"/>
    <n v="719.1"/>
    <n v="5"/>
    <x v="132"/>
    <s v="Fri"/>
    <n v="1"/>
  </r>
  <r>
    <n v="202059"/>
    <d v="2024-07-19T00:00:00"/>
    <n v="121611"/>
    <n v="100254"/>
    <x v="2"/>
    <x v="9"/>
    <n v="1"/>
    <n v="799"/>
    <s v="N"/>
    <s v=""/>
    <s v=""/>
    <n v="0"/>
    <n v="799"/>
    <n v="5"/>
    <x v="133"/>
    <s v="Fri"/>
    <n v="0.25"/>
  </r>
  <r>
    <n v="202059"/>
    <d v="2024-07-19T00:00:00"/>
    <n v="121611"/>
    <n v="100250"/>
    <x v="2"/>
    <x v="16"/>
    <n v="2"/>
    <n v="189"/>
    <s v="N"/>
    <s v=""/>
    <s v=""/>
    <n v="0"/>
    <n v="378"/>
    <n v="3"/>
    <x v="1"/>
    <s v="Fri"/>
    <n v="0.25"/>
  </r>
  <r>
    <n v="202059"/>
    <d v="2024-07-19T00:00:00"/>
    <n v="121611"/>
    <n v="200549"/>
    <x v="1"/>
    <x v="1"/>
    <n v="2"/>
    <n v="18.989999999999998"/>
    <s v="N"/>
    <s v=""/>
    <s v=""/>
    <n v="0"/>
    <n v="37.979999999999997"/>
    <n v="2"/>
    <x v="1"/>
    <s v="Fri"/>
    <n v="0.25"/>
  </r>
  <r>
    <n v="202059"/>
    <d v="2024-07-19T00:00:00"/>
    <n v="121611"/>
    <n v="300185"/>
    <x v="0"/>
    <x v="7"/>
    <n v="1"/>
    <n v="29.99"/>
    <s v="N"/>
    <s v=""/>
    <s v=""/>
    <n v="0"/>
    <n v="29.99"/>
    <n v="2"/>
    <x v="1"/>
    <s v="Fri"/>
    <n v="0.25"/>
  </r>
  <r>
    <n v="202060"/>
    <d v="2024-07-11T00:00:00"/>
    <n v="102385"/>
    <n v="100250"/>
    <x v="2"/>
    <x v="16"/>
    <n v="4"/>
    <n v="189"/>
    <s v="N"/>
    <s v=""/>
    <s v=""/>
    <n v="0"/>
    <n v="756"/>
    <n v="5"/>
    <x v="134"/>
    <s v="Thu"/>
    <n v="0.5"/>
  </r>
  <r>
    <n v="202060"/>
    <d v="2024-07-11T00:00:00"/>
    <n v="102385"/>
    <n v="200549"/>
    <x v="1"/>
    <x v="1"/>
    <n v="5"/>
    <n v="18.989999999999998"/>
    <s v="N"/>
    <s v=""/>
    <s v=""/>
    <n v="0"/>
    <n v="94.949999999999989"/>
    <n v="1"/>
    <x v="1"/>
    <s v="Thu"/>
    <n v="0.5"/>
  </r>
  <r>
    <n v="202061"/>
    <d v="2024-07-08T00:00:00"/>
    <n v="127750"/>
    <n v="100250"/>
    <x v="2"/>
    <x v="16"/>
    <n v="5"/>
    <n v="189"/>
    <s v="N"/>
    <s v=""/>
    <s v=""/>
    <n v="0"/>
    <n v="945"/>
    <n v="6"/>
    <x v="135"/>
    <s v="Mon"/>
    <n v="0.5"/>
  </r>
  <r>
    <n v="202061"/>
    <d v="2024-07-08T00:00:00"/>
    <n v="127750"/>
    <n v="300191"/>
    <x v="0"/>
    <x v="11"/>
    <n v="1"/>
    <n v="21.99"/>
    <s v="N"/>
    <s v=""/>
    <s v=""/>
    <n v="0"/>
    <n v="21.99"/>
    <n v="2"/>
    <x v="1"/>
    <s v="Mon"/>
    <n v="0.5"/>
  </r>
  <r>
    <n v="202062"/>
    <d v="2024-07-13T00:00:00"/>
    <n v="124697"/>
    <n v="100248"/>
    <x v="2"/>
    <x v="24"/>
    <n v="1"/>
    <n v="199"/>
    <s v="Y"/>
    <s v="SUMMER10"/>
    <n v="0.1"/>
    <n v="19.900000000000002"/>
    <n v="179.1"/>
    <n v="3"/>
    <x v="136"/>
    <s v="Sat"/>
    <n v="1"/>
  </r>
  <r>
    <n v="202063"/>
    <d v="2024-07-12T00:00:00"/>
    <n v="104905"/>
    <n v="200549"/>
    <x v="1"/>
    <x v="1"/>
    <n v="1"/>
    <n v="18.989999999999998"/>
    <s v="Y"/>
    <s v="SUMMER10"/>
    <n v="0.1"/>
    <n v="1.899"/>
    <n v="17.090999999999998"/>
    <n v="3"/>
    <x v="67"/>
    <s v="Fri"/>
    <n v="1"/>
  </r>
  <r>
    <n v="202064"/>
    <d v="2024-07-19T00:00:00"/>
    <n v="104274"/>
    <n v="100253"/>
    <x v="2"/>
    <x v="28"/>
    <n v="5"/>
    <n v="279"/>
    <s v="N"/>
    <s v=""/>
    <s v=""/>
    <n v="0"/>
    <n v="1395"/>
    <n v="6"/>
    <x v="137"/>
    <s v="Fri"/>
    <n v="1"/>
  </r>
  <r>
    <n v="202065"/>
    <d v="2024-07-10T00:00:00"/>
    <n v="124839"/>
    <n v="300190"/>
    <x v="0"/>
    <x v="0"/>
    <n v="2"/>
    <n v="35.99"/>
    <s v="N"/>
    <s v=""/>
    <s v=""/>
    <n v="0"/>
    <n v="71.98"/>
    <n v="3"/>
    <x v="138"/>
    <s v="Wed"/>
    <n v="0.5"/>
  </r>
  <r>
    <n v="202065"/>
    <d v="2024-07-10T00:00:00"/>
    <n v="124839"/>
    <n v="200549"/>
    <x v="1"/>
    <x v="1"/>
    <n v="1"/>
    <n v="18.989999999999998"/>
    <s v="N"/>
    <s v=""/>
    <s v=""/>
    <n v="0"/>
    <n v="18.989999999999998"/>
    <n v="2"/>
    <x v="1"/>
    <s v="Wed"/>
    <n v="0.5"/>
  </r>
  <r>
    <n v="202066"/>
    <d v="2024-07-20T00:00:00"/>
    <n v="106386"/>
    <n v="100254"/>
    <x v="2"/>
    <x v="9"/>
    <n v="5"/>
    <n v="799"/>
    <s v="N"/>
    <s v=""/>
    <s v=""/>
    <n v="0"/>
    <n v="3995"/>
    <n v="4"/>
    <x v="139"/>
    <s v="Sat"/>
    <n v="0.25"/>
  </r>
  <r>
    <n v="202066"/>
    <d v="2024-07-20T00:00:00"/>
    <n v="106386"/>
    <n v="200549"/>
    <x v="1"/>
    <x v="1"/>
    <n v="3"/>
    <n v="18.989999999999998"/>
    <s v="N"/>
    <s v=""/>
    <s v=""/>
    <n v="0"/>
    <n v="56.97"/>
    <n v="4"/>
    <x v="1"/>
    <s v="Sat"/>
    <n v="0.25"/>
  </r>
  <r>
    <n v="202066"/>
    <d v="2024-07-20T00:00:00"/>
    <n v="106386"/>
    <n v="200549"/>
    <x v="1"/>
    <x v="1"/>
    <n v="1"/>
    <n v="18.989999999999998"/>
    <s v="N"/>
    <s v=""/>
    <s v=""/>
    <n v="0"/>
    <n v="18.989999999999998"/>
    <n v="4"/>
    <x v="1"/>
    <s v="Sat"/>
    <n v="0.25"/>
  </r>
  <r>
    <n v="202066"/>
    <d v="2024-07-20T00:00:00"/>
    <n v="106386"/>
    <n v="300187"/>
    <x v="0"/>
    <x v="20"/>
    <n v="1"/>
    <n v="54.99"/>
    <s v="N"/>
    <s v=""/>
    <s v=""/>
    <n v="0"/>
    <n v="54.99"/>
    <n v="2"/>
    <x v="1"/>
    <s v="Sat"/>
    <n v="0.25"/>
  </r>
  <r>
    <n v="202067"/>
    <d v="2024-07-17T00:00:00"/>
    <n v="111301"/>
    <n v="200559"/>
    <x v="1"/>
    <x v="3"/>
    <n v="2"/>
    <n v="59.99"/>
    <s v="N"/>
    <s v=""/>
    <s v=""/>
    <n v="0"/>
    <n v="119.98"/>
    <n v="1"/>
    <x v="140"/>
    <s v="Wed"/>
    <n v="0.5"/>
  </r>
  <r>
    <n v="202067"/>
    <d v="2024-07-17T00:00:00"/>
    <n v="111301"/>
    <n v="200559"/>
    <x v="1"/>
    <x v="3"/>
    <n v="4"/>
    <n v="59.99"/>
    <s v="N"/>
    <s v=""/>
    <s v=""/>
    <n v="0"/>
    <n v="239.96"/>
    <n v="4"/>
    <x v="1"/>
    <s v="Wed"/>
    <n v="0.5"/>
  </r>
  <r>
    <n v="202068"/>
    <d v="2024-07-19T00:00:00"/>
    <n v="122599"/>
    <n v="200559"/>
    <x v="1"/>
    <x v="3"/>
    <n v="1"/>
    <n v="59.99"/>
    <s v="N"/>
    <s v=""/>
    <s v=""/>
    <n v="0"/>
    <n v="59.99"/>
    <n v="3"/>
    <x v="141"/>
    <s v="Fri"/>
    <n v="0.5"/>
  </r>
  <r>
    <n v="202068"/>
    <d v="2024-07-19T00:00:00"/>
    <n v="122599"/>
    <n v="200550"/>
    <x v="1"/>
    <x v="19"/>
    <n v="1"/>
    <n v="15.99"/>
    <s v="N"/>
    <s v=""/>
    <s v=""/>
    <n v="0"/>
    <n v="15.99"/>
    <n v="3"/>
    <x v="1"/>
    <s v="Fri"/>
    <n v="0.5"/>
  </r>
  <r>
    <n v="202069"/>
    <d v="2024-07-20T00:00:00"/>
    <n v="116894"/>
    <n v="300187"/>
    <x v="0"/>
    <x v="20"/>
    <n v="1"/>
    <n v="54.99"/>
    <s v="N"/>
    <s v=""/>
    <s v=""/>
    <n v="0"/>
    <n v="54.99"/>
    <n v="4"/>
    <x v="142"/>
    <s v="Sat"/>
    <n v="0.25"/>
  </r>
  <r>
    <n v="202069"/>
    <d v="2024-07-20T00:00:00"/>
    <n v="116894"/>
    <n v="200559"/>
    <x v="1"/>
    <x v="3"/>
    <n v="1"/>
    <n v="59.99"/>
    <s v="N"/>
    <s v=""/>
    <s v=""/>
    <n v="0"/>
    <n v="59.99"/>
    <n v="3"/>
    <x v="1"/>
    <s v="Sat"/>
    <n v="0.25"/>
  </r>
  <r>
    <n v="202069"/>
    <d v="2024-07-20T00:00:00"/>
    <n v="116894"/>
    <n v="200559"/>
    <x v="1"/>
    <x v="3"/>
    <n v="1"/>
    <n v="59.99"/>
    <s v="N"/>
    <s v=""/>
    <s v=""/>
    <n v="0"/>
    <n v="59.99"/>
    <n v="4"/>
    <x v="1"/>
    <s v="Sat"/>
    <n v="0.25"/>
  </r>
  <r>
    <n v="202069"/>
    <d v="2024-07-20T00:00:00"/>
    <n v="116894"/>
    <n v="300187"/>
    <x v="0"/>
    <x v="20"/>
    <n v="1"/>
    <n v="54.99"/>
    <s v="N"/>
    <s v=""/>
    <s v=""/>
    <n v="0"/>
    <n v="54.99"/>
    <n v="3"/>
    <x v="1"/>
    <s v="Sat"/>
    <n v="0.25"/>
  </r>
  <r>
    <n v="202070"/>
    <d v="2024-07-13T00:00:00"/>
    <n v="113983"/>
    <n v="300191"/>
    <x v="0"/>
    <x v="11"/>
    <n v="1"/>
    <n v="21.99"/>
    <s v="Y"/>
    <s v="SUMMER10"/>
    <n v="0.1"/>
    <n v="2.1989999999999998"/>
    <n v="19.790999999999997"/>
    <n v="2"/>
    <x v="143"/>
    <s v="Sat"/>
    <n v="0.25"/>
  </r>
  <r>
    <n v="202070"/>
    <d v="2024-07-13T00:00:00"/>
    <n v="113983"/>
    <n v="200559"/>
    <x v="1"/>
    <x v="3"/>
    <n v="1"/>
    <n v="59.99"/>
    <s v="Y"/>
    <s v="SUMMER10"/>
    <n v="0.1"/>
    <n v="5.9990000000000006"/>
    <n v="53.991"/>
    <n v="3"/>
    <x v="1"/>
    <s v="Sat"/>
    <n v="0.25"/>
  </r>
  <r>
    <n v="202070"/>
    <d v="2024-07-13T00:00:00"/>
    <n v="113983"/>
    <n v="200559"/>
    <x v="1"/>
    <x v="3"/>
    <n v="1"/>
    <n v="59.99"/>
    <s v="Y"/>
    <s v="SUMMER10"/>
    <n v="0.1"/>
    <n v="5.9990000000000006"/>
    <n v="53.991"/>
    <n v="3"/>
    <x v="1"/>
    <s v="Sat"/>
    <n v="0.25"/>
  </r>
  <r>
    <n v="202070"/>
    <d v="2024-07-13T00:00:00"/>
    <n v="113983"/>
    <n v="100250"/>
    <x v="2"/>
    <x v="16"/>
    <n v="1"/>
    <n v="189"/>
    <s v="Y"/>
    <s v="SUMMER10"/>
    <n v="0.1"/>
    <n v="18.900000000000002"/>
    <n v="170.1"/>
    <n v="7"/>
    <x v="1"/>
    <s v="Sat"/>
    <n v="0.25"/>
  </r>
  <r>
    <n v="202071"/>
    <d v="2024-07-12T00:00:00"/>
    <n v="122156"/>
    <n v="300187"/>
    <x v="0"/>
    <x v="20"/>
    <n v="3"/>
    <n v="54.99"/>
    <s v="N"/>
    <s v=""/>
    <s v=""/>
    <n v="0"/>
    <n v="164.97"/>
    <n v="3"/>
    <x v="144"/>
    <s v="Fri"/>
    <n v="0.25"/>
  </r>
  <r>
    <n v="202071"/>
    <d v="2024-07-12T00:00:00"/>
    <n v="122156"/>
    <n v="200549"/>
    <x v="1"/>
    <x v="1"/>
    <n v="1"/>
    <n v="18.989999999999998"/>
    <s v="N"/>
    <s v=""/>
    <s v=""/>
    <n v="0"/>
    <n v="18.989999999999998"/>
    <n v="1"/>
    <x v="1"/>
    <s v="Fri"/>
    <n v="0.25"/>
  </r>
  <r>
    <n v="202071"/>
    <d v="2024-07-12T00:00:00"/>
    <n v="122156"/>
    <n v="300191"/>
    <x v="0"/>
    <x v="11"/>
    <n v="2"/>
    <n v="21.99"/>
    <s v="N"/>
    <s v=""/>
    <s v=""/>
    <n v="0"/>
    <n v="43.98"/>
    <n v="4"/>
    <x v="1"/>
    <s v="Fri"/>
    <n v="0.25"/>
  </r>
  <r>
    <n v="202071"/>
    <d v="2024-07-12T00:00:00"/>
    <n v="122156"/>
    <n v="100254"/>
    <x v="2"/>
    <x v="9"/>
    <n v="1"/>
    <n v="799"/>
    <s v="N"/>
    <s v=""/>
    <s v=""/>
    <n v="0"/>
    <n v="799"/>
    <n v="5"/>
    <x v="1"/>
    <s v="Fri"/>
    <n v="0.25"/>
  </r>
  <r>
    <n v="202072"/>
    <d v="2024-07-12T00:00:00"/>
    <n v="115893"/>
    <n v="100252"/>
    <x v="2"/>
    <x v="5"/>
    <n v="1"/>
    <n v="449"/>
    <s v="N"/>
    <s v=""/>
    <s v=""/>
    <n v="0"/>
    <n v="449"/>
    <n v="2"/>
    <x v="80"/>
    <s v="Fri"/>
    <n v="1"/>
  </r>
  <r>
    <n v="202073"/>
    <d v="2024-07-13T00:00:00"/>
    <n v="123406"/>
    <n v="200556"/>
    <x v="1"/>
    <x v="2"/>
    <n v="4"/>
    <n v="64.989999999999995"/>
    <s v="N"/>
    <s v=""/>
    <s v=""/>
    <n v="0"/>
    <n v="259.95999999999998"/>
    <n v="1"/>
    <x v="145"/>
    <s v="Sat"/>
    <n v="0.16666666666666666"/>
  </r>
  <r>
    <n v="202073"/>
    <d v="2024-07-13T00:00:00"/>
    <n v="123406"/>
    <n v="300188"/>
    <x v="0"/>
    <x v="23"/>
    <n v="2"/>
    <n v="64.989999999999995"/>
    <s v="N"/>
    <s v=""/>
    <s v=""/>
    <n v="0"/>
    <n v="129.97999999999999"/>
    <n v="3"/>
    <x v="1"/>
    <s v="Sat"/>
    <n v="0.16666666666666666"/>
  </r>
  <r>
    <n v="202073"/>
    <d v="2024-07-13T00:00:00"/>
    <n v="123406"/>
    <n v="200557"/>
    <x v="1"/>
    <x v="13"/>
    <n v="2"/>
    <n v="129.99"/>
    <s v="N"/>
    <s v=""/>
    <s v=""/>
    <n v="0"/>
    <n v="259.98"/>
    <n v="3"/>
    <x v="1"/>
    <s v="Sat"/>
    <n v="0.16666666666666666"/>
  </r>
  <r>
    <n v="202073"/>
    <d v="2024-07-13T00:00:00"/>
    <n v="123406"/>
    <n v="200557"/>
    <x v="1"/>
    <x v="13"/>
    <n v="1"/>
    <n v="129.99"/>
    <s v="N"/>
    <s v=""/>
    <s v=""/>
    <n v="0"/>
    <n v="129.99"/>
    <n v="4"/>
    <x v="1"/>
    <s v="Sat"/>
    <n v="0.16666666666666666"/>
  </r>
  <r>
    <n v="202073"/>
    <d v="2024-07-13T00:00:00"/>
    <n v="123406"/>
    <n v="300191"/>
    <x v="0"/>
    <x v="11"/>
    <n v="1"/>
    <n v="21.99"/>
    <s v="N"/>
    <s v=""/>
    <s v=""/>
    <n v="0"/>
    <n v="21.99"/>
    <n v="2"/>
    <x v="1"/>
    <s v="Sat"/>
    <n v="0.16666666666666666"/>
  </r>
  <r>
    <n v="202073"/>
    <d v="2024-07-13T00:00:00"/>
    <n v="123406"/>
    <n v="100249"/>
    <x v="2"/>
    <x v="8"/>
    <n v="2"/>
    <n v="249"/>
    <s v="N"/>
    <s v=""/>
    <s v=""/>
    <n v="0"/>
    <n v="498"/>
    <n v="6"/>
    <x v="1"/>
    <s v="Sat"/>
    <n v="0.16666666666666666"/>
  </r>
  <r>
    <n v="202074"/>
    <d v="2024-07-17T00:00:00"/>
    <n v="118373"/>
    <n v="300185"/>
    <x v="0"/>
    <x v="7"/>
    <n v="3"/>
    <n v="29.99"/>
    <s v="N"/>
    <s v=""/>
    <s v=""/>
    <n v="0"/>
    <n v="89.97"/>
    <n v="1"/>
    <x v="146"/>
    <s v="Wed"/>
    <n v="0.2"/>
  </r>
  <r>
    <n v="202074"/>
    <d v="2024-07-17T00:00:00"/>
    <n v="118373"/>
    <n v="300185"/>
    <x v="0"/>
    <x v="7"/>
    <n v="1"/>
    <n v="29.99"/>
    <s v="N"/>
    <s v=""/>
    <s v=""/>
    <n v="0"/>
    <n v="29.99"/>
    <n v="2"/>
    <x v="1"/>
    <s v="Wed"/>
    <n v="0.2"/>
  </r>
  <r>
    <n v="202074"/>
    <d v="2024-07-17T00:00:00"/>
    <n v="118373"/>
    <n v="200559"/>
    <x v="1"/>
    <x v="3"/>
    <n v="1"/>
    <n v="59.99"/>
    <s v="N"/>
    <s v=""/>
    <s v=""/>
    <n v="0"/>
    <n v="59.99"/>
    <n v="3"/>
    <x v="1"/>
    <s v="Wed"/>
    <n v="0.2"/>
  </r>
  <r>
    <n v="202074"/>
    <d v="2024-07-17T00:00:00"/>
    <n v="118373"/>
    <n v="300185"/>
    <x v="0"/>
    <x v="7"/>
    <n v="1"/>
    <n v="29.99"/>
    <s v="N"/>
    <s v=""/>
    <s v=""/>
    <n v="0"/>
    <n v="29.99"/>
    <n v="3"/>
    <x v="1"/>
    <s v="Wed"/>
    <n v="0.2"/>
  </r>
  <r>
    <n v="202074"/>
    <d v="2024-07-17T00:00:00"/>
    <n v="118373"/>
    <n v="300185"/>
    <x v="0"/>
    <x v="7"/>
    <n v="1"/>
    <n v="29.99"/>
    <s v="N"/>
    <s v=""/>
    <s v=""/>
    <n v="0"/>
    <n v="29.99"/>
    <n v="2"/>
    <x v="1"/>
    <s v="Wed"/>
    <n v="0.2"/>
  </r>
  <r>
    <n v="202075"/>
    <d v="2024-07-12T00:00:00"/>
    <n v="117811"/>
    <n v="300187"/>
    <x v="0"/>
    <x v="20"/>
    <n v="1"/>
    <n v="54.99"/>
    <s v="N"/>
    <s v=""/>
    <s v=""/>
    <n v="0"/>
    <n v="54.99"/>
    <n v="3"/>
    <x v="85"/>
    <s v="Fri"/>
    <n v="1"/>
  </r>
  <r>
    <n v="202076"/>
    <d v="2024-07-20T00:00:00"/>
    <n v="107472"/>
    <n v="100252"/>
    <x v="2"/>
    <x v="5"/>
    <n v="1"/>
    <n v="449"/>
    <s v="N"/>
    <s v=""/>
    <s v=""/>
    <n v="0"/>
    <n v="449"/>
    <n v="6"/>
    <x v="80"/>
    <s v="Sat"/>
    <n v="1"/>
  </r>
  <r>
    <n v="202077"/>
    <d v="2024-07-20T00:00:00"/>
    <n v="112332"/>
    <n v="300185"/>
    <x v="0"/>
    <x v="7"/>
    <n v="2"/>
    <n v="29.99"/>
    <s v="N"/>
    <s v=""/>
    <s v=""/>
    <n v="0"/>
    <n v="59.98"/>
    <n v="1"/>
    <x v="4"/>
    <s v="Sat"/>
    <n v="1"/>
  </r>
  <r>
    <n v="202078"/>
    <d v="2024-07-10T00:00:00"/>
    <n v="115874"/>
    <n v="300191"/>
    <x v="0"/>
    <x v="11"/>
    <n v="1"/>
    <n v="21.99"/>
    <s v="Y"/>
    <s v="SUMMER10"/>
    <n v="0.1"/>
    <n v="2.1989999999999998"/>
    <n v="19.790999999999997"/>
    <n v="3"/>
    <x v="91"/>
    <s v="Wed"/>
    <n v="1"/>
  </r>
  <r>
    <n v="202079"/>
    <d v="2024-07-19T00:00:00"/>
    <n v="120269"/>
    <n v="300191"/>
    <x v="0"/>
    <x v="11"/>
    <n v="1"/>
    <n v="21.99"/>
    <s v="N"/>
    <s v=""/>
    <s v=""/>
    <n v="0"/>
    <n v="21.99"/>
    <n v="2"/>
    <x v="147"/>
    <s v="Fri"/>
    <n v="0.25"/>
  </r>
  <r>
    <n v="202079"/>
    <d v="2024-07-19T00:00:00"/>
    <n v="120269"/>
    <n v="200550"/>
    <x v="1"/>
    <x v="19"/>
    <n v="1"/>
    <n v="15.99"/>
    <s v="N"/>
    <s v=""/>
    <s v=""/>
    <n v="0"/>
    <n v="15.99"/>
    <n v="2"/>
    <x v="1"/>
    <s v="Fri"/>
    <n v="0.25"/>
  </r>
  <r>
    <n v="202079"/>
    <d v="2024-07-19T00:00:00"/>
    <n v="120269"/>
    <n v="300185"/>
    <x v="0"/>
    <x v="7"/>
    <n v="1"/>
    <n v="29.99"/>
    <s v="N"/>
    <s v=""/>
    <s v=""/>
    <n v="0"/>
    <n v="29.99"/>
    <n v="1"/>
    <x v="1"/>
    <s v="Fri"/>
    <n v="0.25"/>
  </r>
  <r>
    <n v="202079"/>
    <d v="2024-07-19T00:00:00"/>
    <n v="120269"/>
    <n v="200559"/>
    <x v="1"/>
    <x v="3"/>
    <n v="2"/>
    <n v="59.99"/>
    <s v="N"/>
    <s v=""/>
    <s v=""/>
    <n v="0"/>
    <n v="119.98"/>
    <n v="3"/>
    <x v="1"/>
    <s v="Fri"/>
    <n v="0.25"/>
  </r>
  <r>
    <n v="202080"/>
    <d v="2024-07-21T00:00:00"/>
    <n v="127846"/>
    <n v="300185"/>
    <x v="0"/>
    <x v="7"/>
    <n v="1"/>
    <n v="29.99"/>
    <s v="N"/>
    <s v=""/>
    <s v=""/>
    <n v="0"/>
    <n v="29.99"/>
    <n v="4"/>
    <x v="148"/>
    <s v="Sun"/>
    <n v="0.5"/>
  </r>
  <r>
    <n v="202080"/>
    <d v="2024-07-21T00:00:00"/>
    <n v="127846"/>
    <n v="300191"/>
    <x v="0"/>
    <x v="11"/>
    <n v="2"/>
    <n v="21.99"/>
    <s v="N"/>
    <s v=""/>
    <s v=""/>
    <n v="0"/>
    <n v="43.98"/>
    <n v="3"/>
    <x v="1"/>
    <s v="Sun"/>
    <n v="0.5"/>
  </r>
  <r>
    <n v="202081"/>
    <d v="2024-07-17T00:00:00"/>
    <n v="103843"/>
    <n v="300185"/>
    <x v="0"/>
    <x v="7"/>
    <n v="4"/>
    <n v="29.99"/>
    <s v="N"/>
    <s v=""/>
    <s v=""/>
    <n v="0"/>
    <n v="119.96"/>
    <n v="1"/>
    <x v="149"/>
    <s v="Wed"/>
    <n v="0.2"/>
  </r>
  <r>
    <n v="202081"/>
    <d v="2024-07-17T00:00:00"/>
    <n v="103843"/>
    <n v="100254"/>
    <x v="2"/>
    <x v="9"/>
    <n v="1"/>
    <n v="799"/>
    <s v="N"/>
    <s v=""/>
    <s v=""/>
    <n v="0"/>
    <n v="799"/>
    <n v="3"/>
    <x v="1"/>
    <s v="Wed"/>
    <n v="0.2"/>
  </r>
  <r>
    <n v="202081"/>
    <d v="2024-07-17T00:00:00"/>
    <n v="103843"/>
    <n v="200548"/>
    <x v="1"/>
    <x v="21"/>
    <n v="2"/>
    <n v="29.99"/>
    <s v="N"/>
    <s v=""/>
    <s v=""/>
    <n v="0"/>
    <n v="59.98"/>
    <n v="2"/>
    <x v="1"/>
    <s v="Wed"/>
    <n v="0.2"/>
  </r>
  <r>
    <n v="202081"/>
    <d v="2024-07-17T00:00:00"/>
    <n v="103843"/>
    <n v="200549"/>
    <x v="1"/>
    <x v="1"/>
    <n v="1"/>
    <n v="18.989999999999998"/>
    <s v="N"/>
    <s v=""/>
    <s v=""/>
    <n v="0"/>
    <n v="18.989999999999998"/>
    <n v="2"/>
    <x v="1"/>
    <s v="Wed"/>
    <n v="0.2"/>
  </r>
  <r>
    <n v="202081"/>
    <d v="2024-07-17T00:00:00"/>
    <n v="103843"/>
    <n v="100254"/>
    <x v="2"/>
    <x v="9"/>
    <n v="3"/>
    <n v="799"/>
    <s v="N"/>
    <s v=""/>
    <s v=""/>
    <n v="0"/>
    <n v="2397"/>
    <n v="4"/>
    <x v="1"/>
    <s v="Wed"/>
    <n v="0.2"/>
  </r>
  <r>
    <n v="202082"/>
    <d v="2024-07-10T00:00:00"/>
    <n v="113298"/>
    <n v="200548"/>
    <x v="1"/>
    <x v="21"/>
    <n v="4"/>
    <n v="29.99"/>
    <s v="N"/>
    <s v=""/>
    <s v=""/>
    <n v="0"/>
    <n v="119.96"/>
    <n v="2"/>
    <x v="150"/>
    <s v="Wed"/>
    <n v="0.2"/>
  </r>
  <r>
    <n v="202082"/>
    <d v="2024-07-10T00:00:00"/>
    <n v="113298"/>
    <n v="200558"/>
    <x v="1"/>
    <x v="12"/>
    <n v="5"/>
    <n v="18.989999999999998"/>
    <s v="N"/>
    <s v=""/>
    <s v=""/>
    <n v="0"/>
    <n v="94.949999999999989"/>
    <n v="1"/>
    <x v="1"/>
    <s v="Wed"/>
    <n v="0.2"/>
  </r>
  <r>
    <n v="202082"/>
    <d v="2024-07-10T00:00:00"/>
    <n v="113298"/>
    <n v="300191"/>
    <x v="0"/>
    <x v="11"/>
    <n v="1"/>
    <n v="21.99"/>
    <s v="N"/>
    <s v=""/>
    <s v=""/>
    <n v="0"/>
    <n v="21.99"/>
    <n v="1"/>
    <x v="1"/>
    <s v="Wed"/>
    <n v="0.2"/>
  </r>
  <r>
    <n v="202082"/>
    <d v="2024-07-10T00:00:00"/>
    <n v="113298"/>
    <n v="100249"/>
    <x v="2"/>
    <x v="8"/>
    <n v="1"/>
    <n v="249"/>
    <s v="N"/>
    <s v=""/>
    <s v=""/>
    <n v="0"/>
    <n v="249"/>
    <n v="5"/>
    <x v="1"/>
    <s v="Wed"/>
    <n v="0.2"/>
  </r>
  <r>
    <n v="202082"/>
    <d v="2024-07-10T00:00:00"/>
    <n v="113298"/>
    <n v="300191"/>
    <x v="0"/>
    <x v="11"/>
    <n v="1"/>
    <n v="21.99"/>
    <s v="N"/>
    <s v=""/>
    <s v=""/>
    <n v="0"/>
    <n v="21.99"/>
    <n v="1"/>
    <x v="1"/>
    <s v="Wed"/>
    <n v="0.2"/>
  </r>
  <r>
    <n v="202083"/>
    <d v="2024-07-08T00:00:00"/>
    <n v="125230"/>
    <n v="300185"/>
    <x v="0"/>
    <x v="7"/>
    <n v="3"/>
    <n v="29.99"/>
    <s v="Y"/>
    <s v="SUMMER10"/>
    <n v="0.1"/>
    <n v="8.9969999999999999"/>
    <n v="80.972999999999999"/>
    <n v="4"/>
    <x v="151"/>
    <s v="Mon"/>
    <n v="0.5"/>
  </r>
  <r>
    <n v="202083"/>
    <d v="2024-07-08T00:00:00"/>
    <n v="125230"/>
    <n v="300185"/>
    <x v="0"/>
    <x v="7"/>
    <n v="1"/>
    <n v="29.99"/>
    <s v="Y"/>
    <s v="SUMMER10"/>
    <n v="0.1"/>
    <n v="2.9990000000000001"/>
    <n v="26.991"/>
    <n v="3"/>
    <x v="1"/>
    <s v="Mon"/>
    <n v="0.5"/>
  </r>
  <r>
    <n v="202084"/>
    <d v="2024-07-19T00:00:00"/>
    <n v="130685"/>
    <n v="200559"/>
    <x v="1"/>
    <x v="3"/>
    <n v="1"/>
    <n v="59.99"/>
    <s v="N"/>
    <s v=""/>
    <s v=""/>
    <n v="0"/>
    <n v="59.99"/>
    <n v="1"/>
    <x v="152"/>
    <s v="Fri"/>
    <n v="0.2"/>
  </r>
  <r>
    <n v="202084"/>
    <d v="2024-07-19T00:00:00"/>
    <n v="130685"/>
    <n v="300187"/>
    <x v="0"/>
    <x v="20"/>
    <n v="1"/>
    <n v="54.99"/>
    <s v="N"/>
    <s v=""/>
    <s v=""/>
    <n v="0"/>
    <n v="54.99"/>
    <n v="1"/>
    <x v="1"/>
    <s v="Fri"/>
    <n v="0.2"/>
  </r>
  <r>
    <n v="202084"/>
    <d v="2024-07-19T00:00:00"/>
    <n v="130685"/>
    <n v="100254"/>
    <x v="2"/>
    <x v="9"/>
    <n v="5"/>
    <n v="799"/>
    <s v="N"/>
    <s v=""/>
    <s v=""/>
    <n v="0"/>
    <n v="3995"/>
    <n v="4"/>
    <x v="1"/>
    <s v="Fri"/>
    <n v="0.2"/>
  </r>
  <r>
    <n v="202084"/>
    <d v="2024-07-19T00:00:00"/>
    <n v="130685"/>
    <n v="200556"/>
    <x v="1"/>
    <x v="2"/>
    <n v="1"/>
    <n v="64.989999999999995"/>
    <s v="N"/>
    <s v=""/>
    <s v=""/>
    <n v="0"/>
    <n v="64.989999999999995"/>
    <n v="4"/>
    <x v="1"/>
    <s v="Fri"/>
    <n v="0.2"/>
  </r>
  <r>
    <n v="202084"/>
    <d v="2024-07-19T00:00:00"/>
    <n v="130685"/>
    <n v="200559"/>
    <x v="1"/>
    <x v="3"/>
    <n v="2"/>
    <n v="59.99"/>
    <s v="N"/>
    <s v=""/>
    <s v=""/>
    <n v="0"/>
    <n v="119.98"/>
    <n v="1"/>
    <x v="1"/>
    <s v="Fri"/>
    <n v="0.2"/>
  </r>
  <r>
    <n v="202085"/>
    <d v="2024-07-11T00:00:00"/>
    <n v="104034"/>
    <n v="200556"/>
    <x v="1"/>
    <x v="2"/>
    <n v="1"/>
    <n v="64.989999999999995"/>
    <s v="N"/>
    <s v=""/>
    <s v=""/>
    <n v="0"/>
    <n v="64.989999999999995"/>
    <n v="1"/>
    <x v="153"/>
    <s v="Thu"/>
    <n v="0.5"/>
  </r>
  <r>
    <n v="202085"/>
    <d v="2024-07-11T00:00:00"/>
    <n v="104034"/>
    <n v="200549"/>
    <x v="1"/>
    <x v="1"/>
    <n v="5"/>
    <n v="18.989999999999998"/>
    <s v="N"/>
    <s v=""/>
    <s v=""/>
    <n v="0"/>
    <n v="94.949999999999989"/>
    <n v="1"/>
    <x v="1"/>
    <s v="Thu"/>
    <n v="0.5"/>
  </r>
  <r>
    <n v="202086"/>
    <d v="2024-07-19T00:00:00"/>
    <n v="118208"/>
    <n v="300191"/>
    <x v="0"/>
    <x v="11"/>
    <n v="4"/>
    <n v="21.99"/>
    <s v="Y"/>
    <s v="SUMMER10"/>
    <n v="0.1"/>
    <n v="8.7959999999999994"/>
    <n v="79.163999999999987"/>
    <n v="1"/>
    <x v="154"/>
    <s v="Fri"/>
    <n v="1"/>
  </r>
  <r>
    <n v="202087"/>
    <d v="2024-07-12T00:00:00"/>
    <n v="114704"/>
    <n v="100248"/>
    <x v="2"/>
    <x v="24"/>
    <n v="1"/>
    <n v="199"/>
    <s v="N"/>
    <s v=""/>
    <s v=""/>
    <n v="0"/>
    <n v="199"/>
    <n v="7"/>
    <x v="155"/>
    <s v="Fri"/>
    <n v="0.25"/>
  </r>
  <r>
    <n v="202087"/>
    <d v="2024-07-12T00:00:00"/>
    <n v="114704"/>
    <n v="300187"/>
    <x v="0"/>
    <x v="20"/>
    <n v="1"/>
    <n v="54.99"/>
    <s v="N"/>
    <s v=""/>
    <s v=""/>
    <n v="0"/>
    <n v="54.99"/>
    <n v="2"/>
    <x v="1"/>
    <s v="Fri"/>
    <n v="0.25"/>
  </r>
  <r>
    <n v="202087"/>
    <d v="2024-07-12T00:00:00"/>
    <n v="114704"/>
    <n v="100250"/>
    <x v="2"/>
    <x v="16"/>
    <n v="4"/>
    <n v="189"/>
    <s v="N"/>
    <s v=""/>
    <s v=""/>
    <n v="0"/>
    <n v="756"/>
    <n v="7"/>
    <x v="1"/>
    <s v="Fri"/>
    <n v="0.25"/>
  </r>
  <r>
    <n v="202087"/>
    <d v="2024-07-12T00:00:00"/>
    <n v="114704"/>
    <n v="300185"/>
    <x v="0"/>
    <x v="7"/>
    <n v="1"/>
    <n v="29.99"/>
    <s v="N"/>
    <s v=""/>
    <s v=""/>
    <n v="0"/>
    <n v="29.99"/>
    <n v="1"/>
    <x v="1"/>
    <s v="Fri"/>
    <n v="0.25"/>
  </r>
  <r>
    <n v="202088"/>
    <d v="2024-07-20T00:00:00"/>
    <n v="112016"/>
    <n v="300185"/>
    <x v="0"/>
    <x v="7"/>
    <n v="1"/>
    <n v="29.99"/>
    <s v="Y"/>
    <s v="SUBSCRIBE10"/>
    <n v="0.1"/>
    <n v="2.9990000000000001"/>
    <n v="26.991"/>
    <n v="4"/>
    <x v="156"/>
    <s v="Sat"/>
    <n v="0.25"/>
  </r>
  <r>
    <n v="202088"/>
    <d v="2024-07-20T00:00:00"/>
    <n v="112016"/>
    <n v="300185"/>
    <x v="0"/>
    <x v="7"/>
    <n v="2"/>
    <n v="29.99"/>
    <s v="Y"/>
    <s v="SUBSCRIBE10"/>
    <n v="0.1"/>
    <n v="5.9980000000000002"/>
    <n v="53.981999999999999"/>
    <n v="1"/>
    <x v="1"/>
    <s v="Sat"/>
    <n v="0.25"/>
  </r>
  <r>
    <n v="202088"/>
    <d v="2024-07-20T00:00:00"/>
    <n v="112016"/>
    <n v="300187"/>
    <x v="0"/>
    <x v="20"/>
    <n v="1"/>
    <n v="54.99"/>
    <s v="Y"/>
    <s v="SUBSCRIBE10"/>
    <n v="0.1"/>
    <n v="5.4990000000000006"/>
    <n v="49.491"/>
    <n v="3"/>
    <x v="1"/>
    <s v="Sat"/>
    <n v="0.25"/>
  </r>
  <r>
    <n v="202088"/>
    <d v="2024-07-20T00:00:00"/>
    <n v="112016"/>
    <n v="200559"/>
    <x v="1"/>
    <x v="3"/>
    <n v="1"/>
    <n v="59.99"/>
    <s v="Y"/>
    <s v="SUBSCRIBE10"/>
    <n v="0.1"/>
    <n v="5.9990000000000006"/>
    <n v="53.991"/>
    <n v="2"/>
    <x v="1"/>
    <s v="Sat"/>
    <n v="0.25"/>
  </r>
  <r>
    <n v="202089"/>
    <d v="2024-07-17T00:00:00"/>
    <n v="107917"/>
    <n v="200559"/>
    <x v="1"/>
    <x v="3"/>
    <n v="4"/>
    <n v="59.99"/>
    <s v="N"/>
    <s v=""/>
    <s v=""/>
    <n v="0"/>
    <n v="239.96"/>
    <n v="1"/>
    <x v="157"/>
    <s v="Wed"/>
    <n v="0.2"/>
  </r>
  <r>
    <n v="202089"/>
    <d v="2024-07-17T00:00:00"/>
    <n v="107917"/>
    <n v="300185"/>
    <x v="0"/>
    <x v="7"/>
    <n v="2"/>
    <n v="29.99"/>
    <s v="N"/>
    <s v=""/>
    <s v=""/>
    <n v="0"/>
    <n v="59.98"/>
    <n v="2"/>
    <x v="1"/>
    <s v="Wed"/>
    <n v="0.2"/>
  </r>
  <r>
    <n v="202089"/>
    <d v="2024-07-17T00:00:00"/>
    <n v="107917"/>
    <n v="100250"/>
    <x v="2"/>
    <x v="16"/>
    <n v="4"/>
    <n v="189"/>
    <s v="N"/>
    <s v=""/>
    <s v=""/>
    <n v="0"/>
    <n v="756"/>
    <n v="4"/>
    <x v="1"/>
    <s v="Wed"/>
    <n v="0.2"/>
  </r>
  <r>
    <n v="202089"/>
    <d v="2024-07-17T00:00:00"/>
    <n v="107917"/>
    <n v="300191"/>
    <x v="0"/>
    <x v="11"/>
    <n v="1"/>
    <n v="21.99"/>
    <s v="N"/>
    <s v=""/>
    <s v=""/>
    <n v="0"/>
    <n v="21.99"/>
    <n v="4"/>
    <x v="1"/>
    <s v="Wed"/>
    <n v="0.2"/>
  </r>
  <r>
    <n v="202089"/>
    <d v="2024-07-17T00:00:00"/>
    <n v="107917"/>
    <n v="200554"/>
    <x v="1"/>
    <x v="6"/>
    <n v="1"/>
    <n v="67.989999999999995"/>
    <s v="N"/>
    <s v=""/>
    <s v=""/>
    <n v="0"/>
    <n v="67.989999999999995"/>
    <n v="4"/>
    <x v="1"/>
    <s v="Wed"/>
    <n v="0.2"/>
  </r>
  <r>
    <n v="202090"/>
    <d v="2024-07-16T00:00:00"/>
    <n v="113863"/>
    <n v="300191"/>
    <x v="0"/>
    <x v="11"/>
    <n v="1"/>
    <n v="21.99"/>
    <s v="N"/>
    <s v=""/>
    <s v=""/>
    <n v="0"/>
    <n v="21.99"/>
    <n v="1"/>
    <x v="49"/>
    <s v="Tue"/>
    <n v="1"/>
  </r>
  <r>
    <n v="202091"/>
    <d v="2024-07-20T00:00:00"/>
    <n v="127848"/>
    <n v="100251"/>
    <x v="2"/>
    <x v="14"/>
    <n v="3"/>
    <n v="399"/>
    <s v="Y"/>
    <s v="PADDLE15"/>
    <n v="0.15"/>
    <n v="179.54999999999998"/>
    <n v="1017.45"/>
    <n v="6"/>
    <x v="158"/>
    <s v="Sat"/>
    <n v="0.5"/>
  </r>
  <r>
    <n v="202091"/>
    <d v="2024-07-20T00:00:00"/>
    <n v="127848"/>
    <n v="200556"/>
    <x v="1"/>
    <x v="2"/>
    <n v="1"/>
    <n v="64.989999999999995"/>
    <s v="Y"/>
    <s v="PADDLE15"/>
    <n v="0.15"/>
    <n v="9.7484999999999982"/>
    <n v="55.241499999999995"/>
    <n v="2"/>
    <x v="1"/>
    <s v="Sat"/>
    <n v="0.5"/>
  </r>
  <r>
    <n v="202092"/>
    <d v="2024-07-14T00:00:00"/>
    <n v="106857"/>
    <n v="200549"/>
    <x v="1"/>
    <x v="1"/>
    <n v="1"/>
    <n v="18.989999999999998"/>
    <s v="Y"/>
    <s v="SUMMER10"/>
    <n v="0.1"/>
    <n v="1.899"/>
    <n v="17.090999999999998"/>
    <n v="1"/>
    <x v="159"/>
    <s v="Sun"/>
    <n v="0.5"/>
  </r>
  <r>
    <n v="202092"/>
    <d v="2024-07-14T00:00:00"/>
    <n v="106857"/>
    <n v="200555"/>
    <x v="1"/>
    <x v="27"/>
    <n v="1"/>
    <n v="39.99"/>
    <s v="Y"/>
    <s v="SUMMER10"/>
    <n v="0.1"/>
    <n v="3.9990000000000006"/>
    <n v="35.991"/>
    <n v="1"/>
    <x v="1"/>
    <s v="Sun"/>
    <n v="0.5"/>
  </r>
  <r>
    <n v="202093"/>
    <d v="2024-07-18T00:00:00"/>
    <n v="119666"/>
    <n v="100250"/>
    <x v="2"/>
    <x v="16"/>
    <n v="4"/>
    <n v="189"/>
    <s v="N"/>
    <s v=""/>
    <s v=""/>
    <n v="0"/>
    <n v="756"/>
    <n v="3"/>
    <x v="110"/>
    <s v="Thu"/>
    <n v="1"/>
  </r>
  <r>
    <n v="202094"/>
    <d v="2024-07-17T00:00:00"/>
    <n v="129958"/>
    <n v="300185"/>
    <x v="0"/>
    <x v="7"/>
    <n v="4"/>
    <n v="29.99"/>
    <s v="Y"/>
    <s v="SUMMER10"/>
    <n v="0.1"/>
    <n v="11.996"/>
    <n v="107.964"/>
    <n v="4"/>
    <x v="151"/>
    <s v="Wed"/>
    <n v="1"/>
  </r>
  <r>
    <n v="202095"/>
    <d v="2024-07-14T00:00:00"/>
    <n v="116424"/>
    <n v="200549"/>
    <x v="1"/>
    <x v="1"/>
    <n v="1"/>
    <n v="18.989999999999998"/>
    <s v="N"/>
    <s v=""/>
    <s v=""/>
    <n v="0"/>
    <n v="18.989999999999998"/>
    <n v="3"/>
    <x v="6"/>
    <s v="Sun"/>
    <n v="1"/>
  </r>
  <r>
    <n v="202096"/>
    <d v="2024-07-12T00:00:00"/>
    <n v="120464"/>
    <n v="300191"/>
    <x v="0"/>
    <x v="11"/>
    <n v="3"/>
    <n v="21.99"/>
    <s v="N"/>
    <s v=""/>
    <s v=""/>
    <n v="0"/>
    <n v="65.97"/>
    <n v="2"/>
    <x v="160"/>
    <s v="Fri"/>
    <n v="0.5"/>
  </r>
  <r>
    <n v="202096"/>
    <d v="2024-07-12T00:00:00"/>
    <n v="120464"/>
    <n v="200556"/>
    <x v="1"/>
    <x v="2"/>
    <n v="1"/>
    <n v="64.989999999999995"/>
    <s v="N"/>
    <s v=""/>
    <s v=""/>
    <n v="0"/>
    <n v="64.989999999999995"/>
    <n v="1"/>
    <x v="1"/>
    <s v="Fri"/>
    <n v="0.5"/>
  </r>
  <r>
    <n v="202097"/>
    <d v="2024-07-11T00:00:00"/>
    <n v="112664"/>
    <n v="200556"/>
    <x v="1"/>
    <x v="2"/>
    <n v="1"/>
    <n v="64.989999999999995"/>
    <s v="Y"/>
    <s v="SUMMER10"/>
    <n v="0.1"/>
    <n v="6.4989999999999997"/>
    <n v="58.490999999999993"/>
    <n v="1"/>
    <x v="161"/>
    <s v="Thu"/>
    <n v="1"/>
  </r>
  <r>
    <n v="202098"/>
    <d v="2024-07-14T00:00:00"/>
    <n v="105662"/>
    <n v="300187"/>
    <x v="0"/>
    <x v="20"/>
    <n v="1"/>
    <n v="54.99"/>
    <s v="N"/>
    <s v=""/>
    <s v=""/>
    <n v="0"/>
    <n v="54.99"/>
    <n v="3"/>
    <x v="162"/>
    <s v="Sun"/>
    <n v="0.5"/>
  </r>
  <r>
    <n v="202098"/>
    <d v="2024-07-14T00:00:00"/>
    <n v="105662"/>
    <n v="300187"/>
    <x v="0"/>
    <x v="20"/>
    <n v="2"/>
    <n v="54.99"/>
    <s v="N"/>
    <s v=""/>
    <s v=""/>
    <n v="0"/>
    <n v="109.98"/>
    <n v="4"/>
    <x v="1"/>
    <s v="Sun"/>
    <n v="0.5"/>
  </r>
  <r>
    <n v="202099"/>
    <d v="2024-07-11T00:00:00"/>
    <n v="102537"/>
    <n v="300187"/>
    <x v="0"/>
    <x v="20"/>
    <n v="1"/>
    <n v="54.99"/>
    <s v="N"/>
    <s v=""/>
    <s v=""/>
    <n v="0"/>
    <n v="54.99"/>
    <n v="3"/>
    <x v="163"/>
    <s v="Thu"/>
    <n v="0.2"/>
  </r>
  <r>
    <n v="202099"/>
    <d v="2024-07-11T00:00:00"/>
    <n v="102537"/>
    <n v="200552"/>
    <x v="1"/>
    <x v="17"/>
    <n v="4"/>
    <n v="49.99"/>
    <s v="N"/>
    <s v=""/>
    <s v=""/>
    <n v="0"/>
    <n v="199.96"/>
    <n v="2"/>
    <x v="1"/>
    <s v="Thu"/>
    <n v="0.2"/>
  </r>
  <r>
    <n v="202099"/>
    <d v="2024-07-11T00:00:00"/>
    <n v="102537"/>
    <n v="100252"/>
    <x v="2"/>
    <x v="5"/>
    <n v="1"/>
    <n v="449"/>
    <s v="N"/>
    <s v=""/>
    <s v=""/>
    <n v="0"/>
    <n v="449"/>
    <n v="5"/>
    <x v="1"/>
    <s v="Thu"/>
    <n v="0.2"/>
  </r>
  <r>
    <n v="202099"/>
    <d v="2024-07-11T00:00:00"/>
    <n v="102537"/>
    <n v="100252"/>
    <x v="2"/>
    <x v="5"/>
    <n v="3"/>
    <n v="449"/>
    <s v="N"/>
    <s v=""/>
    <s v=""/>
    <n v="0"/>
    <n v="1347"/>
    <n v="4"/>
    <x v="1"/>
    <s v="Thu"/>
    <n v="0.2"/>
  </r>
  <r>
    <n v="202099"/>
    <d v="2024-07-11T00:00:00"/>
    <n v="102537"/>
    <n v="100252"/>
    <x v="2"/>
    <x v="5"/>
    <n v="5"/>
    <n v="449"/>
    <s v="N"/>
    <s v=""/>
    <s v=""/>
    <n v="0"/>
    <n v="2245"/>
    <n v="6"/>
    <x v="1"/>
    <s v="Thu"/>
    <n v="0.2"/>
  </r>
  <r>
    <n v="202100"/>
    <d v="2024-07-21T00:00:00"/>
    <n v="131585"/>
    <n v="300187"/>
    <x v="0"/>
    <x v="20"/>
    <n v="1"/>
    <n v="54.99"/>
    <s v="N"/>
    <s v=""/>
    <s v=""/>
    <n v="0"/>
    <n v="54.99"/>
    <n v="1"/>
    <x v="85"/>
    <s v="Sun"/>
    <n v="1"/>
  </r>
  <r>
    <n v="202101"/>
    <d v="2024-07-10T00:00:00"/>
    <n v="112165"/>
    <n v="100250"/>
    <x v="2"/>
    <x v="16"/>
    <n v="1"/>
    <n v="189"/>
    <s v="N"/>
    <s v=""/>
    <s v=""/>
    <n v="0"/>
    <n v="189"/>
    <n v="5"/>
    <x v="56"/>
    <s v="Wed"/>
    <n v="1"/>
  </r>
  <r>
    <n v="202102"/>
    <d v="2024-07-13T00:00:00"/>
    <n v="107197"/>
    <n v="200549"/>
    <x v="1"/>
    <x v="1"/>
    <n v="1"/>
    <n v="18.989999999999998"/>
    <s v="Y"/>
    <s v="SUMMER10"/>
    <n v="0.1"/>
    <n v="1.899"/>
    <n v="17.090999999999998"/>
    <n v="4"/>
    <x v="164"/>
    <s v="Sat"/>
    <n v="0.2"/>
  </r>
  <r>
    <n v="202102"/>
    <d v="2024-07-13T00:00:00"/>
    <n v="107197"/>
    <n v="100252"/>
    <x v="2"/>
    <x v="5"/>
    <n v="1"/>
    <n v="449"/>
    <s v="Y"/>
    <s v="SUMMER10"/>
    <n v="0.1"/>
    <n v="44.900000000000006"/>
    <n v="404.1"/>
    <n v="6"/>
    <x v="1"/>
    <s v="Sat"/>
    <n v="0.2"/>
  </r>
  <r>
    <n v="202102"/>
    <d v="2024-07-13T00:00:00"/>
    <n v="107197"/>
    <n v="100254"/>
    <x v="2"/>
    <x v="9"/>
    <n v="1"/>
    <n v="799"/>
    <s v="Y"/>
    <s v="SUMMER10"/>
    <n v="0.1"/>
    <n v="79.900000000000006"/>
    <n v="719.1"/>
    <n v="7"/>
    <x v="1"/>
    <s v="Sat"/>
    <n v="0.2"/>
  </r>
  <r>
    <n v="202102"/>
    <d v="2024-07-13T00:00:00"/>
    <n v="107197"/>
    <n v="200549"/>
    <x v="1"/>
    <x v="1"/>
    <n v="1"/>
    <n v="18.989999999999998"/>
    <s v="Y"/>
    <s v="SUMMER10"/>
    <n v="0.1"/>
    <n v="1.899"/>
    <n v="17.090999999999998"/>
    <n v="4"/>
    <x v="1"/>
    <s v="Sat"/>
    <n v="0.2"/>
  </r>
  <r>
    <n v="202102"/>
    <d v="2024-07-13T00:00:00"/>
    <n v="107197"/>
    <n v="300185"/>
    <x v="0"/>
    <x v="7"/>
    <n v="2"/>
    <n v="29.99"/>
    <s v="Y"/>
    <s v="SUMMER10"/>
    <n v="0.1"/>
    <n v="5.9980000000000002"/>
    <n v="53.981999999999999"/>
    <n v="4"/>
    <x v="1"/>
    <s v="Sat"/>
    <n v="0.2"/>
  </r>
  <r>
    <n v="202103"/>
    <d v="2024-07-12T00:00:00"/>
    <n v="118641"/>
    <n v="200559"/>
    <x v="1"/>
    <x v="3"/>
    <n v="1"/>
    <n v="59.99"/>
    <s v="N"/>
    <s v=""/>
    <s v=""/>
    <n v="0"/>
    <n v="59.99"/>
    <n v="3"/>
    <x v="165"/>
    <s v="Fri"/>
    <n v="0.25"/>
  </r>
  <r>
    <n v="202103"/>
    <d v="2024-07-12T00:00:00"/>
    <n v="118641"/>
    <n v="100254"/>
    <x v="2"/>
    <x v="9"/>
    <n v="2"/>
    <n v="799"/>
    <s v="N"/>
    <s v=""/>
    <s v=""/>
    <n v="0"/>
    <n v="1598"/>
    <n v="4"/>
    <x v="1"/>
    <s v="Fri"/>
    <n v="0.25"/>
  </r>
  <r>
    <n v="202103"/>
    <d v="2024-07-12T00:00:00"/>
    <n v="118641"/>
    <n v="100250"/>
    <x v="2"/>
    <x v="16"/>
    <n v="1"/>
    <n v="189"/>
    <s v="N"/>
    <s v=""/>
    <s v=""/>
    <n v="0"/>
    <n v="189"/>
    <n v="4"/>
    <x v="1"/>
    <s v="Fri"/>
    <n v="0.25"/>
  </r>
  <r>
    <n v="202103"/>
    <d v="2024-07-12T00:00:00"/>
    <n v="118641"/>
    <n v="300191"/>
    <x v="0"/>
    <x v="11"/>
    <n v="2"/>
    <n v="21.99"/>
    <s v="N"/>
    <s v=""/>
    <s v=""/>
    <n v="0"/>
    <n v="43.98"/>
    <n v="4"/>
    <x v="1"/>
    <s v="Fri"/>
    <n v="0.25"/>
  </r>
  <r>
    <n v="202104"/>
    <d v="2024-07-12T00:00:00"/>
    <n v="129955"/>
    <n v="300191"/>
    <x v="0"/>
    <x v="11"/>
    <n v="1"/>
    <n v="21.99"/>
    <s v="N"/>
    <s v=""/>
    <s v=""/>
    <n v="0"/>
    <n v="21.99"/>
    <n v="4"/>
    <x v="166"/>
    <s v="Fri"/>
    <n v="0.5"/>
  </r>
  <r>
    <n v="202104"/>
    <d v="2024-07-12T00:00:00"/>
    <n v="129955"/>
    <n v="200551"/>
    <x v="1"/>
    <x v="26"/>
    <n v="1"/>
    <n v="79.989999999999995"/>
    <s v="N"/>
    <s v=""/>
    <s v=""/>
    <n v="0"/>
    <n v="79.989999999999995"/>
    <n v="3"/>
    <x v="1"/>
    <s v="Fri"/>
    <n v="0.5"/>
  </r>
  <r>
    <n v="202105"/>
    <d v="2024-07-12T00:00:00"/>
    <n v="102594"/>
    <n v="200552"/>
    <x v="1"/>
    <x v="17"/>
    <n v="1"/>
    <n v="49.99"/>
    <s v="N"/>
    <s v=""/>
    <s v=""/>
    <n v="0"/>
    <n v="49.99"/>
    <n v="1"/>
    <x v="167"/>
    <s v="Fri"/>
    <n v="0.25"/>
  </r>
  <r>
    <n v="202105"/>
    <d v="2024-07-12T00:00:00"/>
    <n v="102594"/>
    <n v="100254"/>
    <x v="2"/>
    <x v="9"/>
    <n v="4"/>
    <n v="799"/>
    <s v="N"/>
    <s v=""/>
    <s v=""/>
    <n v="0"/>
    <n v="3196"/>
    <n v="5"/>
    <x v="1"/>
    <s v="Fri"/>
    <n v="0.25"/>
  </r>
  <r>
    <n v="202105"/>
    <d v="2024-07-12T00:00:00"/>
    <n v="102594"/>
    <n v="200559"/>
    <x v="1"/>
    <x v="3"/>
    <n v="1"/>
    <n v="59.99"/>
    <s v="N"/>
    <s v=""/>
    <s v=""/>
    <n v="0"/>
    <n v="59.99"/>
    <n v="3"/>
    <x v="1"/>
    <s v="Fri"/>
    <n v="0.25"/>
  </r>
  <r>
    <n v="202105"/>
    <d v="2024-07-12T00:00:00"/>
    <n v="102594"/>
    <n v="100250"/>
    <x v="2"/>
    <x v="16"/>
    <n v="1"/>
    <n v="189"/>
    <s v="N"/>
    <s v=""/>
    <s v=""/>
    <n v="0"/>
    <n v="189"/>
    <n v="4"/>
    <x v="1"/>
    <s v="Fri"/>
    <n v="0.25"/>
  </r>
  <r>
    <n v="202106"/>
    <d v="2024-07-16T00:00:00"/>
    <n v="106698"/>
    <n v="200559"/>
    <x v="1"/>
    <x v="3"/>
    <n v="1"/>
    <n v="59.99"/>
    <s v="N"/>
    <s v=""/>
    <s v=""/>
    <n v="0"/>
    <n v="59.99"/>
    <n v="4"/>
    <x v="168"/>
    <s v="Tue"/>
    <n v="0.2"/>
  </r>
  <r>
    <n v="202106"/>
    <d v="2024-07-16T00:00:00"/>
    <n v="106698"/>
    <n v="100250"/>
    <x v="2"/>
    <x v="16"/>
    <n v="1"/>
    <n v="189"/>
    <s v="N"/>
    <s v=""/>
    <s v=""/>
    <n v="0"/>
    <n v="189"/>
    <n v="3"/>
    <x v="1"/>
    <s v="Tue"/>
    <n v="0.2"/>
  </r>
  <r>
    <n v="202106"/>
    <d v="2024-07-16T00:00:00"/>
    <n v="106698"/>
    <n v="100252"/>
    <x v="2"/>
    <x v="5"/>
    <n v="1"/>
    <n v="449"/>
    <s v="N"/>
    <s v=""/>
    <s v=""/>
    <n v="0"/>
    <n v="449"/>
    <n v="4"/>
    <x v="1"/>
    <s v="Tue"/>
    <n v="0.2"/>
  </r>
  <r>
    <n v="202106"/>
    <d v="2024-07-16T00:00:00"/>
    <n v="106698"/>
    <n v="200559"/>
    <x v="1"/>
    <x v="3"/>
    <n v="2"/>
    <n v="59.99"/>
    <s v="N"/>
    <s v=""/>
    <s v=""/>
    <n v="0"/>
    <n v="119.98"/>
    <n v="2"/>
    <x v="1"/>
    <s v="Tue"/>
    <n v="0.2"/>
  </r>
  <r>
    <n v="202106"/>
    <d v="2024-07-16T00:00:00"/>
    <n v="106698"/>
    <n v="300191"/>
    <x v="0"/>
    <x v="11"/>
    <n v="1"/>
    <n v="21.99"/>
    <s v="N"/>
    <s v=""/>
    <s v=""/>
    <n v="0"/>
    <n v="21.99"/>
    <n v="2"/>
    <x v="1"/>
    <s v="Tue"/>
    <n v="0.2"/>
  </r>
  <r>
    <n v="202107"/>
    <d v="2024-07-17T00:00:00"/>
    <n v="117255"/>
    <n v="300191"/>
    <x v="0"/>
    <x v="11"/>
    <n v="1"/>
    <n v="21.99"/>
    <s v="N"/>
    <s v=""/>
    <s v=""/>
    <n v="0"/>
    <n v="21.99"/>
    <n v="1"/>
    <x v="117"/>
    <s v="Wed"/>
    <n v="0.5"/>
  </r>
  <r>
    <n v="202107"/>
    <d v="2024-07-17T00:00:00"/>
    <n v="117255"/>
    <n v="300191"/>
    <x v="0"/>
    <x v="11"/>
    <n v="1"/>
    <n v="21.99"/>
    <s v="N"/>
    <s v=""/>
    <s v=""/>
    <n v="0"/>
    <n v="21.99"/>
    <n v="4"/>
    <x v="1"/>
    <s v="Wed"/>
    <n v="0.5"/>
  </r>
  <r>
    <n v="202108"/>
    <d v="2024-07-12T00:00:00"/>
    <n v="106835"/>
    <n v="300187"/>
    <x v="0"/>
    <x v="20"/>
    <n v="2"/>
    <n v="54.99"/>
    <s v="N"/>
    <s v=""/>
    <s v=""/>
    <n v="0"/>
    <n v="109.98"/>
    <n v="1"/>
    <x v="111"/>
    <s v="Fri"/>
    <n v="1"/>
  </r>
  <r>
    <n v="202109"/>
    <d v="2024-07-08T00:00:00"/>
    <n v="111400"/>
    <n v="300187"/>
    <x v="0"/>
    <x v="20"/>
    <n v="4"/>
    <n v="54.99"/>
    <s v="N"/>
    <s v=""/>
    <s v=""/>
    <n v="0"/>
    <n v="219.96"/>
    <n v="1"/>
    <x v="169"/>
    <s v="Mon"/>
    <n v="1"/>
  </r>
  <r>
    <n v="202110"/>
    <d v="2024-07-10T00:00:00"/>
    <n v="129141"/>
    <n v="300191"/>
    <x v="0"/>
    <x v="11"/>
    <n v="1"/>
    <n v="21.99"/>
    <s v="N"/>
    <s v=""/>
    <s v=""/>
    <n v="0"/>
    <n v="21.99"/>
    <n v="1"/>
    <x v="49"/>
    <s v="Wed"/>
    <n v="1"/>
  </r>
  <r>
    <n v="202111"/>
    <d v="2024-07-12T00:00:00"/>
    <n v="123790"/>
    <n v="100250"/>
    <x v="2"/>
    <x v="16"/>
    <n v="3"/>
    <n v="189"/>
    <s v="N"/>
    <s v=""/>
    <s v=""/>
    <n v="0"/>
    <n v="567"/>
    <n v="4"/>
    <x v="170"/>
    <s v="Fri"/>
    <n v="0.2"/>
  </r>
  <r>
    <n v="202111"/>
    <d v="2024-07-12T00:00:00"/>
    <n v="123790"/>
    <n v="300187"/>
    <x v="0"/>
    <x v="20"/>
    <n v="1"/>
    <n v="54.99"/>
    <s v="N"/>
    <s v=""/>
    <s v=""/>
    <n v="0"/>
    <n v="54.99"/>
    <n v="1"/>
    <x v="1"/>
    <s v="Fri"/>
    <n v="0.2"/>
  </r>
  <r>
    <n v="202111"/>
    <d v="2024-07-12T00:00:00"/>
    <n v="123790"/>
    <n v="200555"/>
    <x v="1"/>
    <x v="27"/>
    <n v="1"/>
    <n v="39.99"/>
    <s v="N"/>
    <s v=""/>
    <s v=""/>
    <n v="0"/>
    <n v="39.99"/>
    <n v="4"/>
    <x v="1"/>
    <s v="Fri"/>
    <n v="0.2"/>
  </r>
  <r>
    <n v="202111"/>
    <d v="2024-07-12T00:00:00"/>
    <n v="123790"/>
    <n v="200555"/>
    <x v="1"/>
    <x v="27"/>
    <n v="1"/>
    <n v="39.99"/>
    <s v="N"/>
    <s v=""/>
    <s v=""/>
    <n v="0"/>
    <n v="39.99"/>
    <n v="4"/>
    <x v="1"/>
    <s v="Fri"/>
    <n v="0.2"/>
  </r>
  <r>
    <n v="202111"/>
    <d v="2024-07-12T00:00:00"/>
    <n v="123790"/>
    <n v="200559"/>
    <x v="1"/>
    <x v="3"/>
    <n v="1"/>
    <n v="59.99"/>
    <s v="N"/>
    <s v=""/>
    <s v=""/>
    <n v="0"/>
    <n v="59.99"/>
    <n v="2"/>
    <x v="1"/>
    <s v="Fri"/>
    <n v="0.2"/>
  </r>
  <r>
    <n v="202112"/>
    <d v="2024-07-16T00:00:00"/>
    <n v="127446"/>
    <n v="200549"/>
    <x v="1"/>
    <x v="1"/>
    <n v="1"/>
    <n v="18.989999999999998"/>
    <s v="N"/>
    <s v=""/>
    <s v=""/>
    <n v="0"/>
    <n v="18.989999999999998"/>
    <n v="4"/>
    <x v="171"/>
    <s v="Tue"/>
    <n v="0.33333333333333331"/>
  </r>
  <r>
    <n v="202112"/>
    <d v="2024-07-16T00:00:00"/>
    <n v="127446"/>
    <n v="300185"/>
    <x v="0"/>
    <x v="7"/>
    <n v="1"/>
    <n v="29.99"/>
    <s v="N"/>
    <s v=""/>
    <s v=""/>
    <n v="0"/>
    <n v="29.99"/>
    <n v="4"/>
    <x v="1"/>
    <s v="Tue"/>
    <n v="0.33333333333333331"/>
  </r>
  <r>
    <n v="202112"/>
    <d v="2024-07-16T00:00:00"/>
    <n v="127446"/>
    <n v="100254"/>
    <x v="2"/>
    <x v="9"/>
    <n v="2"/>
    <n v="799"/>
    <s v="N"/>
    <s v=""/>
    <s v=""/>
    <n v="0"/>
    <n v="1598"/>
    <n v="2"/>
    <x v="1"/>
    <s v="Tue"/>
    <n v="0.33333333333333331"/>
  </r>
  <r>
    <n v="202113"/>
    <d v="2024-07-11T00:00:00"/>
    <n v="116184"/>
    <n v="200549"/>
    <x v="1"/>
    <x v="1"/>
    <n v="1"/>
    <n v="18.989999999999998"/>
    <s v="N"/>
    <s v=""/>
    <s v=""/>
    <n v="0"/>
    <n v="18.989999999999998"/>
    <n v="1"/>
    <x v="52"/>
    <s v="Thu"/>
    <n v="0.5"/>
  </r>
  <r>
    <n v="202113"/>
    <d v="2024-07-11T00:00:00"/>
    <n v="116184"/>
    <n v="200549"/>
    <x v="1"/>
    <x v="1"/>
    <n v="1"/>
    <n v="18.989999999999998"/>
    <s v="N"/>
    <s v=""/>
    <s v=""/>
    <n v="0"/>
    <n v="18.989999999999998"/>
    <n v="3"/>
    <x v="1"/>
    <s v="Thu"/>
    <n v="0.5"/>
  </r>
  <r>
    <n v="202114"/>
    <d v="2024-07-17T00:00:00"/>
    <n v="130778"/>
    <n v="200559"/>
    <x v="1"/>
    <x v="3"/>
    <n v="2"/>
    <n v="59.99"/>
    <s v="N"/>
    <s v=""/>
    <s v=""/>
    <n v="0"/>
    <n v="119.98"/>
    <n v="2"/>
    <x v="172"/>
    <s v="Wed"/>
    <n v="0.25"/>
  </r>
  <r>
    <n v="202114"/>
    <d v="2024-07-17T00:00:00"/>
    <n v="130778"/>
    <n v="200557"/>
    <x v="1"/>
    <x v="13"/>
    <n v="2"/>
    <n v="129.99"/>
    <s v="N"/>
    <s v=""/>
    <s v=""/>
    <n v="0"/>
    <n v="259.98"/>
    <n v="1"/>
    <x v="1"/>
    <s v="Wed"/>
    <n v="0.25"/>
  </r>
  <r>
    <n v="202114"/>
    <d v="2024-07-17T00:00:00"/>
    <n v="130778"/>
    <n v="100252"/>
    <x v="2"/>
    <x v="5"/>
    <n v="4"/>
    <n v="449"/>
    <s v="N"/>
    <s v=""/>
    <s v=""/>
    <n v="0"/>
    <n v="1796"/>
    <n v="2"/>
    <x v="1"/>
    <s v="Wed"/>
    <n v="0.25"/>
  </r>
  <r>
    <n v="202114"/>
    <d v="2024-07-17T00:00:00"/>
    <n v="130778"/>
    <n v="200549"/>
    <x v="1"/>
    <x v="1"/>
    <n v="4"/>
    <n v="18.989999999999998"/>
    <s v="N"/>
    <s v=""/>
    <s v=""/>
    <n v="0"/>
    <n v="75.959999999999994"/>
    <n v="2"/>
    <x v="1"/>
    <s v="Wed"/>
    <n v="0.25"/>
  </r>
  <r>
    <n v="202115"/>
    <d v="2024-07-19T00:00:00"/>
    <n v="121702"/>
    <n v="300191"/>
    <x v="0"/>
    <x v="11"/>
    <n v="1"/>
    <n v="21.99"/>
    <s v="N"/>
    <s v=""/>
    <s v=""/>
    <n v="0"/>
    <n v="21.99"/>
    <n v="1"/>
    <x v="49"/>
    <s v="Fri"/>
    <n v="1"/>
  </r>
  <r>
    <n v="202116"/>
    <d v="2024-07-10T00:00:00"/>
    <n v="106587"/>
    <n v="100253"/>
    <x v="2"/>
    <x v="28"/>
    <n v="1"/>
    <n v="279"/>
    <s v="N"/>
    <s v=""/>
    <s v=""/>
    <n v="0"/>
    <n v="279"/>
    <n v="4"/>
    <x v="173"/>
    <s v="Wed"/>
    <n v="0.5"/>
  </r>
  <r>
    <n v="202116"/>
    <d v="2024-07-10T00:00:00"/>
    <n v="106587"/>
    <n v="200549"/>
    <x v="1"/>
    <x v="1"/>
    <n v="1"/>
    <n v="18.989999999999998"/>
    <s v="N"/>
    <s v=""/>
    <s v=""/>
    <n v="0"/>
    <n v="18.989999999999998"/>
    <n v="4"/>
    <x v="1"/>
    <s v="Wed"/>
    <n v="0.5"/>
  </r>
  <r>
    <n v="202117"/>
    <d v="2024-07-17T00:00:00"/>
    <n v="111590"/>
    <n v="300191"/>
    <x v="0"/>
    <x v="11"/>
    <n v="1"/>
    <n v="21.99"/>
    <s v="N"/>
    <s v=""/>
    <s v=""/>
    <n v="0"/>
    <n v="21.99"/>
    <n v="1"/>
    <x v="174"/>
    <s v="Wed"/>
    <n v="0.16666666666666666"/>
  </r>
  <r>
    <n v="202117"/>
    <d v="2024-07-17T00:00:00"/>
    <n v="111590"/>
    <n v="200549"/>
    <x v="1"/>
    <x v="1"/>
    <n v="4"/>
    <n v="18.989999999999998"/>
    <s v="N"/>
    <s v=""/>
    <s v=""/>
    <n v="0"/>
    <n v="75.959999999999994"/>
    <n v="4"/>
    <x v="1"/>
    <s v="Wed"/>
    <n v="0.16666666666666666"/>
  </r>
  <r>
    <n v="202117"/>
    <d v="2024-07-17T00:00:00"/>
    <n v="111590"/>
    <n v="200556"/>
    <x v="1"/>
    <x v="2"/>
    <n v="4"/>
    <n v="64.989999999999995"/>
    <s v="N"/>
    <s v=""/>
    <s v=""/>
    <n v="0"/>
    <n v="259.95999999999998"/>
    <n v="4"/>
    <x v="1"/>
    <s v="Wed"/>
    <n v="0.16666666666666666"/>
  </r>
  <r>
    <n v="202117"/>
    <d v="2024-07-17T00:00:00"/>
    <n v="111590"/>
    <n v="300185"/>
    <x v="0"/>
    <x v="7"/>
    <n v="3"/>
    <n v="29.99"/>
    <s v="N"/>
    <s v=""/>
    <s v=""/>
    <n v="0"/>
    <n v="89.97"/>
    <n v="1"/>
    <x v="1"/>
    <s v="Wed"/>
    <n v="0.16666666666666666"/>
  </r>
  <r>
    <n v="202117"/>
    <d v="2024-07-17T00:00:00"/>
    <n v="111590"/>
    <n v="200559"/>
    <x v="1"/>
    <x v="3"/>
    <n v="1"/>
    <n v="59.99"/>
    <s v="N"/>
    <s v=""/>
    <s v=""/>
    <n v="0"/>
    <n v="59.99"/>
    <n v="2"/>
    <x v="1"/>
    <s v="Wed"/>
    <n v="0.16666666666666666"/>
  </r>
  <r>
    <n v="202117"/>
    <d v="2024-07-17T00:00:00"/>
    <n v="111590"/>
    <n v="100252"/>
    <x v="2"/>
    <x v="5"/>
    <n v="4"/>
    <n v="449"/>
    <s v="N"/>
    <s v=""/>
    <s v=""/>
    <n v="0"/>
    <n v="1796"/>
    <n v="6"/>
    <x v="1"/>
    <s v="Wed"/>
    <n v="0.16666666666666666"/>
  </r>
  <r>
    <n v="202118"/>
    <d v="2024-07-21T00:00:00"/>
    <n v="104777"/>
    <n v="200559"/>
    <x v="1"/>
    <x v="3"/>
    <n v="4"/>
    <n v="59.99"/>
    <s v="N"/>
    <s v=""/>
    <s v=""/>
    <n v="0"/>
    <n v="239.96"/>
    <n v="3"/>
    <x v="27"/>
    <s v="Sun"/>
    <n v="1"/>
  </r>
  <r>
    <n v="202119"/>
    <d v="2024-07-13T00:00:00"/>
    <n v="114792"/>
    <n v="300189"/>
    <x v="0"/>
    <x v="10"/>
    <n v="1"/>
    <n v="24.99"/>
    <s v="Y"/>
    <s v="SUBSCRIBE10"/>
    <n v="0.1"/>
    <n v="2.4990000000000001"/>
    <n v="22.491"/>
    <n v="1"/>
    <x v="175"/>
    <s v="Sat"/>
    <n v="1"/>
  </r>
  <r>
    <n v="202120"/>
    <d v="2024-07-18T00:00:00"/>
    <n v="112659"/>
    <n v="300185"/>
    <x v="0"/>
    <x v="7"/>
    <n v="1"/>
    <n v="29.99"/>
    <s v="Y"/>
    <s v="PADDLE15"/>
    <n v="0.15"/>
    <n v="4.4984999999999999"/>
    <n v="25.491499999999998"/>
    <n v="3"/>
    <x v="15"/>
    <s v="Thu"/>
    <n v="1"/>
  </r>
  <r>
    <n v="202121"/>
    <d v="2024-07-13T00:00:00"/>
    <n v="130926"/>
    <n v="100252"/>
    <x v="2"/>
    <x v="5"/>
    <n v="1"/>
    <n v="449"/>
    <s v="N"/>
    <s v=""/>
    <s v=""/>
    <n v="0"/>
    <n v="449"/>
    <n v="4"/>
    <x v="176"/>
    <s v="Sat"/>
    <n v="0.2"/>
  </r>
  <r>
    <n v="202121"/>
    <d v="2024-07-13T00:00:00"/>
    <n v="130926"/>
    <n v="200556"/>
    <x v="1"/>
    <x v="2"/>
    <n v="1"/>
    <n v="64.989999999999995"/>
    <s v="N"/>
    <s v=""/>
    <s v=""/>
    <n v="0"/>
    <n v="64.989999999999995"/>
    <n v="2"/>
    <x v="1"/>
    <s v="Sat"/>
    <n v="0.2"/>
  </r>
  <r>
    <n v="202121"/>
    <d v="2024-07-13T00:00:00"/>
    <n v="130926"/>
    <n v="300191"/>
    <x v="0"/>
    <x v="11"/>
    <n v="1"/>
    <n v="21.99"/>
    <s v="N"/>
    <s v=""/>
    <s v=""/>
    <n v="0"/>
    <n v="21.99"/>
    <n v="1"/>
    <x v="1"/>
    <s v="Sat"/>
    <n v="0.2"/>
  </r>
  <r>
    <n v="202121"/>
    <d v="2024-07-13T00:00:00"/>
    <n v="130926"/>
    <n v="100253"/>
    <x v="2"/>
    <x v="28"/>
    <n v="1"/>
    <n v="279"/>
    <s v="N"/>
    <s v=""/>
    <s v=""/>
    <n v="0"/>
    <n v="279"/>
    <n v="7"/>
    <x v="1"/>
    <s v="Sat"/>
    <n v="0.2"/>
  </r>
  <r>
    <n v="202121"/>
    <d v="2024-07-13T00:00:00"/>
    <n v="130926"/>
    <n v="300191"/>
    <x v="0"/>
    <x v="11"/>
    <n v="1"/>
    <n v="21.99"/>
    <s v="N"/>
    <s v=""/>
    <s v=""/>
    <n v="0"/>
    <n v="21.99"/>
    <n v="4"/>
    <x v="1"/>
    <s v="Sat"/>
    <n v="0.2"/>
  </r>
  <r>
    <n v="202122"/>
    <d v="2024-07-20T00:00:00"/>
    <n v="126862"/>
    <n v="300191"/>
    <x v="0"/>
    <x v="11"/>
    <n v="1"/>
    <n v="21.99"/>
    <s v="N"/>
    <s v=""/>
    <s v=""/>
    <n v="0"/>
    <n v="21.99"/>
    <n v="3"/>
    <x v="177"/>
    <s v="Sat"/>
    <n v="0.25"/>
  </r>
  <r>
    <n v="202122"/>
    <d v="2024-07-20T00:00:00"/>
    <n v="126862"/>
    <n v="100255"/>
    <x v="2"/>
    <x v="22"/>
    <n v="1"/>
    <n v="1299"/>
    <s v="N"/>
    <s v=""/>
    <s v=""/>
    <n v="0"/>
    <n v="1299"/>
    <n v="6"/>
    <x v="1"/>
    <s v="Sat"/>
    <n v="0.25"/>
  </r>
  <r>
    <n v="202122"/>
    <d v="2024-07-20T00:00:00"/>
    <n v="126862"/>
    <n v="300187"/>
    <x v="0"/>
    <x v="20"/>
    <n v="1"/>
    <n v="54.99"/>
    <s v="N"/>
    <s v=""/>
    <s v=""/>
    <n v="0"/>
    <n v="54.99"/>
    <n v="3"/>
    <x v="1"/>
    <s v="Sat"/>
    <n v="0.25"/>
  </r>
  <r>
    <n v="202122"/>
    <d v="2024-07-20T00:00:00"/>
    <n v="126862"/>
    <n v="100250"/>
    <x v="2"/>
    <x v="16"/>
    <n v="2"/>
    <n v="189"/>
    <s v="N"/>
    <s v=""/>
    <s v=""/>
    <n v="0"/>
    <n v="378"/>
    <n v="3"/>
    <x v="1"/>
    <s v="Sat"/>
    <n v="0.25"/>
  </r>
  <r>
    <n v="202123"/>
    <d v="2024-07-20T00:00:00"/>
    <n v="106824"/>
    <n v="100250"/>
    <x v="2"/>
    <x v="16"/>
    <n v="1"/>
    <n v="189"/>
    <s v="Y"/>
    <s v="SUMMER10"/>
    <n v="0.1"/>
    <n v="18.900000000000002"/>
    <n v="170.1"/>
    <n v="6"/>
    <x v="178"/>
    <s v="Sat"/>
    <n v="0.5"/>
  </r>
  <r>
    <n v="202123"/>
    <d v="2024-07-20T00:00:00"/>
    <n v="106824"/>
    <n v="100254"/>
    <x v="2"/>
    <x v="9"/>
    <n v="2"/>
    <n v="799"/>
    <s v="Y"/>
    <s v="SUMMER10"/>
    <n v="0.1"/>
    <n v="159.80000000000001"/>
    <n v="1438.2"/>
    <n v="2"/>
    <x v="1"/>
    <s v="Sat"/>
    <n v="0.5"/>
  </r>
  <r>
    <n v="202124"/>
    <d v="2024-07-20T00:00:00"/>
    <n v="128966"/>
    <n v="300185"/>
    <x v="0"/>
    <x v="7"/>
    <n v="3"/>
    <n v="29.99"/>
    <s v="Y"/>
    <s v="SUBSCRIBE10"/>
    <n v="0.1"/>
    <n v="8.9969999999999999"/>
    <n v="80.972999999999999"/>
    <n v="4"/>
    <x v="179"/>
    <s v="Sat"/>
    <n v="1"/>
  </r>
  <r>
    <n v="202125"/>
    <d v="2024-07-19T00:00:00"/>
    <n v="121212"/>
    <n v="100252"/>
    <x v="2"/>
    <x v="5"/>
    <n v="1"/>
    <n v="449"/>
    <s v="Y"/>
    <s v="PADDLE15"/>
    <n v="0.15"/>
    <n v="67.349999999999994"/>
    <n v="381.65"/>
    <n v="5"/>
    <x v="180"/>
    <s v="Fri"/>
    <n v="0.5"/>
  </r>
  <r>
    <n v="202125"/>
    <d v="2024-07-19T00:00:00"/>
    <n v="121212"/>
    <n v="200559"/>
    <x v="1"/>
    <x v="3"/>
    <n v="4"/>
    <n v="59.99"/>
    <s v="Y"/>
    <s v="PADDLE15"/>
    <n v="0.15"/>
    <n v="35.994"/>
    <n v="203.96600000000001"/>
    <n v="1"/>
    <x v="1"/>
    <s v="Fri"/>
    <n v="0.5"/>
  </r>
  <r>
    <n v="202126"/>
    <d v="2024-07-10T00:00:00"/>
    <n v="108529"/>
    <n v="200558"/>
    <x v="1"/>
    <x v="12"/>
    <n v="4"/>
    <n v="18.989999999999998"/>
    <s v="N"/>
    <s v=""/>
    <s v=""/>
    <n v="0"/>
    <n v="75.959999999999994"/>
    <n v="3"/>
    <x v="181"/>
    <s v="Wed"/>
    <n v="0.33333333333333331"/>
  </r>
  <r>
    <n v="202126"/>
    <d v="2024-07-10T00:00:00"/>
    <n v="108529"/>
    <n v="300188"/>
    <x v="0"/>
    <x v="23"/>
    <n v="5"/>
    <n v="64.989999999999995"/>
    <s v="N"/>
    <s v=""/>
    <s v=""/>
    <n v="0"/>
    <n v="324.95"/>
    <n v="2"/>
    <x v="1"/>
    <s v="Wed"/>
    <n v="0.33333333333333331"/>
  </r>
  <r>
    <n v="202126"/>
    <d v="2024-07-10T00:00:00"/>
    <n v="108529"/>
    <n v="200559"/>
    <x v="1"/>
    <x v="3"/>
    <n v="1"/>
    <n v="59.99"/>
    <s v="N"/>
    <s v=""/>
    <s v=""/>
    <n v="0"/>
    <n v="59.99"/>
    <n v="4"/>
    <x v="1"/>
    <s v="Wed"/>
    <n v="0.33333333333333331"/>
  </r>
  <r>
    <n v="202127"/>
    <d v="2024-07-20T00:00:00"/>
    <n v="110114"/>
    <n v="100250"/>
    <x v="2"/>
    <x v="16"/>
    <n v="3"/>
    <n v="189"/>
    <s v="N"/>
    <s v=""/>
    <s v=""/>
    <n v="0"/>
    <n v="567"/>
    <n v="4"/>
    <x v="44"/>
    <s v="Sat"/>
    <n v="1"/>
  </r>
  <r>
    <n v="202128"/>
    <d v="2024-07-11T00:00:00"/>
    <n v="114152"/>
    <n v="200554"/>
    <x v="1"/>
    <x v="6"/>
    <n v="4"/>
    <n v="67.989999999999995"/>
    <s v="N"/>
    <s v=""/>
    <s v=""/>
    <n v="0"/>
    <n v="271.95999999999998"/>
    <n v="2"/>
    <x v="182"/>
    <s v="Thu"/>
    <n v="1"/>
  </r>
  <r>
    <n v="202129"/>
    <d v="2024-07-13T00:00:00"/>
    <n v="113334"/>
    <n v="100252"/>
    <x v="2"/>
    <x v="5"/>
    <n v="1"/>
    <n v="449"/>
    <s v="N"/>
    <s v=""/>
    <s v=""/>
    <n v="0"/>
    <n v="449"/>
    <n v="6"/>
    <x v="183"/>
    <s v="Sat"/>
    <n v="0.25"/>
  </r>
  <r>
    <n v="202129"/>
    <d v="2024-07-13T00:00:00"/>
    <n v="113334"/>
    <n v="300191"/>
    <x v="0"/>
    <x v="11"/>
    <n v="1"/>
    <n v="21.99"/>
    <s v="N"/>
    <s v=""/>
    <s v=""/>
    <n v="0"/>
    <n v="21.99"/>
    <n v="4"/>
    <x v="1"/>
    <s v="Sat"/>
    <n v="0.25"/>
  </r>
  <r>
    <n v="202129"/>
    <d v="2024-07-13T00:00:00"/>
    <n v="113334"/>
    <n v="200549"/>
    <x v="1"/>
    <x v="1"/>
    <n v="1"/>
    <n v="18.989999999999998"/>
    <s v="N"/>
    <s v=""/>
    <s v=""/>
    <n v="0"/>
    <n v="18.989999999999998"/>
    <n v="2"/>
    <x v="1"/>
    <s v="Sat"/>
    <n v="0.25"/>
  </r>
  <r>
    <n v="202129"/>
    <d v="2024-07-13T00:00:00"/>
    <n v="113334"/>
    <n v="300191"/>
    <x v="0"/>
    <x v="11"/>
    <n v="1"/>
    <n v="21.99"/>
    <s v="N"/>
    <s v=""/>
    <s v=""/>
    <n v="0"/>
    <n v="21.99"/>
    <n v="3"/>
    <x v="1"/>
    <s v="Sat"/>
    <n v="0.25"/>
  </r>
  <r>
    <n v="202130"/>
    <d v="2024-07-15T00:00:00"/>
    <n v="128291"/>
    <n v="200549"/>
    <x v="1"/>
    <x v="1"/>
    <n v="1"/>
    <n v="18.989999999999998"/>
    <s v="N"/>
    <s v=""/>
    <s v=""/>
    <n v="0"/>
    <n v="18.989999999999998"/>
    <n v="3"/>
    <x v="6"/>
    <s v="Mon"/>
    <n v="1"/>
  </r>
  <r>
    <n v="202131"/>
    <d v="2024-07-18T00:00:00"/>
    <n v="112109"/>
    <n v="200549"/>
    <x v="1"/>
    <x v="1"/>
    <n v="4"/>
    <n v="18.989999999999998"/>
    <s v="N"/>
    <s v=""/>
    <s v=""/>
    <n v="0"/>
    <n v="75.959999999999994"/>
    <n v="4"/>
    <x v="184"/>
    <s v="Thu"/>
    <n v="0.5"/>
  </r>
  <r>
    <n v="202131"/>
    <d v="2024-07-18T00:00:00"/>
    <n v="112109"/>
    <n v="300185"/>
    <x v="0"/>
    <x v="7"/>
    <n v="1"/>
    <n v="29.99"/>
    <s v="N"/>
    <s v=""/>
    <s v=""/>
    <n v="0"/>
    <n v="29.99"/>
    <n v="3"/>
    <x v="1"/>
    <s v="Thu"/>
    <n v="0.5"/>
  </r>
  <r>
    <n v="202132"/>
    <d v="2024-07-21T00:00:00"/>
    <n v="106610"/>
    <n v="300185"/>
    <x v="0"/>
    <x v="7"/>
    <n v="3"/>
    <n v="29.99"/>
    <s v="Y"/>
    <s v="SUMMER10"/>
    <n v="0.1"/>
    <n v="8.9969999999999999"/>
    <n v="80.972999999999999"/>
    <n v="1"/>
    <x v="179"/>
    <s v="Sun"/>
    <n v="1"/>
  </r>
  <r>
    <n v="202133"/>
    <d v="2024-07-15T00:00:00"/>
    <n v="107767"/>
    <n v="100251"/>
    <x v="2"/>
    <x v="14"/>
    <n v="1"/>
    <n v="399"/>
    <s v="N"/>
    <s v=""/>
    <s v=""/>
    <n v="0"/>
    <n v="399"/>
    <n v="4"/>
    <x v="185"/>
    <s v="Mon"/>
    <n v="0.25"/>
  </r>
  <r>
    <n v="202133"/>
    <d v="2024-07-15T00:00:00"/>
    <n v="107767"/>
    <n v="200556"/>
    <x v="1"/>
    <x v="2"/>
    <n v="3"/>
    <n v="64.989999999999995"/>
    <s v="N"/>
    <s v=""/>
    <s v=""/>
    <n v="0"/>
    <n v="194.96999999999997"/>
    <n v="2"/>
    <x v="1"/>
    <s v="Mon"/>
    <n v="0.25"/>
  </r>
  <r>
    <n v="202133"/>
    <d v="2024-07-15T00:00:00"/>
    <n v="107767"/>
    <n v="200556"/>
    <x v="1"/>
    <x v="2"/>
    <n v="1"/>
    <n v="64.989999999999995"/>
    <s v="N"/>
    <s v=""/>
    <s v=""/>
    <n v="0"/>
    <n v="64.989999999999995"/>
    <n v="1"/>
    <x v="1"/>
    <s v="Mon"/>
    <n v="0.25"/>
  </r>
  <r>
    <n v="202133"/>
    <d v="2024-07-15T00:00:00"/>
    <n v="107767"/>
    <n v="100252"/>
    <x v="2"/>
    <x v="5"/>
    <n v="1"/>
    <n v="449"/>
    <s v="N"/>
    <s v=""/>
    <s v=""/>
    <n v="0"/>
    <n v="449"/>
    <n v="4"/>
    <x v="1"/>
    <s v="Mon"/>
    <n v="0.25"/>
  </r>
  <r>
    <n v="202134"/>
    <d v="2024-07-14T00:00:00"/>
    <n v="128796"/>
    <n v="200548"/>
    <x v="1"/>
    <x v="21"/>
    <n v="1"/>
    <n v="29.99"/>
    <s v="N"/>
    <s v=""/>
    <s v=""/>
    <n v="0"/>
    <n v="29.99"/>
    <n v="3"/>
    <x v="186"/>
    <s v="Sun"/>
    <n v="0.25"/>
  </r>
  <r>
    <n v="202134"/>
    <d v="2024-07-14T00:00:00"/>
    <n v="128796"/>
    <n v="200559"/>
    <x v="1"/>
    <x v="3"/>
    <n v="1"/>
    <n v="59.99"/>
    <s v="N"/>
    <s v=""/>
    <s v=""/>
    <n v="0"/>
    <n v="59.99"/>
    <n v="3"/>
    <x v="1"/>
    <s v="Sun"/>
    <n v="0.25"/>
  </r>
  <r>
    <n v="202134"/>
    <d v="2024-07-14T00:00:00"/>
    <n v="128796"/>
    <n v="200549"/>
    <x v="1"/>
    <x v="1"/>
    <n v="1"/>
    <n v="18.989999999999998"/>
    <s v="N"/>
    <s v=""/>
    <s v=""/>
    <n v="0"/>
    <n v="18.989999999999998"/>
    <n v="3"/>
    <x v="1"/>
    <s v="Sun"/>
    <n v="0.25"/>
  </r>
  <r>
    <n v="202134"/>
    <d v="2024-07-14T00:00:00"/>
    <n v="128796"/>
    <n v="200558"/>
    <x v="1"/>
    <x v="12"/>
    <n v="1"/>
    <n v="18.989999999999998"/>
    <s v="N"/>
    <s v=""/>
    <s v=""/>
    <n v="0"/>
    <n v="18.989999999999998"/>
    <n v="3"/>
    <x v="1"/>
    <s v="Sun"/>
    <n v="0.25"/>
  </r>
  <r>
    <n v="202135"/>
    <d v="2024-07-16T00:00:00"/>
    <n v="109674"/>
    <n v="100252"/>
    <x v="2"/>
    <x v="5"/>
    <n v="1"/>
    <n v="449"/>
    <s v="N"/>
    <s v=""/>
    <s v=""/>
    <n v="0"/>
    <n v="449"/>
    <n v="3"/>
    <x v="80"/>
    <s v="Tue"/>
    <n v="1"/>
  </r>
  <r>
    <n v="202136"/>
    <d v="2024-07-12T00:00:00"/>
    <n v="120507"/>
    <n v="200553"/>
    <x v="1"/>
    <x v="15"/>
    <n v="1"/>
    <n v="29.99"/>
    <s v="N"/>
    <s v=""/>
    <s v=""/>
    <n v="0"/>
    <n v="29.99"/>
    <n v="4"/>
    <x v="31"/>
    <s v="Fri"/>
    <n v="1"/>
  </r>
  <r>
    <n v="202137"/>
    <d v="2024-07-13T00:00:00"/>
    <n v="104703"/>
    <n v="100252"/>
    <x v="2"/>
    <x v="5"/>
    <n v="4"/>
    <n v="449"/>
    <s v="Y"/>
    <s v="SUBSCRIBE10"/>
    <n v="0.1"/>
    <n v="179.60000000000002"/>
    <n v="1616.4"/>
    <n v="3"/>
    <x v="58"/>
    <s v="Sat"/>
    <n v="1"/>
  </r>
  <r>
    <n v="202138"/>
    <d v="2024-07-17T00:00:00"/>
    <n v="122886"/>
    <n v="300185"/>
    <x v="0"/>
    <x v="7"/>
    <n v="3"/>
    <n v="29.99"/>
    <s v="N"/>
    <s v=""/>
    <s v=""/>
    <n v="0"/>
    <n v="89.97"/>
    <n v="1"/>
    <x v="187"/>
    <s v="Wed"/>
    <n v="1"/>
  </r>
  <r>
    <n v="202139"/>
    <d v="2024-07-20T00:00:00"/>
    <n v="121235"/>
    <n v="300185"/>
    <x v="0"/>
    <x v="7"/>
    <n v="1"/>
    <n v="29.99"/>
    <s v="N"/>
    <s v=""/>
    <s v=""/>
    <n v="0"/>
    <n v="29.99"/>
    <n v="3"/>
    <x v="188"/>
    <s v="Sat"/>
    <n v="0.25"/>
  </r>
  <r>
    <n v="202139"/>
    <d v="2024-07-20T00:00:00"/>
    <n v="121235"/>
    <n v="300191"/>
    <x v="0"/>
    <x v="11"/>
    <n v="1"/>
    <n v="21.99"/>
    <s v="N"/>
    <s v=""/>
    <s v=""/>
    <n v="0"/>
    <n v="21.99"/>
    <n v="2"/>
    <x v="1"/>
    <s v="Sat"/>
    <n v="0.25"/>
  </r>
  <r>
    <n v="202139"/>
    <d v="2024-07-20T00:00:00"/>
    <n v="121235"/>
    <n v="300185"/>
    <x v="0"/>
    <x v="7"/>
    <n v="1"/>
    <n v="29.99"/>
    <s v="N"/>
    <s v=""/>
    <s v=""/>
    <n v="0"/>
    <n v="29.99"/>
    <n v="1"/>
    <x v="1"/>
    <s v="Sat"/>
    <n v="0.25"/>
  </r>
  <r>
    <n v="202139"/>
    <d v="2024-07-20T00:00:00"/>
    <n v="121235"/>
    <n v="200556"/>
    <x v="1"/>
    <x v="2"/>
    <n v="1"/>
    <n v="64.989999999999995"/>
    <s v="N"/>
    <s v=""/>
    <s v=""/>
    <n v="0"/>
    <n v="64.989999999999995"/>
    <n v="1"/>
    <x v="1"/>
    <s v="Sat"/>
    <n v="0.25"/>
  </r>
  <r>
    <n v="202140"/>
    <d v="2024-07-20T00:00:00"/>
    <n v="108374"/>
    <n v="300185"/>
    <x v="0"/>
    <x v="7"/>
    <n v="1"/>
    <n v="29.99"/>
    <s v="N"/>
    <s v=""/>
    <s v=""/>
    <n v="0"/>
    <n v="29.99"/>
    <n v="2"/>
    <x v="31"/>
    <s v="Sat"/>
    <n v="1"/>
  </r>
  <r>
    <n v="202141"/>
    <d v="2024-07-20T00:00:00"/>
    <n v="104053"/>
    <n v="200559"/>
    <x v="1"/>
    <x v="3"/>
    <n v="1"/>
    <n v="59.99"/>
    <s v="N"/>
    <s v=""/>
    <s v=""/>
    <n v="0"/>
    <n v="59.99"/>
    <n v="2"/>
    <x v="189"/>
    <s v="Sat"/>
    <n v="0.25"/>
  </r>
  <r>
    <n v="202141"/>
    <d v="2024-07-20T00:00:00"/>
    <n v="104053"/>
    <n v="200556"/>
    <x v="1"/>
    <x v="2"/>
    <n v="1"/>
    <n v="64.989999999999995"/>
    <s v="N"/>
    <s v=""/>
    <s v=""/>
    <n v="0"/>
    <n v="64.989999999999995"/>
    <n v="4"/>
    <x v="1"/>
    <s v="Sat"/>
    <n v="0.25"/>
  </r>
  <r>
    <n v="202141"/>
    <d v="2024-07-20T00:00:00"/>
    <n v="104053"/>
    <n v="100250"/>
    <x v="2"/>
    <x v="16"/>
    <n v="1"/>
    <n v="189"/>
    <s v="N"/>
    <s v=""/>
    <s v=""/>
    <n v="0"/>
    <n v="189"/>
    <n v="5"/>
    <x v="1"/>
    <s v="Sat"/>
    <n v="0.25"/>
  </r>
  <r>
    <n v="202141"/>
    <d v="2024-07-20T00:00:00"/>
    <n v="104053"/>
    <n v="300185"/>
    <x v="0"/>
    <x v="7"/>
    <n v="2"/>
    <n v="29.99"/>
    <s v="N"/>
    <s v=""/>
    <s v=""/>
    <n v="0"/>
    <n v="59.98"/>
    <n v="1"/>
    <x v="1"/>
    <s v="Sat"/>
    <n v="0.25"/>
  </r>
  <r>
    <n v="202142"/>
    <d v="2024-07-11T00:00:00"/>
    <n v="103404"/>
    <n v="100250"/>
    <x v="2"/>
    <x v="16"/>
    <n v="5"/>
    <n v="189"/>
    <s v="N"/>
    <s v=""/>
    <s v=""/>
    <n v="0"/>
    <n v="945"/>
    <n v="7"/>
    <x v="190"/>
    <s v="Thu"/>
    <n v="0.5"/>
  </r>
  <r>
    <n v="202142"/>
    <d v="2024-07-11T00:00:00"/>
    <n v="103404"/>
    <n v="100254"/>
    <x v="2"/>
    <x v="9"/>
    <n v="4"/>
    <n v="799"/>
    <s v="N"/>
    <s v=""/>
    <s v=""/>
    <n v="0"/>
    <n v="3196"/>
    <n v="6"/>
    <x v="1"/>
    <s v="Thu"/>
    <n v="0.5"/>
  </r>
  <r>
    <n v="202143"/>
    <d v="2024-07-08T00:00:00"/>
    <n v="125110"/>
    <n v="300185"/>
    <x v="0"/>
    <x v="7"/>
    <n v="1"/>
    <n v="29.99"/>
    <s v="Y"/>
    <s v="SUMMER10"/>
    <n v="0.1"/>
    <n v="2.9990000000000001"/>
    <n v="26.991"/>
    <n v="2"/>
    <x v="87"/>
    <s v="Mon"/>
    <n v="1"/>
  </r>
  <r>
    <n v="202144"/>
    <d v="2024-07-10T00:00:00"/>
    <n v="114115"/>
    <n v="200559"/>
    <x v="1"/>
    <x v="3"/>
    <n v="1"/>
    <n v="59.99"/>
    <s v="N"/>
    <s v=""/>
    <s v=""/>
    <n v="0"/>
    <n v="59.99"/>
    <n v="1"/>
    <x v="191"/>
    <s v="Wed"/>
    <n v="0.5"/>
  </r>
  <r>
    <n v="202144"/>
    <d v="2024-07-10T00:00:00"/>
    <n v="114115"/>
    <n v="100251"/>
    <x v="2"/>
    <x v="14"/>
    <n v="1"/>
    <n v="399"/>
    <s v="N"/>
    <s v=""/>
    <s v=""/>
    <n v="0"/>
    <n v="399"/>
    <n v="2"/>
    <x v="1"/>
    <s v="Wed"/>
    <n v="0.5"/>
  </r>
  <r>
    <n v="202145"/>
    <d v="2024-07-09T00:00:00"/>
    <n v="113854"/>
    <n v="300191"/>
    <x v="0"/>
    <x v="11"/>
    <n v="1"/>
    <n v="21.99"/>
    <s v="N"/>
    <s v=""/>
    <s v=""/>
    <n v="0"/>
    <n v="21.99"/>
    <n v="2"/>
    <x v="49"/>
    <s v="Tue"/>
    <n v="1"/>
  </r>
  <r>
    <n v="202146"/>
    <d v="2024-07-18T00:00:00"/>
    <n v="108292"/>
    <n v="300185"/>
    <x v="0"/>
    <x v="7"/>
    <n v="4"/>
    <n v="29.99"/>
    <s v="N"/>
    <s v=""/>
    <s v=""/>
    <n v="0"/>
    <n v="119.96"/>
    <n v="1"/>
    <x v="101"/>
    <s v="Thu"/>
    <n v="1"/>
  </r>
  <r>
    <n v="202147"/>
    <d v="2024-07-14T00:00:00"/>
    <n v="117973"/>
    <n v="100252"/>
    <x v="2"/>
    <x v="5"/>
    <n v="3"/>
    <n v="449"/>
    <s v="N"/>
    <s v=""/>
    <s v=""/>
    <n v="0"/>
    <n v="1347"/>
    <n v="3"/>
    <x v="60"/>
    <s v="Sun"/>
    <n v="1"/>
  </r>
  <r>
    <n v="202148"/>
    <d v="2024-07-13T00:00:00"/>
    <n v="124489"/>
    <n v="300185"/>
    <x v="0"/>
    <x v="7"/>
    <n v="1"/>
    <n v="29.99"/>
    <s v="N"/>
    <s v=""/>
    <s v=""/>
    <n v="0"/>
    <n v="29.99"/>
    <n v="4"/>
    <x v="192"/>
    <s v="Sat"/>
    <n v="0.25"/>
  </r>
  <r>
    <n v="202148"/>
    <d v="2024-07-13T00:00:00"/>
    <n v="124489"/>
    <n v="300185"/>
    <x v="0"/>
    <x v="7"/>
    <n v="2"/>
    <n v="29.99"/>
    <s v="N"/>
    <s v=""/>
    <s v=""/>
    <n v="0"/>
    <n v="59.98"/>
    <n v="2"/>
    <x v="1"/>
    <s v="Sat"/>
    <n v="0.25"/>
  </r>
  <r>
    <n v="202148"/>
    <d v="2024-07-13T00:00:00"/>
    <n v="124489"/>
    <n v="200559"/>
    <x v="1"/>
    <x v="3"/>
    <n v="1"/>
    <n v="59.99"/>
    <s v="N"/>
    <s v=""/>
    <s v=""/>
    <n v="0"/>
    <n v="59.99"/>
    <n v="2"/>
    <x v="1"/>
    <s v="Sat"/>
    <n v="0.25"/>
  </r>
  <r>
    <n v="202148"/>
    <d v="2024-07-13T00:00:00"/>
    <n v="124489"/>
    <n v="300189"/>
    <x v="0"/>
    <x v="10"/>
    <n v="1"/>
    <n v="24.99"/>
    <s v="N"/>
    <s v=""/>
    <s v=""/>
    <n v="0"/>
    <n v="24.99"/>
    <n v="3"/>
    <x v="1"/>
    <s v="Sat"/>
    <n v="0.25"/>
  </r>
  <r>
    <n v="202149"/>
    <d v="2024-07-20T00:00:00"/>
    <n v="122926"/>
    <n v="100252"/>
    <x v="2"/>
    <x v="5"/>
    <n v="1"/>
    <n v="449"/>
    <s v="N"/>
    <s v=""/>
    <s v=""/>
    <n v="0"/>
    <n v="449"/>
    <n v="7"/>
    <x v="80"/>
    <s v="Sat"/>
    <n v="1"/>
  </r>
  <r>
    <n v="202150"/>
    <d v="2024-07-13T00:00:00"/>
    <n v="115572"/>
    <n v="100254"/>
    <x v="2"/>
    <x v="9"/>
    <n v="1"/>
    <n v="799"/>
    <s v="N"/>
    <s v=""/>
    <s v=""/>
    <n v="0"/>
    <n v="799"/>
    <n v="2"/>
    <x v="193"/>
    <s v="Sat"/>
    <n v="0.33333333333333331"/>
  </r>
  <r>
    <n v="202150"/>
    <d v="2024-07-13T00:00:00"/>
    <n v="115572"/>
    <n v="200559"/>
    <x v="1"/>
    <x v="3"/>
    <n v="1"/>
    <n v="59.99"/>
    <s v="N"/>
    <s v=""/>
    <s v=""/>
    <n v="0"/>
    <n v="59.99"/>
    <n v="2"/>
    <x v="1"/>
    <s v="Sat"/>
    <n v="0.33333333333333331"/>
  </r>
  <r>
    <n v="202150"/>
    <d v="2024-07-13T00:00:00"/>
    <n v="115572"/>
    <n v="100255"/>
    <x v="2"/>
    <x v="22"/>
    <n v="4"/>
    <n v="1299"/>
    <s v="N"/>
    <s v=""/>
    <s v=""/>
    <n v="0"/>
    <n v="5196"/>
    <n v="4"/>
    <x v="1"/>
    <s v="Sat"/>
    <n v="0.33333333333333331"/>
  </r>
  <r>
    <n v="202151"/>
    <d v="2024-07-11T00:00:00"/>
    <n v="107928"/>
    <n v="300190"/>
    <x v="0"/>
    <x v="0"/>
    <n v="1"/>
    <n v="35.99"/>
    <s v="N"/>
    <s v=""/>
    <s v=""/>
    <n v="0"/>
    <n v="35.99"/>
    <n v="2"/>
    <x v="194"/>
    <s v="Thu"/>
    <n v="0.16666666666666666"/>
  </r>
  <r>
    <n v="202151"/>
    <d v="2024-07-11T00:00:00"/>
    <n v="107928"/>
    <n v="200559"/>
    <x v="1"/>
    <x v="3"/>
    <n v="2"/>
    <n v="59.99"/>
    <s v="N"/>
    <s v=""/>
    <s v=""/>
    <n v="0"/>
    <n v="119.98"/>
    <n v="2"/>
    <x v="1"/>
    <s v="Thu"/>
    <n v="0.16666666666666666"/>
  </r>
  <r>
    <n v="202151"/>
    <d v="2024-07-11T00:00:00"/>
    <n v="107928"/>
    <n v="200556"/>
    <x v="1"/>
    <x v="2"/>
    <n v="2"/>
    <n v="64.989999999999995"/>
    <s v="N"/>
    <s v=""/>
    <s v=""/>
    <n v="0"/>
    <n v="129.97999999999999"/>
    <n v="1"/>
    <x v="1"/>
    <s v="Thu"/>
    <n v="0.16666666666666666"/>
  </r>
  <r>
    <n v="202151"/>
    <d v="2024-07-11T00:00:00"/>
    <n v="107928"/>
    <n v="300185"/>
    <x v="0"/>
    <x v="7"/>
    <n v="1"/>
    <n v="29.99"/>
    <s v="N"/>
    <s v=""/>
    <s v=""/>
    <n v="0"/>
    <n v="29.99"/>
    <n v="3"/>
    <x v="1"/>
    <s v="Thu"/>
    <n v="0.16666666666666666"/>
  </r>
  <r>
    <n v="202151"/>
    <d v="2024-07-11T00:00:00"/>
    <n v="107928"/>
    <n v="200549"/>
    <x v="1"/>
    <x v="1"/>
    <n v="1"/>
    <n v="18.989999999999998"/>
    <s v="N"/>
    <s v=""/>
    <s v=""/>
    <n v="0"/>
    <n v="18.989999999999998"/>
    <n v="3"/>
    <x v="1"/>
    <s v="Thu"/>
    <n v="0.16666666666666666"/>
  </r>
  <r>
    <n v="202151"/>
    <d v="2024-07-11T00:00:00"/>
    <n v="107928"/>
    <n v="200548"/>
    <x v="1"/>
    <x v="21"/>
    <n v="1"/>
    <n v="29.99"/>
    <s v="N"/>
    <s v=""/>
    <s v=""/>
    <n v="0"/>
    <n v="29.99"/>
    <n v="3"/>
    <x v="1"/>
    <s v="Thu"/>
    <n v="0.16666666666666666"/>
  </r>
  <r>
    <n v="202152"/>
    <d v="2024-07-19T00:00:00"/>
    <n v="105618"/>
    <n v="100250"/>
    <x v="2"/>
    <x v="16"/>
    <n v="4"/>
    <n v="189"/>
    <s v="Y"/>
    <s v="SUMMER10"/>
    <n v="0.1"/>
    <n v="75.600000000000009"/>
    <n v="680.4"/>
    <n v="4"/>
    <x v="70"/>
    <s v="Fri"/>
    <n v="1"/>
  </r>
  <r>
    <n v="202153"/>
    <d v="2024-07-18T00:00:00"/>
    <n v="129122"/>
    <n v="300185"/>
    <x v="0"/>
    <x v="7"/>
    <n v="2"/>
    <n v="29.99"/>
    <s v="Y"/>
    <s v="SUMMER10"/>
    <n v="0.1"/>
    <n v="5.9980000000000002"/>
    <n v="53.981999999999999"/>
    <n v="3"/>
    <x v="195"/>
    <s v="Thu"/>
    <n v="1"/>
  </r>
  <r>
    <n v="202154"/>
    <d v="2024-07-13T00:00:00"/>
    <n v="123836"/>
    <n v="200556"/>
    <x v="1"/>
    <x v="2"/>
    <n v="1"/>
    <n v="64.989999999999995"/>
    <s v="N"/>
    <s v=""/>
    <s v=""/>
    <n v="0"/>
    <n v="64.989999999999995"/>
    <n v="2"/>
    <x v="82"/>
    <s v="Sat"/>
    <n v="1"/>
  </r>
  <r>
    <n v="202155"/>
    <d v="2024-07-12T00:00:00"/>
    <n v="109663"/>
    <n v="300191"/>
    <x v="0"/>
    <x v="11"/>
    <n v="1"/>
    <n v="21.99"/>
    <s v="Y"/>
    <s v="SUMMER10"/>
    <n v="0.1"/>
    <n v="2.1989999999999998"/>
    <n v="19.790999999999997"/>
    <n v="3"/>
    <x v="196"/>
    <s v="Fri"/>
    <n v="0.25"/>
  </r>
  <r>
    <n v="202155"/>
    <d v="2024-07-12T00:00:00"/>
    <n v="109663"/>
    <n v="200549"/>
    <x v="1"/>
    <x v="1"/>
    <n v="3"/>
    <n v="18.989999999999998"/>
    <s v="Y"/>
    <s v="SUMMER10"/>
    <n v="0.1"/>
    <n v="5.6970000000000001"/>
    <n v="51.272999999999996"/>
    <n v="4"/>
    <x v="1"/>
    <s v="Fri"/>
    <n v="0.25"/>
  </r>
  <r>
    <n v="202155"/>
    <d v="2024-07-12T00:00:00"/>
    <n v="109663"/>
    <n v="100250"/>
    <x v="2"/>
    <x v="16"/>
    <n v="1"/>
    <n v="189"/>
    <s v="Y"/>
    <s v="SUMMER10"/>
    <n v="0.1"/>
    <n v="18.900000000000002"/>
    <n v="170.1"/>
    <n v="5"/>
    <x v="1"/>
    <s v="Fri"/>
    <n v="0.25"/>
  </r>
  <r>
    <n v="202155"/>
    <d v="2024-07-12T00:00:00"/>
    <n v="109663"/>
    <n v="200549"/>
    <x v="1"/>
    <x v="1"/>
    <n v="1"/>
    <n v="18.989999999999998"/>
    <s v="Y"/>
    <s v="SUMMER10"/>
    <n v="0.1"/>
    <n v="1.899"/>
    <n v="17.090999999999998"/>
    <n v="3"/>
    <x v="1"/>
    <s v="Fri"/>
    <n v="0.25"/>
  </r>
  <r>
    <n v="202156"/>
    <d v="2024-07-13T00:00:00"/>
    <n v="128619"/>
    <n v="200559"/>
    <x v="1"/>
    <x v="3"/>
    <n v="1"/>
    <n v="59.99"/>
    <s v="N"/>
    <s v=""/>
    <s v=""/>
    <n v="0"/>
    <n v="59.99"/>
    <n v="1"/>
    <x v="29"/>
    <s v="Sat"/>
    <n v="1"/>
  </r>
  <r>
    <n v="202157"/>
    <d v="2024-07-18T00:00:00"/>
    <n v="110844"/>
    <n v="100254"/>
    <x v="2"/>
    <x v="9"/>
    <n v="1"/>
    <n v="799"/>
    <s v="N"/>
    <s v=""/>
    <s v=""/>
    <n v="0"/>
    <n v="799"/>
    <n v="6"/>
    <x v="197"/>
    <s v="Thu"/>
    <n v="0.25"/>
  </r>
  <r>
    <n v="202157"/>
    <d v="2024-07-18T00:00:00"/>
    <n v="110844"/>
    <n v="200559"/>
    <x v="1"/>
    <x v="3"/>
    <n v="1"/>
    <n v="59.99"/>
    <s v="N"/>
    <s v=""/>
    <s v=""/>
    <n v="0"/>
    <n v="59.99"/>
    <n v="3"/>
    <x v="1"/>
    <s v="Thu"/>
    <n v="0.25"/>
  </r>
  <r>
    <n v="202157"/>
    <d v="2024-07-18T00:00:00"/>
    <n v="110844"/>
    <n v="200559"/>
    <x v="1"/>
    <x v="3"/>
    <n v="1"/>
    <n v="59.99"/>
    <s v="N"/>
    <s v=""/>
    <s v=""/>
    <n v="0"/>
    <n v="59.99"/>
    <n v="3"/>
    <x v="1"/>
    <s v="Thu"/>
    <n v="0.25"/>
  </r>
  <r>
    <n v="202157"/>
    <d v="2024-07-18T00:00:00"/>
    <n v="110844"/>
    <n v="200559"/>
    <x v="1"/>
    <x v="3"/>
    <n v="1"/>
    <n v="59.99"/>
    <s v="N"/>
    <s v=""/>
    <s v=""/>
    <n v="0"/>
    <n v="59.99"/>
    <n v="2"/>
    <x v="1"/>
    <s v="Thu"/>
    <n v="0.25"/>
  </r>
  <r>
    <n v="202158"/>
    <d v="2024-07-10T00:00:00"/>
    <n v="116270"/>
    <n v="100250"/>
    <x v="2"/>
    <x v="16"/>
    <n v="2"/>
    <n v="189"/>
    <s v="N"/>
    <s v=""/>
    <s v=""/>
    <n v="0"/>
    <n v="378"/>
    <n v="7"/>
    <x v="198"/>
    <s v="Wed"/>
    <n v="0.5"/>
  </r>
  <r>
    <n v="202158"/>
    <d v="2024-07-10T00:00:00"/>
    <n v="116270"/>
    <n v="100255"/>
    <x v="2"/>
    <x v="22"/>
    <n v="1"/>
    <n v="1299"/>
    <s v="N"/>
    <s v=""/>
    <s v=""/>
    <n v="0"/>
    <n v="1299"/>
    <n v="4"/>
    <x v="1"/>
    <s v="Wed"/>
    <n v="0.5"/>
  </r>
  <r>
    <n v="202159"/>
    <d v="2024-07-20T00:00:00"/>
    <n v="110119"/>
    <n v="100249"/>
    <x v="2"/>
    <x v="8"/>
    <n v="4"/>
    <n v="249"/>
    <s v="Y"/>
    <s v="SUMMER10"/>
    <n v="0.1"/>
    <n v="99.600000000000009"/>
    <n v="896.4"/>
    <n v="7"/>
    <x v="199"/>
    <s v="Sat"/>
    <n v="1"/>
  </r>
  <r>
    <n v="202160"/>
    <d v="2024-07-12T00:00:00"/>
    <n v="130598"/>
    <n v="200559"/>
    <x v="1"/>
    <x v="3"/>
    <n v="4"/>
    <n v="59.99"/>
    <s v="N"/>
    <s v=""/>
    <s v=""/>
    <n v="0"/>
    <n v="239.96"/>
    <n v="4"/>
    <x v="27"/>
    <s v="Fri"/>
    <n v="1"/>
  </r>
  <r>
    <n v="202161"/>
    <d v="2024-07-10T00:00:00"/>
    <n v="126632"/>
    <n v="200559"/>
    <x v="1"/>
    <x v="3"/>
    <n v="2"/>
    <n v="59.99"/>
    <s v="N"/>
    <s v=""/>
    <s v=""/>
    <n v="0"/>
    <n v="119.98"/>
    <n v="2"/>
    <x v="200"/>
    <s v="Wed"/>
    <n v="0.16666666666666666"/>
  </r>
  <r>
    <n v="202161"/>
    <d v="2024-07-10T00:00:00"/>
    <n v="126632"/>
    <n v="200559"/>
    <x v="1"/>
    <x v="3"/>
    <n v="4"/>
    <n v="59.99"/>
    <s v="N"/>
    <s v=""/>
    <s v=""/>
    <n v="0"/>
    <n v="239.96"/>
    <n v="4"/>
    <x v="1"/>
    <s v="Wed"/>
    <n v="0.16666666666666666"/>
  </r>
  <r>
    <n v="202161"/>
    <d v="2024-07-10T00:00:00"/>
    <n v="126632"/>
    <n v="200559"/>
    <x v="1"/>
    <x v="3"/>
    <n v="1"/>
    <n v="59.99"/>
    <s v="N"/>
    <s v=""/>
    <s v=""/>
    <n v="0"/>
    <n v="59.99"/>
    <n v="1"/>
    <x v="1"/>
    <s v="Wed"/>
    <n v="0.16666666666666666"/>
  </r>
  <r>
    <n v="202161"/>
    <d v="2024-07-10T00:00:00"/>
    <n v="126632"/>
    <n v="100255"/>
    <x v="2"/>
    <x v="22"/>
    <n v="1"/>
    <n v="1299"/>
    <s v="N"/>
    <s v=""/>
    <s v=""/>
    <n v="0"/>
    <n v="1299"/>
    <n v="7"/>
    <x v="1"/>
    <s v="Wed"/>
    <n v="0.16666666666666666"/>
  </r>
  <r>
    <n v="202161"/>
    <d v="2024-07-10T00:00:00"/>
    <n v="126632"/>
    <n v="200559"/>
    <x v="1"/>
    <x v="3"/>
    <n v="4"/>
    <n v="59.99"/>
    <s v="N"/>
    <s v=""/>
    <s v=""/>
    <n v="0"/>
    <n v="239.96"/>
    <n v="4"/>
    <x v="1"/>
    <s v="Wed"/>
    <n v="0.16666666666666666"/>
  </r>
  <r>
    <n v="202161"/>
    <d v="2024-07-10T00:00:00"/>
    <n v="126632"/>
    <n v="200556"/>
    <x v="1"/>
    <x v="2"/>
    <n v="1"/>
    <n v="64.989999999999995"/>
    <s v="N"/>
    <s v=""/>
    <s v=""/>
    <n v="0"/>
    <n v="64.989999999999995"/>
    <n v="1"/>
    <x v="1"/>
    <s v="Wed"/>
    <n v="0.16666666666666666"/>
  </r>
  <r>
    <n v="202162"/>
    <d v="2024-07-13T00:00:00"/>
    <n v="106483"/>
    <n v="300187"/>
    <x v="0"/>
    <x v="20"/>
    <n v="1"/>
    <n v="54.99"/>
    <s v="N"/>
    <s v=""/>
    <s v=""/>
    <n v="0"/>
    <n v="54.99"/>
    <n v="4"/>
    <x v="201"/>
    <s v="Sat"/>
    <n v="0.33333333333333331"/>
  </r>
  <r>
    <n v="202162"/>
    <d v="2024-07-13T00:00:00"/>
    <n v="106483"/>
    <n v="100256"/>
    <x v="2"/>
    <x v="18"/>
    <n v="1"/>
    <n v="1499"/>
    <s v="N"/>
    <s v=""/>
    <s v=""/>
    <n v="0"/>
    <n v="1499"/>
    <n v="7"/>
    <x v="1"/>
    <s v="Sat"/>
    <n v="0.33333333333333331"/>
  </r>
  <r>
    <n v="202162"/>
    <d v="2024-07-13T00:00:00"/>
    <n v="106483"/>
    <n v="200559"/>
    <x v="1"/>
    <x v="3"/>
    <n v="2"/>
    <n v="59.99"/>
    <s v="N"/>
    <s v=""/>
    <s v=""/>
    <n v="0"/>
    <n v="119.98"/>
    <n v="2"/>
    <x v="1"/>
    <s v="Sat"/>
    <n v="0.33333333333333331"/>
  </r>
  <r>
    <n v="202163"/>
    <d v="2024-07-11T00:00:00"/>
    <n v="120264"/>
    <n v="100253"/>
    <x v="2"/>
    <x v="28"/>
    <n v="3"/>
    <n v="279"/>
    <s v="N"/>
    <s v=""/>
    <s v=""/>
    <n v="0"/>
    <n v="837"/>
    <n v="7"/>
    <x v="202"/>
    <s v="Thu"/>
    <n v="0.25"/>
  </r>
  <r>
    <n v="202163"/>
    <d v="2024-07-11T00:00:00"/>
    <n v="120264"/>
    <n v="300185"/>
    <x v="0"/>
    <x v="7"/>
    <n v="1"/>
    <n v="29.99"/>
    <s v="N"/>
    <s v=""/>
    <s v=""/>
    <n v="0"/>
    <n v="29.99"/>
    <n v="2"/>
    <x v="1"/>
    <s v="Thu"/>
    <n v="0.25"/>
  </r>
  <r>
    <n v="202163"/>
    <d v="2024-07-11T00:00:00"/>
    <n v="120264"/>
    <n v="200559"/>
    <x v="1"/>
    <x v="3"/>
    <n v="1"/>
    <n v="59.99"/>
    <s v="N"/>
    <s v=""/>
    <s v=""/>
    <n v="0"/>
    <n v="59.99"/>
    <n v="1"/>
    <x v="1"/>
    <s v="Thu"/>
    <n v="0.25"/>
  </r>
  <r>
    <n v="202163"/>
    <d v="2024-07-11T00:00:00"/>
    <n v="120264"/>
    <n v="200559"/>
    <x v="1"/>
    <x v="3"/>
    <n v="2"/>
    <n v="59.99"/>
    <s v="N"/>
    <s v=""/>
    <s v=""/>
    <n v="0"/>
    <n v="119.98"/>
    <n v="4"/>
    <x v="1"/>
    <s v="Thu"/>
    <n v="0.25"/>
  </r>
  <r>
    <n v="202164"/>
    <d v="2024-07-15T00:00:00"/>
    <n v="111548"/>
    <n v="300185"/>
    <x v="0"/>
    <x v="7"/>
    <n v="1"/>
    <n v="29.99"/>
    <s v="N"/>
    <s v=""/>
    <s v=""/>
    <n v="0"/>
    <n v="29.99"/>
    <n v="4"/>
    <x v="31"/>
    <s v="Mon"/>
    <n v="1"/>
  </r>
  <r>
    <n v="202165"/>
    <d v="2024-07-12T00:00:00"/>
    <n v="131042"/>
    <n v="300185"/>
    <x v="0"/>
    <x v="7"/>
    <n v="1"/>
    <n v="29.99"/>
    <s v="Y"/>
    <s v="SUMMER10"/>
    <n v="0.1"/>
    <n v="2.9990000000000001"/>
    <n v="26.991"/>
    <n v="2"/>
    <x v="203"/>
    <s v="Fri"/>
    <n v="0.5"/>
  </r>
  <r>
    <n v="202165"/>
    <d v="2024-07-12T00:00:00"/>
    <n v="131042"/>
    <n v="100250"/>
    <x v="2"/>
    <x v="16"/>
    <n v="2"/>
    <n v="189"/>
    <s v="Y"/>
    <s v="SUMMER10"/>
    <n v="0.1"/>
    <n v="37.800000000000004"/>
    <n v="340.2"/>
    <n v="6"/>
    <x v="1"/>
    <s v="Fri"/>
    <n v="0.5"/>
  </r>
  <r>
    <n v="202166"/>
    <d v="2024-07-13T00:00:00"/>
    <n v="118008"/>
    <n v="100250"/>
    <x v="2"/>
    <x v="16"/>
    <n v="1"/>
    <n v="189"/>
    <s v="N"/>
    <s v=""/>
    <s v=""/>
    <n v="0"/>
    <n v="189"/>
    <n v="4"/>
    <x v="56"/>
    <s v="Sat"/>
    <n v="1"/>
  </r>
  <r>
    <n v="202167"/>
    <d v="2024-07-19T00:00:00"/>
    <n v="108046"/>
    <n v="300191"/>
    <x v="0"/>
    <x v="11"/>
    <n v="5"/>
    <n v="21.99"/>
    <s v="N"/>
    <s v=""/>
    <s v=""/>
    <n v="0"/>
    <n v="109.94999999999999"/>
    <n v="4"/>
    <x v="204"/>
    <s v="Fri"/>
    <n v="0.25"/>
  </r>
  <r>
    <n v="202167"/>
    <d v="2024-07-19T00:00:00"/>
    <n v="108046"/>
    <n v="300191"/>
    <x v="0"/>
    <x v="11"/>
    <n v="4"/>
    <n v="21.99"/>
    <s v="N"/>
    <s v=""/>
    <s v=""/>
    <n v="0"/>
    <n v="87.96"/>
    <n v="1"/>
    <x v="1"/>
    <s v="Fri"/>
    <n v="0.25"/>
  </r>
  <r>
    <n v="202167"/>
    <d v="2024-07-19T00:00:00"/>
    <n v="108046"/>
    <n v="300185"/>
    <x v="0"/>
    <x v="7"/>
    <n v="1"/>
    <n v="29.99"/>
    <s v="N"/>
    <s v=""/>
    <s v=""/>
    <n v="0"/>
    <n v="29.99"/>
    <n v="1"/>
    <x v="1"/>
    <s v="Fri"/>
    <n v="0.25"/>
  </r>
  <r>
    <n v="202167"/>
    <d v="2024-07-19T00:00:00"/>
    <n v="108046"/>
    <n v="300185"/>
    <x v="0"/>
    <x v="7"/>
    <n v="1"/>
    <n v="29.99"/>
    <s v="N"/>
    <s v=""/>
    <s v=""/>
    <n v="0"/>
    <n v="29.99"/>
    <n v="1"/>
    <x v="1"/>
    <s v="Fri"/>
    <n v="0.25"/>
  </r>
  <r>
    <n v="202168"/>
    <d v="2024-07-08T00:00:00"/>
    <n v="130360"/>
    <n v="200559"/>
    <x v="1"/>
    <x v="3"/>
    <n v="2"/>
    <n v="59.99"/>
    <s v="N"/>
    <s v=""/>
    <s v=""/>
    <n v="0"/>
    <n v="119.98"/>
    <n v="1"/>
    <x v="3"/>
    <s v="Mon"/>
    <n v="1"/>
  </r>
  <r>
    <n v="202169"/>
    <d v="2024-07-09T00:00:00"/>
    <n v="127808"/>
    <n v="200549"/>
    <x v="1"/>
    <x v="1"/>
    <n v="3"/>
    <n v="18.989999999999998"/>
    <s v="N"/>
    <s v=""/>
    <s v=""/>
    <n v="0"/>
    <n v="56.97"/>
    <n v="3"/>
    <x v="205"/>
    <s v="Tue"/>
    <n v="0.2"/>
  </r>
  <r>
    <n v="202169"/>
    <d v="2024-07-09T00:00:00"/>
    <n v="127808"/>
    <n v="300188"/>
    <x v="0"/>
    <x v="23"/>
    <n v="1"/>
    <n v="64.989999999999995"/>
    <s v="N"/>
    <s v=""/>
    <s v=""/>
    <n v="0"/>
    <n v="64.989999999999995"/>
    <n v="3"/>
    <x v="1"/>
    <s v="Tue"/>
    <n v="0.2"/>
  </r>
  <r>
    <n v="202169"/>
    <d v="2024-07-09T00:00:00"/>
    <n v="127808"/>
    <n v="100252"/>
    <x v="2"/>
    <x v="5"/>
    <n v="1"/>
    <n v="449"/>
    <s v="N"/>
    <s v=""/>
    <s v=""/>
    <n v="0"/>
    <n v="449"/>
    <n v="2"/>
    <x v="1"/>
    <s v="Tue"/>
    <n v="0.2"/>
  </r>
  <r>
    <n v="202169"/>
    <d v="2024-07-09T00:00:00"/>
    <n v="127808"/>
    <n v="100252"/>
    <x v="2"/>
    <x v="5"/>
    <n v="3"/>
    <n v="449"/>
    <s v="N"/>
    <s v=""/>
    <s v=""/>
    <n v="0"/>
    <n v="1347"/>
    <n v="4"/>
    <x v="1"/>
    <s v="Tue"/>
    <n v="0.2"/>
  </r>
  <r>
    <n v="202169"/>
    <d v="2024-07-09T00:00:00"/>
    <n v="127808"/>
    <n v="100254"/>
    <x v="2"/>
    <x v="9"/>
    <n v="1"/>
    <n v="799"/>
    <s v="N"/>
    <s v=""/>
    <s v=""/>
    <n v="0"/>
    <n v="799"/>
    <n v="7"/>
    <x v="1"/>
    <s v="Tue"/>
    <n v="0.2"/>
  </r>
  <r>
    <n v="202170"/>
    <d v="2024-07-19T00:00:00"/>
    <n v="120372"/>
    <n v="200551"/>
    <x v="1"/>
    <x v="26"/>
    <n v="1"/>
    <n v="79.989999999999995"/>
    <s v="N"/>
    <s v=""/>
    <s v=""/>
    <n v="0"/>
    <n v="79.989999999999995"/>
    <n v="1"/>
    <x v="206"/>
    <s v="Fri"/>
    <n v="0.2"/>
  </r>
  <r>
    <n v="202170"/>
    <d v="2024-07-19T00:00:00"/>
    <n v="120372"/>
    <n v="300185"/>
    <x v="0"/>
    <x v="7"/>
    <n v="1"/>
    <n v="29.99"/>
    <s v="N"/>
    <s v=""/>
    <s v=""/>
    <n v="0"/>
    <n v="29.99"/>
    <n v="2"/>
    <x v="1"/>
    <s v="Fri"/>
    <n v="0.2"/>
  </r>
  <r>
    <n v="202170"/>
    <d v="2024-07-19T00:00:00"/>
    <n v="120372"/>
    <n v="300191"/>
    <x v="0"/>
    <x v="11"/>
    <n v="3"/>
    <n v="21.99"/>
    <s v="N"/>
    <s v=""/>
    <s v=""/>
    <n v="0"/>
    <n v="65.97"/>
    <n v="3"/>
    <x v="1"/>
    <s v="Fri"/>
    <n v="0.2"/>
  </r>
  <r>
    <n v="202170"/>
    <d v="2024-07-19T00:00:00"/>
    <n v="120372"/>
    <n v="200552"/>
    <x v="1"/>
    <x v="17"/>
    <n v="1"/>
    <n v="49.99"/>
    <s v="N"/>
    <s v=""/>
    <s v=""/>
    <n v="0"/>
    <n v="49.99"/>
    <n v="2"/>
    <x v="1"/>
    <s v="Fri"/>
    <n v="0.2"/>
  </r>
  <r>
    <n v="202170"/>
    <d v="2024-07-19T00:00:00"/>
    <n v="120372"/>
    <n v="200559"/>
    <x v="1"/>
    <x v="3"/>
    <n v="1"/>
    <n v="59.99"/>
    <s v="N"/>
    <s v=""/>
    <s v=""/>
    <n v="0"/>
    <n v="59.99"/>
    <n v="4"/>
    <x v="1"/>
    <s v="Fri"/>
    <n v="0.2"/>
  </r>
  <r>
    <n v="202171"/>
    <d v="2024-07-20T00:00:00"/>
    <n v="102692"/>
    <n v="200556"/>
    <x v="1"/>
    <x v="2"/>
    <n v="1"/>
    <n v="64.989999999999995"/>
    <s v="N"/>
    <s v=""/>
    <s v=""/>
    <n v="0"/>
    <n v="64.989999999999995"/>
    <n v="2"/>
    <x v="207"/>
    <s v="Sat"/>
    <n v="0.5"/>
  </r>
  <r>
    <n v="202171"/>
    <d v="2024-07-20T00:00:00"/>
    <n v="102692"/>
    <n v="100250"/>
    <x v="2"/>
    <x v="16"/>
    <n v="1"/>
    <n v="189"/>
    <s v="N"/>
    <s v=""/>
    <s v=""/>
    <n v="0"/>
    <n v="189"/>
    <n v="6"/>
    <x v="1"/>
    <s v="Sat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F07D0-7C84-44E7-86B0-7DB3B3EF63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7">
    <pivotField showAll="0"/>
    <pivotField numFmtId="14" showAll="0"/>
    <pivotField showAll="0"/>
    <pivotField showAll="0"/>
    <pivotField axis="axisRow" multipleItemSelectionAllowed="1" showAll="0">
      <items count="4">
        <item x="1"/>
        <item x="0"/>
        <item x="2"/>
        <item t="default"/>
      </items>
    </pivotField>
    <pivotField showAll="0">
      <items count="30">
        <item x="25"/>
        <item x="14"/>
        <item x="21"/>
        <item x="12"/>
        <item x="22"/>
        <item x="6"/>
        <item x="9"/>
        <item x="15"/>
        <item x="10"/>
        <item x="1"/>
        <item x="11"/>
        <item x="18"/>
        <item x="27"/>
        <item x="16"/>
        <item x="2"/>
        <item x="0"/>
        <item x="8"/>
        <item x="13"/>
        <item x="3"/>
        <item x="28"/>
        <item x="7"/>
        <item x="17"/>
        <item x="24"/>
        <item x="26"/>
        <item x="23"/>
        <item x="4"/>
        <item x="5"/>
        <item x="20"/>
        <item x="19"/>
        <item t="default"/>
      </items>
    </pivotField>
    <pivotField showAll="0"/>
    <pivotField numFmtId="165" showAll="0"/>
    <pivotField showAll="0"/>
    <pivotField showAll="0"/>
    <pivotField showAll="0"/>
    <pivotField numFmtId="165" showAll="0"/>
    <pivotField numFmtId="165" showAll="0"/>
    <pivotField showAll="0"/>
    <pivotField dataField="1" showAll="0">
      <items count="209">
        <item x="67"/>
        <item x="6"/>
        <item x="91"/>
        <item x="49"/>
        <item x="175"/>
        <item x="8"/>
        <item x="15"/>
        <item x="87"/>
        <item x="31"/>
        <item x="83"/>
        <item x="45"/>
        <item x="52"/>
        <item x="117"/>
        <item x="21"/>
        <item x="159"/>
        <item x="195"/>
        <item x="65"/>
        <item x="85"/>
        <item x="161"/>
        <item x="4"/>
        <item x="29"/>
        <item x="82"/>
        <item x="16"/>
        <item x="64"/>
        <item x="148"/>
        <item x="141"/>
        <item x="107"/>
        <item x="53"/>
        <item x="154"/>
        <item x="116"/>
        <item x="109"/>
        <item x="179"/>
        <item x="9"/>
        <item x="74"/>
        <item x="115"/>
        <item x="187"/>
        <item x="138"/>
        <item x="57"/>
        <item x="166"/>
        <item x="184"/>
        <item x="151"/>
        <item x="111"/>
        <item x="93"/>
        <item x="101"/>
        <item x="3"/>
        <item x="186"/>
        <item x="128"/>
        <item x="160"/>
        <item x="55"/>
        <item x="48"/>
        <item x="188"/>
        <item x="153"/>
        <item x="162"/>
        <item x="102"/>
        <item x="192"/>
        <item x="136"/>
        <item x="156"/>
        <item x="147"/>
        <item x="14"/>
        <item x="89"/>
        <item x="56"/>
        <item x="76"/>
        <item x="39"/>
        <item x="169"/>
        <item x="130"/>
        <item x="33"/>
        <item x="142"/>
        <item x="146"/>
        <item x="27"/>
        <item x="124"/>
        <item x="5"/>
        <item x="207"/>
        <item x="204"/>
        <item x="196"/>
        <item x="104"/>
        <item x="46"/>
        <item x="182"/>
        <item x="26"/>
        <item x="90"/>
        <item x="206"/>
        <item x="143"/>
        <item x="173"/>
        <item x="0"/>
        <item x="114"/>
        <item x="62"/>
        <item x="66"/>
        <item x="121"/>
        <item x="50"/>
        <item x="59"/>
        <item x="140"/>
        <item x="61"/>
        <item x="194"/>
        <item x="203"/>
        <item x="125"/>
        <item x="189"/>
        <item x="98"/>
        <item x="23"/>
        <item x="37"/>
        <item x="17"/>
        <item x="106"/>
        <item x="19"/>
        <item x="80"/>
        <item x="191"/>
        <item x="181"/>
        <item x="126"/>
        <item x="150"/>
        <item x="38"/>
        <item x="183"/>
        <item x="78"/>
        <item x="68"/>
        <item x="43"/>
        <item x="44"/>
        <item x="88"/>
        <item x="40"/>
        <item x="180"/>
        <item x="18"/>
        <item x="119"/>
        <item x="30"/>
        <item x="70"/>
        <item x="24"/>
        <item x="35"/>
        <item x="99"/>
        <item x="113"/>
        <item x="132"/>
        <item x="73"/>
        <item x="32"/>
        <item x="110"/>
        <item x="170"/>
        <item x="131"/>
        <item x="28"/>
        <item x="176"/>
        <item x="168"/>
        <item x="134"/>
        <item x="69"/>
        <item x="120"/>
        <item x="95"/>
        <item x="199"/>
        <item x="97"/>
        <item x="108"/>
        <item x="122"/>
        <item x="36"/>
        <item x="135"/>
        <item x="7"/>
        <item x="197"/>
        <item x="2"/>
        <item x="144"/>
        <item x="25"/>
        <item x="155"/>
        <item x="202"/>
        <item x="158"/>
        <item x="100"/>
        <item x="185"/>
        <item x="86"/>
        <item x="129"/>
        <item x="157"/>
        <item x="71"/>
        <item x="127"/>
        <item x="164"/>
        <item x="133"/>
        <item x="75"/>
        <item x="123"/>
        <item x="145"/>
        <item x="84"/>
        <item x="118"/>
        <item x="60"/>
        <item x="137"/>
        <item x="92"/>
        <item x="10"/>
        <item x="12"/>
        <item x="13"/>
        <item x="42"/>
        <item x="178"/>
        <item x="58"/>
        <item x="171"/>
        <item x="103"/>
        <item x="201"/>
        <item x="198"/>
        <item x="20"/>
        <item x="177"/>
        <item x="79"/>
        <item x="54"/>
        <item x="165"/>
        <item x="81"/>
        <item x="200"/>
        <item x="34"/>
        <item x="172"/>
        <item x="72"/>
        <item x="174"/>
        <item x="51"/>
        <item x="94"/>
        <item x="205"/>
        <item x="112"/>
        <item x="77"/>
        <item x="105"/>
        <item x="41"/>
        <item x="149"/>
        <item x="167"/>
        <item x="22"/>
        <item x="11"/>
        <item x="139"/>
        <item x="190"/>
        <item x="152"/>
        <item x="163"/>
        <item x="47"/>
        <item x="63"/>
        <item x="96"/>
        <item x="193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 Revenue" fld="14" baseField="0" baseItem="0" numFmtId="171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0E5F9A-096B-4700-95C7-7BA15D3A99B6}" name="Table3" displayName="Table3" ref="B4:H21" headerRowDxfId="91">
  <autoFilter ref="B4:H21" xr:uid="{830E5F9A-096B-4700-95C7-7BA15D3A99B6}"/>
  <tableColumns count="7">
    <tableColumn id="7" xr3:uid="{9F5075BA-F136-413E-94FA-757F533F8CEF}" name="No." totalsRowLabel="Total" dataDxfId="90" totalsRowDxfId="89">
      <calculatedColumnFormula>ROW()-ROW(Table3[[#Headers],[No.]])</calculatedColumnFormula>
    </tableColumn>
    <tableColumn id="1" xr3:uid="{32A6C22B-3DA1-424D-841D-B3E72B6B98D7}" name="Name"/>
    <tableColumn id="2" xr3:uid="{6A246FD6-6FF8-4FF5-A0FC-7AA1B0E371A6}" name="Gift Ideas"/>
    <tableColumn id="3" xr3:uid="{383B5B65-EDE9-4184-9B2B-6E7842F13CCA}" name="Budget" totalsRowFunction="sum" totalsRowDxfId="88" dataCellStyle="Currency"/>
    <tableColumn id="4" xr3:uid="{DF95ADFA-6095-4830-9E6A-F92F6141F95C}" name="Spent" totalsRowFunction="sum" totalsRowDxfId="87" dataCellStyle="Currency"/>
    <tableColumn id="5" xr3:uid="{8644CAA4-06B9-40F6-B2E5-88D731085C38}" name="Bought" dataDxfId="86" dataCellStyle="Currency"/>
    <tableColumn id="6" xr3:uid="{4F123F64-4978-45BD-A436-11D206B5F8D5}" name="Wrapped" dataDxfId="85"/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26DA3-E045-4D3D-B364-4FD23F78812E}" name="tblSupportLog" displayName="tblSupportLog" ref="B3:L24" totalsRowShown="0">
  <autoFilter ref="B3:L24" xr:uid="{CB13B9EB-2AA8-47CB-BCB4-71F247CC3A35}"/>
  <tableColumns count="11">
    <tableColumn id="20" xr3:uid="{3B18E7A8-7F17-4635-9EB8-33E628FAAE19}" name="Highlight" dataDxfId="84"/>
    <tableColumn id="1" xr3:uid="{1BD10E1C-091B-4B84-84F7-745C1B148D28}" name="Support ID"/>
    <tableColumn id="16" xr3:uid="{4659969A-3668-4B40-AF1E-3AA98AD87CC7}" name="Date" dataDxfId="83"/>
    <tableColumn id="2" xr3:uid="{B7450508-9ADD-4D17-BF1D-034CF1C3A936}" name="Customer Name" dataDxfId="82"/>
    <tableColumn id="17" xr3:uid="{6F18B500-5A88-46F4-82EE-83E5E3708C8E}" name="Contact Name" dataDxfId="81"/>
    <tableColumn id="3" xr3:uid="{E20C439E-78D8-408C-829A-9DB39BC0A205}" name="Phone Number" dataDxfId="80"/>
    <tableColumn id="21" xr3:uid="{90805C85-73B5-42E2-83F5-66C52A1AEBF7}" name="City" dataDxfId="79"/>
    <tableColumn id="22" xr3:uid="{8D9893FE-6761-457B-947F-CB300702AD0B}" name="State" dataDxfId="78"/>
    <tableColumn id="18" xr3:uid="{BED8D393-96C1-42B3-9CB6-38AC0BA8CBAE}" name="CS Rep ID" dataDxfId="77"/>
    <tableColumn id="10" xr3:uid="{D578B8C5-668A-489A-B3E4-DD2842F78FE6}" name="CS Rep Name" dataDxfId="76"/>
    <tableColumn id="4" xr3:uid="{06491F5E-F09B-494D-8AC4-9C4FA4BF765F}" name="Request Type" dataDxfId="75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EA4F19-B864-464C-B593-8ED790E9C961}" name="tblOrders" displayName="tblOrders" ref="B3:H36" totalsRowShown="0">
  <autoFilter ref="B3:H36" xr:uid="{7EE0C47A-9ADA-457B-AC7C-4092072A85B4}"/>
  <tableColumns count="7">
    <tableColumn id="1" xr3:uid="{884B4718-5F2A-45FF-B146-A1279F77AAEA}" name="Order" dataDxfId="74"/>
    <tableColumn id="2" xr3:uid="{23F0A5E4-F859-4176-9C55-868D135C9E61}" name="Company Name" dataDxfId="73"/>
    <tableColumn id="3" xr3:uid="{5F97BF5C-7F2B-472A-A4C8-C914CA193EB7}" name="Date" dataDxfId="72"/>
    <tableColumn id="4" xr3:uid="{7E214435-F717-4918-B6D6-5EC235760F39}" name="Paid" dataDxfId="71"/>
    <tableColumn id="5" xr3:uid="{23629947-1C71-4857-936D-C1D60520BD28}" name="Shipping" dataDxfId="70"/>
    <tableColumn id="9" xr3:uid="{917D3219-4372-4A74-B5BC-6C9E8F5582F2}" name="Items" dataDxfId="69">
      <calculatedColumnFormula>COUNTIFS(tblSales[Order ID],tblOrders[[#This Row],[Order]])</calculatedColumnFormula>
    </tableColumn>
    <tableColumn id="6" xr3:uid="{7C63A977-AEDF-4423-A3FE-6C8B23B25CD8}" name="Details" dataDxfId="68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AB3048-3CBE-44DF-AC2E-CB141AE4238B}" name="tblOrders10" displayName="tblOrders10" ref="B3:H36" totalsRowShown="0">
  <autoFilter ref="B3:H36" xr:uid="{7EE0C47A-9ADA-457B-AC7C-4092072A85B4}"/>
  <tableColumns count="7">
    <tableColumn id="1" xr3:uid="{B2187526-0A0D-4FBA-9AD4-04DD992117E3}" name="Order" dataDxfId="67"/>
    <tableColumn id="2" xr3:uid="{CD236FC2-5EF2-45C8-A9A2-7A0B4AA2CC36}" name="Company Name" dataDxfId="66"/>
    <tableColumn id="3" xr3:uid="{248B28EA-B0D9-4A9C-95AC-F4477AA63CC0}" name="Date" dataDxfId="65"/>
    <tableColumn id="4" xr3:uid="{883B8A97-90F2-42C6-8450-AD6FEF08674B}" name="Paid" dataDxfId="64"/>
    <tableColumn id="5" xr3:uid="{4DC50480-4444-40AF-91AE-93B2B9B836EE}" name="Shipping" dataDxfId="63"/>
    <tableColumn id="9" xr3:uid="{2A9E6887-FC3A-43CB-BCAB-D4CF490B3A1F}" name="Items" dataDxfId="62">
      <calculatedColumnFormula>COUNTIFS(tblSales[Order ID],tblOrders10[[#This Row],[Order]])</calculatedColumnFormula>
    </tableColumn>
    <tableColumn id="6" xr3:uid="{5AB3005C-A399-4195-BD39-93451090D8CC}" name="Details" dataDxfId="61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71FFB5-E97D-43C4-A8B4-654080334DA5}" name="tblOrders1011" displayName="tblOrders1011" ref="B3:H36" totalsRowShown="0">
  <autoFilter ref="B3:H36" xr:uid="{7EE0C47A-9ADA-457B-AC7C-4092072A85B4}"/>
  <tableColumns count="7">
    <tableColumn id="1" xr3:uid="{A619E074-CD98-4591-BA68-AAD6DEF19B94}" name="Order" dataDxfId="60"/>
    <tableColumn id="2" xr3:uid="{47F133F8-607B-430D-8EE1-23FF61AA513C}" name="Company Name" dataDxfId="59"/>
    <tableColumn id="3" xr3:uid="{D97D01DC-DA8C-4AD9-908E-098C70068EC6}" name="Date" dataDxfId="58"/>
    <tableColumn id="4" xr3:uid="{54DA9219-94EB-4099-AF3F-E33BADC2FC60}" name="Paid" dataDxfId="57"/>
    <tableColumn id="5" xr3:uid="{3E8F68B5-72E4-4CC0-BB08-9142BA6F3587}" name="Shipping" dataDxfId="56"/>
    <tableColumn id="9" xr3:uid="{578284A4-3D8C-4C5A-8282-E4A759061405}" name="Items" dataDxfId="55">
      <calculatedColumnFormula>COUNTIFS(tblSales[Order ID],tblOrders1011[[#This Row],[Order]])</calculatedColumnFormula>
    </tableColumn>
    <tableColumn id="6" xr3:uid="{2361D440-46C9-49F1-BB9A-23C6A4F37407}" name="Details" dataDxfId="54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0EB47F-545A-4E7C-810A-4021C5C73D4C}" name="tblSales" displayName="tblSales" ref="A1:Q662" totalsRowShown="0">
  <autoFilter ref="A1:Q662" xr:uid="{7D87948A-25FE-48B9-8AA7-BE2BB9E5473B}"/>
  <tableColumns count="17">
    <tableColumn id="1" xr3:uid="{6A30833B-EB23-4B9E-98DA-FAFAB34EDA63}" name="Order ID"/>
    <tableColumn id="2" xr3:uid="{32E8575E-903C-4319-96BC-F0BA4B7CE785}" name="Date" dataDxfId="53"/>
    <tableColumn id="3" xr3:uid="{53706088-1BEC-4ACD-B2AE-8B610BCE6F03}" name="Customer ID"/>
    <tableColumn id="4" xr3:uid="{F274B924-1774-4732-8735-D509126328A5}" name="Product ID" dataDxfId="52"/>
    <tableColumn id="6" xr3:uid="{5B8D0D7E-5D56-4A1B-8B91-9755AF2A6658}" name="Category" dataDxfId="51"/>
    <tableColumn id="5" xr3:uid="{C48C46D1-5C9C-4F95-AB8E-9498B28E43CD}" name="Product Name" dataDxfId="50"/>
    <tableColumn id="7" xr3:uid="{1BBA3F8B-013A-4B6B-95B4-A4A49DBDB70C}" name="Qty" dataDxfId="49"/>
    <tableColumn id="9" xr3:uid="{FFD68F4F-9390-48DE-868D-B3BF7DD3BB6E}" name="Price" dataCellStyle="Comma"/>
    <tableColumn id="10" xr3:uid="{A234C4D5-2BB0-4D7C-A878-7A6397BFB501}" name="Coupon (Y/N)"/>
    <tableColumn id="11" xr3:uid="{B78A5C92-3D91-4786-A704-250CF353A72B}" name="Coupon Code"/>
    <tableColumn id="15" xr3:uid="{F1100CAE-C450-491E-8124-91D275EA1C10}" name="Coupon %" dataDxfId="48"/>
    <tableColumn id="12" xr3:uid="{2F1EF9BF-88BF-420A-A993-88BFD29066DB}" name="Coupon Amount" dataDxfId="47" dataCellStyle="Comma"/>
    <tableColumn id="13" xr3:uid="{07649AAE-6E52-42C9-B26A-51B2744A6657}" name="Revenue" dataDxfId="46"/>
    <tableColumn id="14" xr3:uid="{9FB6AB22-4167-4C9E-95D6-CA7625C064F3}" name="Shipping Time (days)" dataDxfId="45">
      <calculatedColumnFormula>IF(LEFT(tblSales[[#This Row],[Category]],1)="A",RANDBETWEEN(1,4),RANDBETWEEN(2,7))</calculatedColumnFormula>
    </tableColumn>
    <tableColumn id="16" xr3:uid="{7A664C10-F0D7-4415-AB36-AFD4D9637DB9}" name="Order Revenue" dataDxfId="44">
      <calculatedColumnFormula>IF(COUNTIF($A$2:A2,A2)=1,SUMIFS(tblSales[Revenue],tblSales[Order ID],tblSales[[#This Row],[Order ID]]),"")</calculatedColumnFormula>
    </tableColumn>
    <tableColumn id="17" xr3:uid="{70B1F71C-1EC7-48FA-94F0-56C0BFF8C275}" name="Day of Week" dataDxfId="43">
      <calculatedColumnFormula>TEXT(tblSales[[#This Row],[Date]],"ddd")</calculatedColumnFormula>
    </tableColumn>
    <tableColumn id="18" xr3:uid="{D0980D58-EC57-4E22-BB4B-EF74635428CE}" name="Unique Count" dataDxfId="42">
      <calculatedColumnFormula>1/COUNTIF(tblSales[Order ID],tblSales[[#This Row],[Order ID]])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E0C47A-9ADA-457B-AC7C-4092072A85B4}" name="Table5" displayName="Table5" ref="B3:H36" totalsRowShown="0">
  <autoFilter ref="B3:H36" xr:uid="{7EE0C47A-9ADA-457B-AC7C-4092072A85B4}"/>
  <tableColumns count="7">
    <tableColumn id="1" xr3:uid="{F4D9826A-4EC6-406E-8405-A716B87EED1F}" name="Cust ID"/>
    <tableColumn id="2" xr3:uid="{4F1BB1B0-A1FF-40AF-B15A-07064582472E}" name="Company Name"/>
    <tableColumn id="3" xr3:uid="{44A96003-5461-46E1-95FA-79B491808A5D}" name="Source" dataDxfId="41"/>
    <tableColumn id="4" xr3:uid="{67896EE6-2A91-4FB1-9FC0-FBBEB0AAF4D9}" name="Status" dataDxfId="40"/>
    <tableColumn id="5" xr3:uid="{BB278CA5-87E0-4377-8DAE-15ABA8B3D555}" name="Notes"/>
    <tableColumn id="9" xr3:uid="{86014A10-E53D-46D4-BE33-6F732B6F92C0}" name="Contacts" dataDxfId="39">
      <calculatedColumnFormula>COUNTIFS(tblCustomerList[Customer ID],Table5[[#This Row],[Cust ID]])</calculatedColumnFormula>
    </tableColumn>
    <tableColumn id="6" xr3:uid="{90926FBC-CBD3-4B8F-94BF-F030A608A0EB}" name="Info" dataDxfId="38"/>
  </tableColumns>
  <tableStyleInfo name="TableStyleLight12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B3B942-BADF-4917-997F-CC3BFA43D540}" name="tblCustomerList" displayName="tblCustomerList" ref="A1:F479" totalsRowShown="0">
  <autoFilter ref="A1:F479" xr:uid="{9EB3B942-BADF-4917-997F-CC3BFA43D540}"/>
  <sortState xmlns:xlrd2="http://schemas.microsoft.com/office/spreadsheetml/2017/richdata2" ref="A2:F479">
    <sortCondition ref="D1:D479"/>
  </sortState>
  <tableColumns count="6">
    <tableColumn id="1" xr3:uid="{4FC0D242-EEDF-497D-9EDD-D26ADCA341C8}" name="Customer ID"/>
    <tableColumn id="2" xr3:uid="{5FD2B405-DC05-4C7E-9C67-07FEF3F3106B}" name="Customer Name"/>
    <tableColumn id="3" xr3:uid="{7D206775-E335-448F-AE8B-334E880E398D}" name="Contact Name"/>
    <tableColumn id="4" xr3:uid="{99FCB4B6-A997-4943-B45E-498621132048}" name="Phone Number"/>
    <tableColumn id="5" xr3:uid="{E1E2EF38-50A3-42AC-8476-A57992F530DD}" name="City"/>
    <tableColumn id="6" xr3:uid="{3452269A-6619-4541-9F5D-26CEB7DA1AF0}" name="Stat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40151-7DF7-435B-B280-D535E0B9191F}" name="Table2" displayName="Table2" ref="B4:E23" totalsRowShown="0">
  <autoFilter ref="B4:E23" xr:uid="{64240151-7DF7-435B-B280-D535E0B9191F}"/>
  <tableColumns count="4">
    <tableColumn id="1" xr3:uid="{195BF734-055E-4330-8891-43A2457E67CB}" name="Customer Name"/>
    <tableColumn id="2" xr3:uid="{69E500F2-2E02-487E-B6AA-71B19C544F9F}" name="Contact Name"/>
    <tableColumn id="3" xr3:uid="{F9D5519E-2D74-4632-84BF-7A6D934CBC0F}" name="Phone Number" dataDxfId="37"/>
    <tableColumn id="4" xr3:uid="{D912FEDA-4812-4663-A7A1-3A5EB546F699}" name="Called" dataDxfId="3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0D77-2B84-47CE-87B4-FC34251BBAF4}">
  <dimension ref="A1:B2"/>
  <sheetViews>
    <sheetView showGridLines="0" topLeftCell="A24" workbookViewId="0"/>
  </sheetViews>
  <sheetFormatPr defaultRowHeight="14.4" x14ac:dyDescent="0.3"/>
  <cols>
    <col min="1" max="1" width="4.6640625" customWidth="1"/>
  </cols>
  <sheetData>
    <row r="1" spans="1:2" x14ac:dyDescent="0.3">
      <c r="A1" s="104" t="s">
        <v>1156</v>
      </c>
    </row>
    <row r="2" spans="1:2" ht="18" x14ac:dyDescent="0.35">
      <c r="B2" s="103" t="s">
        <v>1155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3A51-17B2-4CF0-B0AB-771123F972B0}">
  <sheetPr codeName="Sheet11"/>
  <dimension ref="A1:C14"/>
  <sheetViews>
    <sheetView workbookViewId="0"/>
  </sheetViews>
  <sheetFormatPr defaultRowHeight="14.4" x14ac:dyDescent="0.3"/>
  <cols>
    <col min="1" max="1" width="2.5546875" customWidth="1"/>
    <col min="2" max="2" width="6.6640625" customWidth="1"/>
    <col min="3" max="3" width="16.88671875" customWidth="1"/>
  </cols>
  <sheetData>
    <row r="1" spans="1:3" s="73" customFormat="1" ht="30" customHeight="1" x14ac:dyDescent="0.4">
      <c r="A1" s="105">
        <v>3</v>
      </c>
      <c r="B1" s="73" t="s">
        <v>542</v>
      </c>
    </row>
    <row r="2" spans="1:3" ht="17.25" customHeight="1" x14ac:dyDescent="0.3">
      <c r="C2" s="2"/>
    </row>
    <row r="3" spans="1:3" ht="17.25" customHeight="1" x14ac:dyDescent="0.3">
      <c r="B3" s="1" t="b">
        <v>1</v>
      </c>
      <c r="C3" t="s">
        <v>543</v>
      </c>
    </row>
    <row r="4" spans="1:3" ht="17.25" customHeight="1" x14ac:dyDescent="0.3">
      <c r="B4" s="1" t="b">
        <v>0</v>
      </c>
      <c r="C4" t="s">
        <v>544</v>
      </c>
    </row>
    <row r="5" spans="1:3" ht="17.25" customHeight="1" x14ac:dyDescent="0.3">
      <c r="B5" s="1" t="b">
        <v>1</v>
      </c>
      <c r="C5" t="s">
        <v>545</v>
      </c>
    </row>
    <row r="6" spans="1:3" ht="17.25" customHeight="1" x14ac:dyDescent="0.3">
      <c r="B6" s="1" t="b">
        <v>0</v>
      </c>
      <c r="C6" t="s">
        <v>546</v>
      </c>
    </row>
    <row r="7" spans="1:3" ht="17.25" customHeight="1" x14ac:dyDescent="0.3">
      <c r="B7" s="1" t="b">
        <v>0</v>
      </c>
      <c r="C7" t="s">
        <v>547</v>
      </c>
    </row>
    <row r="8" spans="1:3" ht="17.25" customHeight="1" x14ac:dyDescent="0.3">
      <c r="B8" s="1" t="b">
        <v>0</v>
      </c>
      <c r="C8" t="s">
        <v>548</v>
      </c>
    </row>
    <row r="9" spans="1:3" ht="17.25" customHeight="1" x14ac:dyDescent="0.3">
      <c r="B9" s="1" t="b">
        <v>0</v>
      </c>
      <c r="C9" t="s">
        <v>549</v>
      </c>
    </row>
    <row r="10" spans="1:3" ht="17.25" customHeight="1" x14ac:dyDescent="0.3">
      <c r="B10" s="1" t="b">
        <v>0</v>
      </c>
      <c r="C10" t="s">
        <v>550</v>
      </c>
    </row>
    <row r="11" spans="1:3" ht="17.25" customHeight="1" x14ac:dyDescent="0.3">
      <c r="B11" s="1" t="b">
        <v>0</v>
      </c>
      <c r="C11" t="s">
        <v>551</v>
      </c>
    </row>
    <row r="12" spans="1:3" ht="17.25" customHeight="1" x14ac:dyDescent="0.3">
      <c r="B12" s="1" t="b">
        <v>0</v>
      </c>
      <c r="C12" t="s">
        <v>552</v>
      </c>
    </row>
    <row r="13" spans="1:3" ht="17.25" customHeight="1" x14ac:dyDescent="0.3">
      <c r="B13" s="1" t="b">
        <v>0</v>
      </c>
      <c r="C13" t="s">
        <v>553</v>
      </c>
    </row>
    <row r="14" spans="1:3" ht="17.25" customHeight="1" x14ac:dyDescent="0.3">
      <c r="B14" s="1" t="b">
        <v>0</v>
      </c>
      <c r="C14" t="s">
        <v>554</v>
      </c>
    </row>
  </sheetData>
  <hyperlinks>
    <hyperlink ref="A1" location="'TOC Gallery'!A1" tooltip="Go To Table of Contents" display="'TOC Gallery'!A1" xr:uid="{851196CE-A970-43F5-9EAA-F8B4F33D025B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DBFA-2DB0-4419-9E85-DCF2E41C0808}">
  <sheetPr codeName="Sheet4"/>
  <dimension ref="A1:H22"/>
  <sheetViews>
    <sheetView showGridLines="0" workbookViewId="0"/>
  </sheetViews>
  <sheetFormatPr defaultRowHeight="14.4" x14ac:dyDescent="0.3"/>
  <cols>
    <col min="1" max="1" width="2.5546875" customWidth="1"/>
    <col min="2" max="2" width="5.44140625" customWidth="1"/>
    <col min="3" max="3" width="12.6640625" customWidth="1"/>
    <col min="4" max="4" width="26.88671875" customWidth="1"/>
    <col min="5" max="5" width="9.5546875" bestFit="1" customWidth="1"/>
    <col min="6" max="6" width="9.109375" customWidth="1"/>
    <col min="7" max="7" width="9.5546875" bestFit="1" customWidth="1"/>
    <col min="8" max="8" width="10.88671875" bestFit="1" customWidth="1"/>
  </cols>
  <sheetData>
    <row r="1" spans="1:8" s="7" customFormat="1" ht="30" customHeight="1" x14ac:dyDescent="0.45">
      <c r="A1" s="106">
        <v>3</v>
      </c>
      <c r="C1" s="8" t="s">
        <v>555</v>
      </c>
    </row>
    <row r="2" spans="1:8" s="5" customFormat="1" ht="3" customHeight="1" x14ac:dyDescent="0.4">
      <c r="B2" s="4"/>
    </row>
    <row r="4" spans="1:8" x14ac:dyDescent="0.3">
      <c r="B4" s="2" t="s">
        <v>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x14ac:dyDescent="0.3">
      <c r="B5" s="33">
        <f>ROW()-ROW(Table3[[#Headers],[No.]])</f>
        <v>1</v>
      </c>
      <c r="C5" t="s">
        <v>22</v>
      </c>
      <c r="D5" t="s">
        <v>50</v>
      </c>
      <c r="E5" s="3">
        <v>20</v>
      </c>
      <c r="F5" s="3"/>
      <c r="G5" s="6" t="b">
        <v>0</v>
      </c>
      <c r="H5" s="6" t="b">
        <v>0</v>
      </c>
    </row>
    <row r="6" spans="1:8" x14ac:dyDescent="0.3">
      <c r="B6" s="33">
        <f>ROW()-ROW(Table3[[#Headers],[No.]])</f>
        <v>2</v>
      </c>
      <c r="C6" t="s">
        <v>23</v>
      </c>
      <c r="D6" t="s">
        <v>39</v>
      </c>
      <c r="E6" s="3">
        <v>50</v>
      </c>
      <c r="F6" s="3"/>
      <c r="G6" s="6" t="b">
        <v>0</v>
      </c>
      <c r="H6" s="6" t="b">
        <v>0</v>
      </c>
    </row>
    <row r="7" spans="1:8" x14ac:dyDescent="0.3">
      <c r="B7" s="33">
        <f>ROW()-ROW(Table3[[#Headers],[No.]])</f>
        <v>3</v>
      </c>
      <c r="C7" t="s">
        <v>24</v>
      </c>
      <c r="D7" t="s">
        <v>40</v>
      </c>
      <c r="E7" s="3">
        <v>100</v>
      </c>
      <c r="F7" s="3"/>
      <c r="G7" s="6" t="b">
        <v>0</v>
      </c>
      <c r="H7" s="6" t="b">
        <v>0</v>
      </c>
    </row>
    <row r="8" spans="1:8" x14ac:dyDescent="0.3">
      <c r="B8" s="33">
        <f>ROW()-ROW(Table3[[#Headers],[No.]])</f>
        <v>4</v>
      </c>
      <c r="C8" t="s">
        <v>25</v>
      </c>
      <c r="D8" t="s">
        <v>41</v>
      </c>
      <c r="E8" s="3">
        <v>50</v>
      </c>
      <c r="F8" s="3">
        <v>42</v>
      </c>
      <c r="G8" s="6" t="b">
        <v>1</v>
      </c>
      <c r="H8" s="6" t="b">
        <v>0</v>
      </c>
    </row>
    <row r="9" spans="1:8" x14ac:dyDescent="0.3">
      <c r="B9" s="33">
        <f>ROW()-ROW(Table3[[#Headers],[No.]])</f>
        <v>5</v>
      </c>
      <c r="C9" t="s">
        <v>26</v>
      </c>
      <c r="D9" t="s">
        <v>51</v>
      </c>
      <c r="E9" s="3">
        <v>60</v>
      </c>
      <c r="F9" s="3"/>
      <c r="G9" s="6" t="b">
        <v>0</v>
      </c>
      <c r="H9" s="6" t="b">
        <v>0</v>
      </c>
    </row>
    <row r="10" spans="1:8" x14ac:dyDescent="0.3">
      <c r="B10" s="33">
        <f>ROW()-ROW(Table3[[#Headers],[No.]])</f>
        <v>6</v>
      </c>
      <c r="C10" t="s">
        <v>27</v>
      </c>
      <c r="D10" t="s">
        <v>42</v>
      </c>
      <c r="E10" s="3">
        <v>50</v>
      </c>
      <c r="F10" s="3"/>
      <c r="G10" s="6" t="b">
        <v>0</v>
      </c>
      <c r="H10" s="6" t="b">
        <v>0</v>
      </c>
    </row>
    <row r="11" spans="1:8" x14ac:dyDescent="0.3">
      <c r="B11" s="33">
        <f>ROW()-ROW(Table3[[#Headers],[No.]])</f>
        <v>7</v>
      </c>
      <c r="C11" t="s">
        <v>28</v>
      </c>
      <c r="D11" t="s">
        <v>49</v>
      </c>
      <c r="E11" s="3">
        <v>50</v>
      </c>
      <c r="F11" s="3">
        <v>55</v>
      </c>
      <c r="G11" s="6" t="b">
        <v>1</v>
      </c>
      <c r="H11" s="6" t="b">
        <v>0</v>
      </c>
    </row>
    <row r="12" spans="1:8" x14ac:dyDescent="0.3">
      <c r="B12" s="33">
        <f>ROW()-ROW(Table3[[#Headers],[No.]])</f>
        <v>8</v>
      </c>
      <c r="C12" t="s">
        <v>29</v>
      </c>
      <c r="D12" t="s">
        <v>43</v>
      </c>
      <c r="E12" s="3">
        <v>20</v>
      </c>
      <c r="F12" s="3"/>
      <c r="G12" s="6" t="b">
        <v>0</v>
      </c>
      <c r="H12" s="6" t="b">
        <v>0</v>
      </c>
    </row>
    <row r="13" spans="1:8" x14ac:dyDescent="0.3">
      <c r="B13" s="33">
        <f>ROW()-ROW(Table3[[#Headers],[No.]])</f>
        <v>9</v>
      </c>
      <c r="C13" t="s">
        <v>30</v>
      </c>
      <c r="D13" t="s">
        <v>44</v>
      </c>
      <c r="E13" s="3">
        <v>20</v>
      </c>
      <c r="F13" s="3"/>
      <c r="G13" s="6" t="b">
        <v>0</v>
      </c>
      <c r="H13" s="6" t="b">
        <v>0</v>
      </c>
    </row>
    <row r="14" spans="1:8" x14ac:dyDescent="0.3">
      <c r="B14" s="33">
        <f>ROW()-ROW(Table3[[#Headers],[No.]])</f>
        <v>10</v>
      </c>
      <c r="C14" t="s">
        <v>31</v>
      </c>
      <c r="D14" t="s">
        <v>52</v>
      </c>
      <c r="E14" s="3">
        <v>100</v>
      </c>
      <c r="F14" s="3"/>
      <c r="G14" s="6" t="b">
        <v>0</v>
      </c>
      <c r="H14" s="6" t="b">
        <v>0</v>
      </c>
    </row>
    <row r="15" spans="1:8" x14ac:dyDescent="0.3">
      <c r="B15" s="33">
        <f>ROW()-ROW(Table3[[#Headers],[No.]])</f>
        <v>11</v>
      </c>
      <c r="C15" t="s">
        <v>32</v>
      </c>
      <c r="D15" t="s">
        <v>53</v>
      </c>
      <c r="E15" s="3">
        <v>20</v>
      </c>
      <c r="F15" s="3"/>
      <c r="G15" s="6" t="b">
        <v>0</v>
      </c>
      <c r="H15" s="6" t="b">
        <v>0</v>
      </c>
    </row>
    <row r="16" spans="1:8" x14ac:dyDescent="0.3">
      <c r="B16" s="33">
        <f>ROW()-ROW(Table3[[#Headers],[No.]])</f>
        <v>12</v>
      </c>
      <c r="C16" t="s">
        <v>33</v>
      </c>
      <c r="D16" t="s">
        <v>45</v>
      </c>
      <c r="E16" s="3">
        <v>50</v>
      </c>
      <c r="F16" s="3">
        <v>48.87</v>
      </c>
      <c r="G16" s="6" t="b">
        <v>1</v>
      </c>
      <c r="H16" s="6" t="b">
        <v>0</v>
      </c>
    </row>
    <row r="17" spans="2:8" x14ac:dyDescent="0.3">
      <c r="B17" s="33">
        <f>ROW()-ROW(Table3[[#Headers],[No.]])</f>
        <v>13</v>
      </c>
      <c r="C17" t="s">
        <v>34</v>
      </c>
      <c r="D17" t="s">
        <v>46</v>
      </c>
      <c r="E17" s="3">
        <v>20</v>
      </c>
      <c r="F17" s="3"/>
      <c r="G17" s="6" t="b">
        <v>0</v>
      </c>
      <c r="H17" s="6" t="b">
        <v>0</v>
      </c>
    </row>
    <row r="18" spans="2:8" x14ac:dyDescent="0.3">
      <c r="B18" s="33">
        <f>ROW()-ROW(Table3[[#Headers],[No.]])</f>
        <v>14</v>
      </c>
      <c r="C18" t="s">
        <v>35</v>
      </c>
      <c r="D18" t="s">
        <v>54</v>
      </c>
      <c r="E18" s="3">
        <v>50</v>
      </c>
      <c r="F18" s="3"/>
      <c r="G18" s="6" t="b">
        <v>0</v>
      </c>
      <c r="H18" s="6" t="b">
        <v>0</v>
      </c>
    </row>
    <row r="19" spans="2:8" x14ac:dyDescent="0.3">
      <c r="B19" s="33">
        <f>ROW()-ROW(Table3[[#Headers],[No.]])</f>
        <v>15</v>
      </c>
      <c r="C19" t="s">
        <v>36</v>
      </c>
      <c r="D19" t="s">
        <v>47</v>
      </c>
      <c r="E19" s="3">
        <v>20</v>
      </c>
      <c r="F19" s="3"/>
      <c r="G19" s="6" t="b">
        <v>0</v>
      </c>
      <c r="H19" s="6" t="b">
        <v>0</v>
      </c>
    </row>
    <row r="20" spans="2:8" x14ac:dyDescent="0.3">
      <c r="B20" s="33">
        <f>ROW()-ROW(Table3[[#Headers],[No.]])</f>
        <v>16</v>
      </c>
      <c r="C20" t="s">
        <v>37</v>
      </c>
      <c r="D20" t="s">
        <v>48</v>
      </c>
      <c r="E20" s="3">
        <v>100</v>
      </c>
      <c r="F20" s="3"/>
      <c r="G20" s="6" t="b">
        <v>0</v>
      </c>
      <c r="H20" s="6" t="b">
        <v>0</v>
      </c>
    </row>
    <row r="21" spans="2:8" x14ac:dyDescent="0.3">
      <c r="B21" s="33">
        <f>ROW()-ROW(Table3[[#Headers],[No.]])</f>
        <v>17</v>
      </c>
      <c r="C21" t="s">
        <v>38</v>
      </c>
      <c r="D21" t="s">
        <v>42</v>
      </c>
      <c r="E21" s="3">
        <v>60</v>
      </c>
      <c r="F21" s="3"/>
      <c r="G21" s="6" t="b">
        <v>0</v>
      </c>
      <c r="H21" s="6" t="b">
        <v>0</v>
      </c>
    </row>
    <row r="22" spans="2:8" x14ac:dyDescent="0.3">
      <c r="B22" s="33"/>
      <c r="E22" s="3"/>
      <c r="F22" s="3"/>
      <c r="G22" s="37"/>
      <c r="H22" s="36"/>
    </row>
  </sheetData>
  <conditionalFormatting sqref="G5:H21">
    <cfRule type="cellIs" dxfId="35" priority="1" operator="equal">
      <formula>TRUE</formula>
    </cfRule>
  </conditionalFormatting>
  <hyperlinks>
    <hyperlink ref="A1" location="'TOC Gallery'!A1" tooltip="Go To Table of Contents" display="'TOC Gallery'!A1" xr:uid="{19B1D105-38C0-47BA-A07E-DCF93601CD4D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DDDB-E81B-4F00-AC44-90C62BC3CE00}">
  <sheetPr codeName="Sheet2"/>
  <dimension ref="A1:F15"/>
  <sheetViews>
    <sheetView topLeftCell="B1" workbookViewId="0">
      <selection activeCell="F19" sqref="F19"/>
    </sheetView>
  </sheetViews>
  <sheetFormatPr defaultRowHeight="14.4" x14ac:dyDescent="0.3"/>
  <cols>
    <col min="1" max="1" width="2.5546875" customWidth="1"/>
    <col min="2" max="2" width="9.88671875" customWidth="1"/>
    <col min="3" max="3" width="15.33203125" customWidth="1"/>
    <col min="4" max="4" width="10" customWidth="1"/>
    <col min="5" max="5" width="6.33203125" customWidth="1"/>
  </cols>
  <sheetData>
    <row r="1" spans="1:6" s="73" customFormat="1" ht="30" customHeight="1" x14ac:dyDescent="0.4">
      <c r="A1" s="105">
        <v>3</v>
      </c>
      <c r="B1" s="73" t="s">
        <v>97</v>
      </c>
    </row>
    <row r="3" spans="1:6" x14ac:dyDescent="0.3">
      <c r="B3" s="9" t="s">
        <v>98</v>
      </c>
      <c r="C3" s="9" t="s">
        <v>99</v>
      </c>
      <c r="D3" s="9" t="s">
        <v>100</v>
      </c>
      <c r="E3" s="9" t="s">
        <v>101</v>
      </c>
      <c r="F3" s="9" t="s">
        <v>13</v>
      </c>
    </row>
    <row r="4" spans="1:6" x14ac:dyDescent="0.3">
      <c r="B4" s="15">
        <v>44959</v>
      </c>
      <c r="C4" t="s">
        <v>102</v>
      </c>
      <c r="D4" s="3">
        <v>118.41</v>
      </c>
      <c r="E4" s="1" t="b">
        <v>1</v>
      </c>
      <c r="F4" s="3">
        <f>IF(E4,D4/2,D4)</f>
        <v>59.204999999999998</v>
      </c>
    </row>
    <row r="5" spans="1:6" x14ac:dyDescent="0.3">
      <c r="B5" s="15">
        <v>44959</v>
      </c>
      <c r="C5" t="s">
        <v>103</v>
      </c>
      <c r="D5" s="3">
        <v>97.98</v>
      </c>
      <c r="E5" s="1" t="b">
        <v>1</v>
      </c>
      <c r="F5" s="3">
        <f t="shared" ref="F5:F15" si="0">IF(E5,D5/2,D5)</f>
        <v>48.99</v>
      </c>
    </row>
    <row r="6" spans="1:6" x14ac:dyDescent="0.3">
      <c r="B6" s="15">
        <v>44963</v>
      </c>
      <c r="C6" t="s">
        <v>104</v>
      </c>
      <c r="D6" s="3">
        <v>106.91</v>
      </c>
      <c r="E6" s="1" t="b">
        <v>1</v>
      </c>
      <c r="F6" s="3">
        <f t="shared" si="0"/>
        <v>53.454999999999998</v>
      </c>
    </row>
    <row r="7" spans="1:6" x14ac:dyDescent="0.3">
      <c r="B7" s="15">
        <v>44964</v>
      </c>
      <c r="C7" t="s">
        <v>105</v>
      </c>
      <c r="D7" s="3">
        <v>104.74</v>
      </c>
      <c r="E7" s="1" t="b">
        <v>0</v>
      </c>
      <c r="F7" s="3">
        <f t="shared" si="0"/>
        <v>104.74</v>
      </c>
    </row>
    <row r="8" spans="1:6" x14ac:dyDescent="0.3">
      <c r="B8" s="15">
        <v>44966</v>
      </c>
      <c r="C8" t="s">
        <v>106</v>
      </c>
      <c r="D8" s="3">
        <v>94.7</v>
      </c>
      <c r="E8" s="1" t="b">
        <v>1</v>
      </c>
      <c r="F8" s="3">
        <f t="shared" si="0"/>
        <v>47.35</v>
      </c>
    </row>
    <row r="9" spans="1:6" x14ac:dyDescent="0.3">
      <c r="B9" s="15">
        <v>44967</v>
      </c>
      <c r="C9" t="s">
        <v>106</v>
      </c>
      <c r="D9" s="3">
        <v>142.47</v>
      </c>
      <c r="E9" s="1" t="b">
        <v>0</v>
      </c>
      <c r="F9" s="3">
        <f t="shared" si="0"/>
        <v>142.47</v>
      </c>
    </row>
    <row r="10" spans="1:6" x14ac:dyDescent="0.3">
      <c r="B10" s="15">
        <v>44969</v>
      </c>
      <c r="C10" t="s">
        <v>107</v>
      </c>
      <c r="D10" s="3">
        <v>61.51</v>
      </c>
      <c r="E10" s="1" t="b">
        <v>0</v>
      </c>
      <c r="F10" s="3">
        <f t="shared" si="0"/>
        <v>61.51</v>
      </c>
    </row>
    <row r="11" spans="1:6" x14ac:dyDescent="0.3">
      <c r="B11" s="15">
        <v>44971</v>
      </c>
      <c r="C11" t="s">
        <v>106</v>
      </c>
      <c r="D11" s="3">
        <v>180.64</v>
      </c>
      <c r="E11" s="1" t="b">
        <v>0</v>
      </c>
      <c r="F11" s="3">
        <f t="shared" si="0"/>
        <v>180.64</v>
      </c>
    </row>
    <row r="12" spans="1:6" x14ac:dyDescent="0.3">
      <c r="B12" s="15">
        <v>44971</v>
      </c>
      <c r="C12" t="s">
        <v>108</v>
      </c>
      <c r="D12" s="3">
        <v>149.85</v>
      </c>
      <c r="E12" s="1" t="b">
        <v>0</v>
      </c>
      <c r="F12" s="3">
        <f t="shared" si="0"/>
        <v>149.85</v>
      </c>
    </row>
    <row r="13" spans="1:6" x14ac:dyDescent="0.3">
      <c r="B13" s="15">
        <v>44971</v>
      </c>
      <c r="C13" t="s">
        <v>104</v>
      </c>
      <c r="D13" s="3">
        <v>19.98</v>
      </c>
      <c r="E13" s="1" t="b">
        <v>0</v>
      </c>
      <c r="F13" s="3">
        <f t="shared" si="0"/>
        <v>19.98</v>
      </c>
    </row>
    <row r="14" spans="1:6" x14ac:dyDescent="0.3">
      <c r="B14" s="15">
        <v>44973</v>
      </c>
      <c r="C14" t="s">
        <v>109</v>
      </c>
      <c r="D14" s="3">
        <v>14.86</v>
      </c>
      <c r="E14" s="1" t="b">
        <v>0</v>
      </c>
      <c r="F14" s="3">
        <f t="shared" si="0"/>
        <v>14.86</v>
      </c>
    </row>
    <row r="15" spans="1:6" x14ac:dyDescent="0.3">
      <c r="B15" s="15">
        <v>44975</v>
      </c>
      <c r="C15" t="s">
        <v>110</v>
      </c>
      <c r="D15" s="3">
        <v>139.81</v>
      </c>
      <c r="E15" s="1" t="b">
        <v>0</v>
      </c>
      <c r="F15" s="3">
        <f t="shared" si="0"/>
        <v>139.81</v>
      </c>
    </row>
  </sheetData>
  <hyperlinks>
    <hyperlink ref="A1" location="'TOC Gallery'!A1" tooltip="Go To Table of Contents" display="'TOC Gallery'!A1" xr:uid="{D60CC987-53F3-49AA-B652-1C1F7D3D549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1450-60AE-4582-8A78-5500F012B35C}">
  <dimension ref="A1:E1002"/>
  <sheetViews>
    <sheetView workbookViewId="0"/>
  </sheetViews>
  <sheetFormatPr defaultColWidth="14.44140625" defaultRowHeight="15" customHeight="1" x14ac:dyDescent="0.3"/>
  <cols>
    <col min="1" max="1" width="3.6640625" customWidth="1"/>
    <col min="2" max="2" width="24.6640625" customWidth="1"/>
    <col min="3" max="3" width="15.33203125" bestFit="1" customWidth="1"/>
    <col min="4" max="4" width="8.109375" customWidth="1"/>
    <col min="5" max="5" width="13.109375" customWidth="1"/>
    <col min="6" max="26" width="11" customWidth="1"/>
  </cols>
  <sheetData>
    <row r="1" spans="1:5" s="73" customFormat="1" ht="30" customHeight="1" x14ac:dyDescent="0.4">
      <c r="A1" s="105">
        <v>3</v>
      </c>
      <c r="B1" s="73" t="s">
        <v>1082</v>
      </c>
    </row>
    <row r="2" spans="1:5" ht="15.75" customHeight="1" x14ac:dyDescent="0.3"/>
    <row r="3" spans="1:5" ht="15.75" customHeight="1" x14ac:dyDescent="0.3"/>
    <row r="4" spans="1:5" ht="18.75" customHeight="1" x14ac:dyDescent="0.3">
      <c r="B4" s="77" t="s">
        <v>494</v>
      </c>
      <c r="C4" s="79" t="s">
        <v>495</v>
      </c>
      <c r="D4" s="78" t="s">
        <v>496</v>
      </c>
      <c r="E4" s="79" t="s">
        <v>497</v>
      </c>
    </row>
    <row r="5" spans="1:5" ht="18.75" customHeight="1" x14ac:dyDescent="0.3">
      <c r="B5" s="74" t="s">
        <v>498</v>
      </c>
      <c r="C5" s="74" t="s">
        <v>499</v>
      </c>
      <c r="D5" s="75" t="b">
        <v>1</v>
      </c>
      <c r="E5" s="74" t="str">
        <f>IF(D5,"Complete","In Progress")</f>
        <v>Complete</v>
      </c>
    </row>
    <row r="6" spans="1:5" ht="18.75" customHeight="1" x14ac:dyDescent="0.3">
      <c r="B6" s="74" t="s">
        <v>500</v>
      </c>
      <c r="C6" s="74" t="s">
        <v>501</v>
      </c>
      <c r="D6" s="75" t="b">
        <v>1</v>
      </c>
      <c r="E6" s="74" t="str">
        <f t="shared" ref="E6:E24" si="0">IF(D6,"Complete","In Progress")</f>
        <v>Complete</v>
      </c>
    </row>
    <row r="7" spans="1:5" ht="18.75" customHeight="1" x14ac:dyDescent="0.3">
      <c r="B7" s="74" t="s">
        <v>502</v>
      </c>
      <c r="C7" s="74" t="s">
        <v>503</v>
      </c>
      <c r="D7" s="76" t="b">
        <v>1</v>
      </c>
      <c r="E7" s="74" t="str">
        <f t="shared" si="0"/>
        <v>Complete</v>
      </c>
    </row>
    <row r="8" spans="1:5" ht="18.75" customHeight="1" x14ac:dyDescent="0.3">
      <c r="B8" s="74" t="s">
        <v>504</v>
      </c>
      <c r="C8" s="74" t="s">
        <v>505</v>
      </c>
      <c r="D8" s="76" t="b">
        <v>0</v>
      </c>
      <c r="E8" s="74" t="str">
        <f t="shared" si="0"/>
        <v>In Progress</v>
      </c>
    </row>
    <row r="9" spans="1:5" ht="18.75" customHeight="1" x14ac:dyDescent="0.3">
      <c r="B9" s="74" t="s">
        <v>506</v>
      </c>
      <c r="C9" s="74" t="s">
        <v>507</v>
      </c>
      <c r="D9" s="76" t="b">
        <v>0</v>
      </c>
      <c r="E9" s="74" t="str">
        <f t="shared" si="0"/>
        <v>In Progress</v>
      </c>
    </row>
    <row r="10" spans="1:5" ht="18.75" customHeight="1" x14ac:dyDescent="0.3">
      <c r="B10" s="74" t="s">
        <v>508</v>
      </c>
      <c r="C10" s="74" t="s">
        <v>509</v>
      </c>
      <c r="D10" s="76" t="b">
        <v>1</v>
      </c>
      <c r="E10" s="74" t="str">
        <f t="shared" si="0"/>
        <v>Complete</v>
      </c>
    </row>
    <row r="11" spans="1:5" ht="18.75" customHeight="1" x14ac:dyDescent="0.3">
      <c r="B11" s="74" t="s">
        <v>510</v>
      </c>
      <c r="C11" s="74" t="s">
        <v>511</v>
      </c>
      <c r="D11" s="76" t="b">
        <v>1</v>
      </c>
      <c r="E11" s="74" t="str">
        <f t="shared" si="0"/>
        <v>Complete</v>
      </c>
    </row>
    <row r="12" spans="1:5" ht="18.75" customHeight="1" x14ac:dyDescent="0.3">
      <c r="B12" s="74" t="s">
        <v>512</v>
      </c>
      <c r="C12" s="74" t="s">
        <v>513</v>
      </c>
      <c r="D12" s="76" t="b">
        <v>0</v>
      </c>
      <c r="E12" s="74" t="str">
        <f t="shared" si="0"/>
        <v>In Progress</v>
      </c>
    </row>
    <row r="13" spans="1:5" ht="18.75" customHeight="1" x14ac:dyDescent="0.3">
      <c r="B13" s="74" t="s">
        <v>514</v>
      </c>
      <c r="C13" s="74" t="s">
        <v>515</v>
      </c>
      <c r="D13" s="76" t="b">
        <v>1</v>
      </c>
      <c r="E13" s="74" t="str">
        <f t="shared" si="0"/>
        <v>Complete</v>
      </c>
    </row>
    <row r="14" spans="1:5" ht="18.75" customHeight="1" x14ac:dyDescent="0.3">
      <c r="B14" s="74" t="s">
        <v>516</v>
      </c>
      <c r="C14" s="74" t="s">
        <v>517</v>
      </c>
      <c r="D14" s="76" t="b">
        <v>0</v>
      </c>
      <c r="E14" s="74" t="str">
        <f t="shared" si="0"/>
        <v>In Progress</v>
      </c>
    </row>
    <row r="15" spans="1:5" ht="18.75" customHeight="1" x14ac:dyDescent="0.3">
      <c r="B15" s="74" t="s">
        <v>518</v>
      </c>
      <c r="C15" s="74" t="s">
        <v>519</v>
      </c>
      <c r="D15" s="76" t="b">
        <v>0</v>
      </c>
      <c r="E15" s="74" t="str">
        <f t="shared" si="0"/>
        <v>In Progress</v>
      </c>
    </row>
    <row r="16" spans="1:5" ht="18.75" customHeight="1" x14ac:dyDescent="0.3">
      <c r="B16" s="74" t="s">
        <v>520</v>
      </c>
      <c r="C16" s="74" t="s">
        <v>521</v>
      </c>
      <c r="D16" s="76" t="b">
        <v>1</v>
      </c>
      <c r="E16" s="74" t="str">
        <f t="shared" si="0"/>
        <v>Complete</v>
      </c>
    </row>
    <row r="17" spans="2:5" ht="18.75" customHeight="1" x14ac:dyDescent="0.3">
      <c r="B17" s="74" t="s">
        <v>522</v>
      </c>
      <c r="C17" s="74" t="s">
        <v>523</v>
      </c>
      <c r="D17" s="76" t="b">
        <v>0</v>
      </c>
      <c r="E17" s="74" t="str">
        <f t="shared" si="0"/>
        <v>In Progress</v>
      </c>
    </row>
    <row r="18" spans="2:5" ht="18.75" customHeight="1" x14ac:dyDescent="0.3">
      <c r="B18" s="74" t="s">
        <v>524</v>
      </c>
      <c r="C18" s="74" t="s">
        <v>525</v>
      </c>
      <c r="D18" s="76" t="b">
        <v>1</v>
      </c>
      <c r="E18" s="74" t="str">
        <f t="shared" si="0"/>
        <v>Complete</v>
      </c>
    </row>
    <row r="19" spans="2:5" ht="18.75" customHeight="1" x14ac:dyDescent="0.3">
      <c r="B19" s="74" t="s">
        <v>526</v>
      </c>
      <c r="C19" s="74" t="s">
        <v>527</v>
      </c>
      <c r="D19" s="76" t="b">
        <v>0</v>
      </c>
      <c r="E19" s="74" t="str">
        <f t="shared" si="0"/>
        <v>In Progress</v>
      </c>
    </row>
    <row r="20" spans="2:5" ht="18.75" customHeight="1" x14ac:dyDescent="0.3">
      <c r="B20" s="74" t="s">
        <v>528</v>
      </c>
      <c r="C20" s="74" t="s">
        <v>529</v>
      </c>
      <c r="D20" s="76" t="b">
        <v>1</v>
      </c>
      <c r="E20" s="74" t="str">
        <f t="shared" si="0"/>
        <v>Complete</v>
      </c>
    </row>
    <row r="21" spans="2:5" ht="18.75" customHeight="1" x14ac:dyDescent="0.3">
      <c r="B21" s="74" t="s">
        <v>530</v>
      </c>
      <c r="C21" s="74" t="s">
        <v>531</v>
      </c>
      <c r="D21" s="76" t="b">
        <v>1</v>
      </c>
      <c r="E21" s="74" t="str">
        <f t="shared" si="0"/>
        <v>Complete</v>
      </c>
    </row>
    <row r="22" spans="2:5" ht="18.75" customHeight="1" x14ac:dyDescent="0.3">
      <c r="B22" s="74" t="s">
        <v>532</v>
      </c>
      <c r="C22" s="74" t="s">
        <v>533</v>
      </c>
      <c r="D22" s="76" t="b">
        <v>0</v>
      </c>
      <c r="E22" s="74" t="str">
        <f t="shared" si="0"/>
        <v>In Progress</v>
      </c>
    </row>
    <row r="23" spans="2:5" ht="18.75" customHeight="1" x14ac:dyDescent="0.3">
      <c r="B23" s="74" t="s">
        <v>534</v>
      </c>
      <c r="C23" s="74" t="s">
        <v>535</v>
      </c>
      <c r="D23" s="76" t="b">
        <v>0</v>
      </c>
      <c r="E23" s="74" t="str">
        <f t="shared" si="0"/>
        <v>In Progress</v>
      </c>
    </row>
    <row r="24" spans="2:5" ht="18.75" customHeight="1" x14ac:dyDescent="0.3">
      <c r="B24" s="74" t="s">
        <v>536</v>
      </c>
      <c r="C24" s="74" t="s">
        <v>537</v>
      </c>
      <c r="D24" s="76" t="b">
        <v>0</v>
      </c>
      <c r="E24" s="74" t="str">
        <f t="shared" si="0"/>
        <v>In Progress</v>
      </c>
    </row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conditionalFormatting sqref="E5:E24">
    <cfRule type="expression" dxfId="34" priority="1">
      <formula>E5="In Progress"</formula>
    </cfRule>
    <cfRule type="expression" dxfId="33" priority="2">
      <formula>E5="Complete"</formula>
    </cfRule>
  </conditionalFormatting>
  <hyperlinks>
    <hyperlink ref="A1" location="'TOC Gallery'!A1" tooltip="Go To Table of Contents" display="'TOC Gallery'!A1" xr:uid="{28889F72-A93A-4F5F-BE2E-3D5E9347879B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93C5-8743-411C-8A36-56B72390BE82}">
  <dimension ref="A1:L24"/>
  <sheetViews>
    <sheetView showGridLines="0" workbookViewId="0"/>
  </sheetViews>
  <sheetFormatPr defaultRowHeight="14.4" x14ac:dyDescent="0.3"/>
  <cols>
    <col min="1" max="1" width="2.6640625" customWidth="1"/>
    <col min="2" max="2" width="4.6640625" customWidth="1"/>
    <col min="3" max="3" width="12.88671875" bestFit="1" customWidth="1"/>
    <col min="4" max="4" width="9.44140625" bestFit="1" customWidth="1"/>
    <col min="5" max="5" width="23.6640625" bestFit="1" customWidth="1"/>
    <col min="6" max="6" width="16.33203125" bestFit="1" customWidth="1"/>
    <col min="7" max="7" width="16.88671875" customWidth="1"/>
    <col min="8" max="8" width="18" bestFit="1" customWidth="1"/>
    <col min="9" max="9" width="14.44140625" bestFit="1" customWidth="1"/>
    <col min="10" max="10" width="12.33203125" bestFit="1" customWidth="1"/>
    <col min="11" max="12" width="15.6640625" bestFit="1" customWidth="1"/>
    <col min="13" max="13" width="17.109375" bestFit="1" customWidth="1"/>
    <col min="14" max="14" width="17.44140625" bestFit="1" customWidth="1"/>
    <col min="15" max="15" width="20.6640625" bestFit="1" customWidth="1"/>
    <col min="16" max="16" width="9.44140625" bestFit="1" customWidth="1"/>
    <col min="17" max="17" width="15" bestFit="1" customWidth="1"/>
    <col min="18" max="18" width="17.5546875" bestFit="1" customWidth="1"/>
    <col min="19" max="19" width="18.5546875" bestFit="1" customWidth="1"/>
    <col min="20" max="20" width="23.6640625" bestFit="1" customWidth="1"/>
    <col min="21" max="21" width="12" bestFit="1" customWidth="1"/>
    <col min="22" max="23" width="13.109375" bestFit="1" customWidth="1"/>
  </cols>
  <sheetData>
    <row r="1" spans="1:12" s="73" customFormat="1" ht="30" customHeight="1" x14ac:dyDescent="0.4">
      <c r="A1" s="105">
        <v>3</v>
      </c>
      <c r="B1" s="73" t="s">
        <v>1148</v>
      </c>
    </row>
    <row r="3" spans="1:12" x14ac:dyDescent="0.3">
      <c r="B3" t="s">
        <v>492</v>
      </c>
      <c r="C3" t="s">
        <v>491</v>
      </c>
      <c r="D3" t="s">
        <v>98</v>
      </c>
      <c r="E3" t="s">
        <v>490</v>
      </c>
      <c r="F3" t="s">
        <v>489</v>
      </c>
      <c r="G3" t="s">
        <v>488</v>
      </c>
      <c r="H3" t="s">
        <v>487</v>
      </c>
      <c r="I3" t="s">
        <v>486</v>
      </c>
      <c r="J3" t="s">
        <v>485</v>
      </c>
      <c r="K3" t="s">
        <v>484</v>
      </c>
      <c r="L3" t="s">
        <v>483</v>
      </c>
    </row>
    <row r="4" spans="1:12" x14ac:dyDescent="0.3">
      <c r="B4" s="51" t="b">
        <v>0</v>
      </c>
      <c r="C4" t="s">
        <v>481</v>
      </c>
      <c r="D4" s="15">
        <v>45411</v>
      </c>
      <c r="E4" t="s">
        <v>401</v>
      </c>
      <c r="F4" t="s">
        <v>400</v>
      </c>
      <c r="G4" t="s">
        <v>457</v>
      </c>
      <c r="H4" t="s">
        <v>219</v>
      </c>
      <c r="I4" t="s">
        <v>155</v>
      </c>
      <c r="J4">
        <v>10250</v>
      </c>
      <c r="K4" t="s">
        <v>175</v>
      </c>
      <c r="L4" t="s">
        <v>160</v>
      </c>
    </row>
    <row r="5" spans="1:12" x14ac:dyDescent="0.3">
      <c r="B5" s="51" t="b">
        <v>0</v>
      </c>
      <c r="C5" t="s">
        <v>480</v>
      </c>
      <c r="D5" s="15">
        <v>45411</v>
      </c>
      <c r="E5" t="s">
        <v>251</v>
      </c>
      <c r="F5" t="s">
        <v>250</v>
      </c>
      <c r="G5" t="s">
        <v>444</v>
      </c>
      <c r="H5" t="s">
        <v>249</v>
      </c>
      <c r="I5" t="s">
        <v>182</v>
      </c>
      <c r="J5">
        <v>10317</v>
      </c>
      <c r="K5" t="s">
        <v>197</v>
      </c>
      <c r="L5" t="s">
        <v>160</v>
      </c>
    </row>
    <row r="6" spans="1:12" x14ac:dyDescent="0.3">
      <c r="B6" s="51" t="b">
        <v>1</v>
      </c>
      <c r="C6" t="s">
        <v>479</v>
      </c>
      <c r="D6" s="15">
        <v>45411</v>
      </c>
      <c r="E6" t="s">
        <v>230</v>
      </c>
      <c r="F6" t="s">
        <v>358</v>
      </c>
      <c r="G6" t="s">
        <v>460</v>
      </c>
      <c r="H6" t="s">
        <v>229</v>
      </c>
      <c r="I6" t="s">
        <v>155</v>
      </c>
      <c r="J6">
        <v>10317</v>
      </c>
      <c r="K6" t="s">
        <v>197</v>
      </c>
      <c r="L6" t="s">
        <v>160</v>
      </c>
    </row>
    <row r="7" spans="1:12" x14ac:dyDescent="0.3">
      <c r="B7" s="51" t="b">
        <v>0</v>
      </c>
      <c r="C7" t="s">
        <v>478</v>
      </c>
      <c r="D7" s="15">
        <v>45411</v>
      </c>
      <c r="E7" t="s">
        <v>174</v>
      </c>
      <c r="F7" t="s">
        <v>264</v>
      </c>
      <c r="G7" t="s">
        <v>455</v>
      </c>
      <c r="H7" t="s">
        <v>173</v>
      </c>
      <c r="I7" t="s">
        <v>155</v>
      </c>
      <c r="J7">
        <v>10216</v>
      </c>
      <c r="K7" t="s">
        <v>191</v>
      </c>
      <c r="L7" t="s">
        <v>160</v>
      </c>
    </row>
    <row r="8" spans="1:12" x14ac:dyDescent="0.3">
      <c r="B8" s="51" t="b">
        <v>0</v>
      </c>
      <c r="C8" t="s">
        <v>477</v>
      </c>
      <c r="D8" s="15">
        <v>45411</v>
      </c>
      <c r="E8" t="s">
        <v>187</v>
      </c>
      <c r="F8" t="s">
        <v>186</v>
      </c>
      <c r="G8" t="s">
        <v>450</v>
      </c>
      <c r="H8" t="s">
        <v>185</v>
      </c>
      <c r="I8" t="s">
        <v>182</v>
      </c>
      <c r="J8">
        <v>10267</v>
      </c>
      <c r="K8" t="s">
        <v>205</v>
      </c>
      <c r="L8" t="s">
        <v>181</v>
      </c>
    </row>
    <row r="9" spans="1:12" x14ac:dyDescent="0.3">
      <c r="B9" s="51" t="b">
        <v>1</v>
      </c>
      <c r="C9" t="s">
        <v>476</v>
      </c>
      <c r="D9" s="15">
        <v>45411</v>
      </c>
      <c r="E9" t="s">
        <v>230</v>
      </c>
      <c r="F9" t="s">
        <v>276</v>
      </c>
      <c r="G9" t="s">
        <v>379</v>
      </c>
      <c r="H9" t="s">
        <v>229</v>
      </c>
      <c r="I9" t="s">
        <v>155</v>
      </c>
      <c r="J9">
        <v>10216</v>
      </c>
      <c r="K9" t="s">
        <v>191</v>
      </c>
      <c r="L9" t="s">
        <v>153</v>
      </c>
    </row>
    <row r="10" spans="1:12" x14ac:dyDescent="0.3">
      <c r="B10" s="51" t="b">
        <v>0</v>
      </c>
      <c r="C10" t="s">
        <v>475</v>
      </c>
      <c r="D10" s="15">
        <v>45411</v>
      </c>
      <c r="E10" t="s">
        <v>279</v>
      </c>
      <c r="F10" t="s">
        <v>278</v>
      </c>
      <c r="G10" t="s">
        <v>445</v>
      </c>
      <c r="H10" t="s">
        <v>265</v>
      </c>
      <c r="I10" t="s">
        <v>182</v>
      </c>
      <c r="J10">
        <v>10216</v>
      </c>
      <c r="K10" t="s">
        <v>191</v>
      </c>
      <c r="L10" t="s">
        <v>181</v>
      </c>
    </row>
    <row r="11" spans="1:12" x14ac:dyDescent="0.3">
      <c r="B11" s="51" t="b">
        <v>0</v>
      </c>
      <c r="C11" t="s">
        <v>474</v>
      </c>
      <c r="D11" s="15">
        <v>45411</v>
      </c>
      <c r="E11" t="s">
        <v>230</v>
      </c>
      <c r="F11" t="s">
        <v>290</v>
      </c>
      <c r="G11" t="s">
        <v>453</v>
      </c>
      <c r="H11" t="s">
        <v>229</v>
      </c>
      <c r="I11" t="s">
        <v>155</v>
      </c>
      <c r="J11">
        <v>10350</v>
      </c>
      <c r="K11" t="s">
        <v>165</v>
      </c>
      <c r="L11" t="s">
        <v>160</v>
      </c>
    </row>
    <row r="12" spans="1:12" x14ac:dyDescent="0.3">
      <c r="B12" s="51" t="b">
        <v>1</v>
      </c>
      <c r="C12" t="s">
        <v>473</v>
      </c>
      <c r="D12" s="15">
        <v>45411</v>
      </c>
      <c r="E12" t="s">
        <v>350</v>
      </c>
      <c r="F12" t="s">
        <v>349</v>
      </c>
      <c r="G12" t="s">
        <v>261</v>
      </c>
      <c r="H12" t="s">
        <v>265</v>
      </c>
      <c r="I12" t="s">
        <v>182</v>
      </c>
      <c r="J12">
        <v>10255</v>
      </c>
      <c r="K12" t="s">
        <v>177</v>
      </c>
      <c r="L12" t="s">
        <v>160</v>
      </c>
    </row>
    <row r="13" spans="1:12" x14ac:dyDescent="0.3">
      <c r="B13" s="51" t="b">
        <v>0</v>
      </c>
      <c r="C13" t="s">
        <v>472</v>
      </c>
      <c r="D13" s="15">
        <v>45411</v>
      </c>
      <c r="E13" t="s">
        <v>448</v>
      </c>
      <c r="F13" t="s">
        <v>447</v>
      </c>
      <c r="G13" t="s">
        <v>435</v>
      </c>
      <c r="H13" t="s">
        <v>233</v>
      </c>
      <c r="I13" t="s">
        <v>155</v>
      </c>
      <c r="J13">
        <v>10216</v>
      </c>
      <c r="K13" t="s">
        <v>191</v>
      </c>
      <c r="L13" t="s">
        <v>160</v>
      </c>
    </row>
    <row r="14" spans="1:12" x14ac:dyDescent="0.3">
      <c r="B14" s="51" t="b">
        <v>0</v>
      </c>
      <c r="C14" t="s">
        <v>471</v>
      </c>
      <c r="D14" s="15">
        <v>45411</v>
      </c>
      <c r="E14" t="s">
        <v>404</v>
      </c>
      <c r="F14" t="s">
        <v>403</v>
      </c>
      <c r="G14" t="s">
        <v>458</v>
      </c>
      <c r="H14" t="s">
        <v>236</v>
      </c>
      <c r="I14" t="s">
        <v>182</v>
      </c>
      <c r="J14">
        <v>10255</v>
      </c>
      <c r="K14" t="s">
        <v>177</v>
      </c>
      <c r="L14" t="s">
        <v>160</v>
      </c>
    </row>
    <row r="15" spans="1:12" x14ac:dyDescent="0.3">
      <c r="B15" s="51" t="b">
        <v>0</v>
      </c>
      <c r="C15" t="s">
        <v>470</v>
      </c>
      <c r="D15" s="15">
        <v>45411</v>
      </c>
      <c r="E15" t="s">
        <v>256</v>
      </c>
      <c r="F15" t="s">
        <v>255</v>
      </c>
      <c r="G15" t="s">
        <v>437</v>
      </c>
      <c r="H15" t="s">
        <v>193</v>
      </c>
      <c r="I15" t="s">
        <v>155</v>
      </c>
      <c r="J15">
        <v>10317</v>
      </c>
      <c r="K15" t="s">
        <v>197</v>
      </c>
      <c r="L15" t="s">
        <v>153</v>
      </c>
    </row>
    <row r="16" spans="1:12" x14ac:dyDescent="0.3">
      <c r="B16" s="51" t="b">
        <v>0</v>
      </c>
      <c r="C16" t="s">
        <v>469</v>
      </c>
      <c r="D16" s="15">
        <v>45411</v>
      </c>
      <c r="E16" t="s">
        <v>230</v>
      </c>
      <c r="F16" t="s">
        <v>327</v>
      </c>
      <c r="G16" t="s">
        <v>364</v>
      </c>
      <c r="H16" t="s">
        <v>229</v>
      </c>
      <c r="I16" t="s">
        <v>155</v>
      </c>
      <c r="J16">
        <v>10250</v>
      </c>
      <c r="K16" t="s">
        <v>175</v>
      </c>
      <c r="L16" t="s">
        <v>181</v>
      </c>
    </row>
    <row r="17" spans="2:12" x14ac:dyDescent="0.3">
      <c r="B17" s="51" t="b">
        <v>0</v>
      </c>
      <c r="C17" t="s">
        <v>468</v>
      </c>
      <c r="D17" s="15">
        <v>45411</v>
      </c>
      <c r="E17" t="s">
        <v>352</v>
      </c>
      <c r="F17" t="s">
        <v>351</v>
      </c>
      <c r="G17" t="s">
        <v>459</v>
      </c>
      <c r="H17" t="s">
        <v>243</v>
      </c>
      <c r="I17" t="s">
        <v>182</v>
      </c>
      <c r="J17">
        <v>10255</v>
      </c>
      <c r="K17" t="s">
        <v>177</v>
      </c>
      <c r="L17" t="s">
        <v>160</v>
      </c>
    </row>
    <row r="18" spans="2:12" x14ac:dyDescent="0.3">
      <c r="B18" s="51" t="b">
        <v>0</v>
      </c>
      <c r="C18" t="s">
        <v>467</v>
      </c>
      <c r="D18" s="15">
        <v>45411</v>
      </c>
      <c r="E18" t="s">
        <v>315</v>
      </c>
      <c r="F18" t="s">
        <v>314</v>
      </c>
      <c r="G18" t="s">
        <v>263</v>
      </c>
      <c r="H18" t="s">
        <v>313</v>
      </c>
      <c r="I18" t="s">
        <v>312</v>
      </c>
      <c r="J18">
        <v>10255</v>
      </c>
      <c r="K18" t="s">
        <v>177</v>
      </c>
      <c r="L18" t="s">
        <v>160</v>
      </c>
    </row>
    <row r="19" spans="2:12" x14ac:dyDescent="0.3">
      <c r="B19" s="51" t="b">
        <v>0</v>
      </c>
      <c r="C19" t="s">
        <v>466</v>
      </c>
      <c r="D19" s="15">
        <v>45411</v>
      </c>
      <c r="E19" t="s">
        <v>230</v>
      </c>
      <c r="F19" t="s">
        <v>358</v>
      </c>
      <c r="G19" t="s">
        <v>200</v>
      </c>
      <c r="H19" t="s">
        <v>229</v>
      </c>
      <c r="I19" t="s">
        <v>155</v>
      </c>
      <c r="J19">
        <v>10305</v>
      </c>
      <c r="K19" t="s">
        <v>169</v>
      </c>
      <c r="L19" t="s">
        <v>160</v>
      </c>
    </row>
    <row r="20" spans="2:12" x14ac:dyDescent="0.3">
      <c r="B20" s="51" t="b">
        <v>0</v>
      </c>
      <c r="C20" t="s">
        <v>465</v>
      </c>
      <c r="D20" s="15">
        <v>45411</v>
      </c>
      <c r="E20" t="s">
        <v>404</v>
      </c>
      <c r="F20" t="s">
        <v>403</v>
      </c>
      <c r="G20" t="s">
        <v>430</v>
      </c>
      <c r="H20" t="s">
        <v>236</v>
      </c>
      <c r="I20" t="s">
        <v>182</v>
      </c>
      <c r="J20">
        <v>10250</v>
      </c>
      <c r="K20" t="s">
        <v>175</v>
      </c>
      <c r="L20" t="s">
        <v>160</v>
      </c>
    </row>
    <row r="21" spans="2:12" x14ac:dyDescent="0.3">
      <c r="B21" s="51" t="b">
        <v>0</v>
      </c>
      <c r="C21" t="s">
        <v>464</v>
      </c>
      <c r="D21" s="15">
        <v>45411</v>
      </c>
      <c r="E21" t="s">
        <v>174</v>
      </c>
      <c r="F21" t="s">
        <v>353</v>
      </c>
      <c r="G21" t="s">
        <v>443</v>
      </c>
      <c r="H21" t="s">
        <v>173</v>
      </c>
      <c r="I21" t="s">
        <v>155</v>
      </c>
      <c r="J21">
        <v>10456</v>
      </c>
      <c r="K21" t="s">
        <v>154</v>
      </c>
      <c r="L21" t="s">
        <v>160</v>
      </c>
    </row>
    <row r="22" spans="2:12" x14ac:dyDescent="0.3">
      <c r="B22" s="51" t="b">
        <v>0</v>
      </c>
      <c r="C22" t="s">
        <v>463</v>
      </c>
      <c r="D22" s="15">
        <v>45411</v>
      </c>
      <c r="E22" t="s">
        <v>267</v>
      </c>
      <c r="F22" t="s">
        <v>266</v>
      </c>
      <c r="G22" t="s">
        <v>452</v>
      </c>
      <c r="H22" t="s">
        <v>265</v>
      </c>
      <c r="I22" t="s">
        <v>182</v>
      </c>
      <c r="J22">
        <v>10406</v>
      </c>
      <c r="K22" t="s">
        <v>161</v>
      </c>
      <c r="L22" t="s">
        <v>181</v>
      </c>
    </row>
    <row r="23" spans="2:12" x14ac:dyDescent="0.3">
      <c r="B23" s="51" t="b">
        <v>0</v>
      </c>
      <c r="C23" t="s">
        <v>462</v>
      </c>
      <c r="D23" s="15">
        <v>45411</v>
      </c>
      <c r="E23" t="s">
        <v>253</v>
      </c>
      <c r="F23" t="s">
        <v>252</v>
      </c>
      <c r="G23" t="s">
        <v>456</v>
      </c>
      <c r="H23" t="s">
        <v>170</v>
      </c>
      <c r="I23" t="s">
        <v>155</v>
      </c>
      <c r="J23">
        <v>10305</v>
      </c>
      <c r="K23" t="s">
        <v>169</v>
      </c>
      <c r="L23" t="s">
        <v>248</v>
      </c>
    </row>
    <row r="24" spans="2:12" x14ac:dyDescent="0.3">
      <c r="B24" s="51" t="b">
        <v>0</v>
      </c>
      <c r="C24" t="s">
        <v>461</v>
      </c>
      <c r="D24" s="15">
        <v>45411</v>
      </c>
      <c r="E24" t="s">
        <v>439</v>
      </c>
      <c r="F24" t="s">
        <v>438</v>
      </c>
      <c r="G24" t="s">
        <v>442</v>
      </c>
      <c r="H24" t="s">
        <v>265</v>
      </c>
      <c r="I24" t="s">
        <v>182</v>
      </c>
      <c r="J24">
        <v>10250</v>
      </c>
      <c r="K24" t="s">
        <v>175</v>
      </c>
      <c r="L24" t="s">
        <v>160</v>
      </c>
    </row>
  </sheetData>
  <conditionalFormatting sqref="B4:L24">
    <cfRule type="expression" dxfId="32" priority="6">
      <formula>$B4</formula>
    </cfRule>
  </conditionalFormatting>
  <hyperlinks>
    <hyperlink ref="A1" location="'TOC Gallery'!A1" tooltip="Go To Table of Contents" display="'TOC Gallery'!A1" xr:uid="{0B75A3F5-200E-466C-A0A0-21577BF3728C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DB1F-FD65-4B62-95CB-923A17C44686}">
  <sheetPr codeName="Sheet21"/>
  <dimension ref="A1:D11"/>
  <sheetViews>
    <sheetView showGridLines="0" workbookViewId="0"/>
  </sheetViews>
  <sheetFormatPr defaultRowHeight="14.4" x14ac:dyDescent="0.3"/>
  <cols>
    <col min="1" max="1" width="2.5546875" customWidth="1"/>
    <col min="2" max="2" width="3" customWidth="1"/>
    <col min="3" max="3" width="2.88671875" bestFit="1" customWidth="1"/>
    <col min="4" max="4" width="26.33203125" bestFit="1" customWidth="1"/>
  </cols>
  <sheetData>
    <row r="1" spans="1:4" s="73" customFormat="1" ht="30" customHeight="1" x14ac:dyDescent="0.4">
      <c r="A1" s="105">
        <v>3</v>
      </c>
      <c r="B1" s="73" t="s">
        <v>72</v>
      </c>
    </row>
    <row r="3" spans="1:4" x14ac:dyDescent="0.3">
      <c r="B3" s="2" t="s">
        <v>73</v>
      </c>
    </row>
    <row r="4" spans="1:4" ht="7.5" customHeight="1" x14ac:dyDescent="0.3">
      <c r="B4" s="2"/>
    </row>
    <row r="5" spans="1:4" x14ac:dyDescent="0.3">
      <c r="B5" s="1" t="b">
        <v>1</v>
      </c>
      <c r="C5">
        <v>1</v>
      </c>
      <c r="D5" t="s">
        <v>15</v>
      </c>
    </row>
    <row r="6" spans="1:4" x14ac:dyDescent="0.3">
      <c r="B6" s="1" t="b">
        <v>1</v>
      </c>
      <c r="C6">
        <v>2</v>
      </c>
      <c r="D6" t="s">
        <v>16</v>
      </c>
    </row>
    <row r="7" spans="1:4" x14ac:dyDescent="0.3">
      <c r="B7" s="1" t="b">
        <v>0</v>
      </c>
      <c r="C7">
        <v>3</v>
      </c>
      <c r="D7" t="s">
        <v>17</v>
      </c>
    </row>
    <row r="8" spans="1:4" x14ac:dyDescent="0.3">
      <c r="B8" s="1" t="b">
        <v>0</v>
      </c>
      <c r="C8">
        <v>4</v>
      </c>
      <c r="D8" t="s">
        <v>18</v>
      </c>
    </row>
    <row r="9" spans="1:4" x14ac:dyDescent="0.3">
      <c r="B9" s="1" t="b">
        <v>0</v>
      </c>
      <c r="C9">
        <v>5</v>
      </c>
      <c r="D9" t="s">
        <v>19</v>
      </c>
    </row>
    <row r="10" spans="1:4" x14ac:dyDescent="0.3">
      <c r="B10" s="1" t="b">
        <v>0</v>
      </c>
      <c r="C10">
        <v>6</v>
      </c>
      <c r="D10" t="s">
        <v>21</v>
      </c>
    </row>
    <row r="11" spans="1:4" x14ac:dyDescent="0.3">
      <c r="B11" s="1" t="b">
        <v>0</v>
      </c>
      <c r="C11">
        <v>7</v>
      </c>
      <c r="D11" t="s">
        <v>20</v>
      </c>
    </row>
  </sheetData>
  <conditionalFormatting sqref="B5:D11">
    <cfRule type="expression" dxfId="31" priority="1">
      <formula>$B5</formula>
    </cfRule>
  </conditionalFormatting>
  <hyperlinks>
    <hyperlink ref="A1" location="'TOC Gallery'!A1" tooltip="Go To Table of Contents" display="'TOC Gallery'!A1" xr:uid="{6311B96A-E8B4-4F59-BF19-9BEBED4AB2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2732-BC3C-46D9-8623-5B361434F66D}">
  <sheetPr codeName="Sheet3"/>
  <dimension ref="A1:D14"/>
  <sheetViews>
    <sheetView showGridLines="0" workbookViewId="0"/>
  </sheetViews>
  <sheetFormatPr defaultRowHeight="14.4" x14ac:dyDescent="0.3"/>
  <cols>
    <col min="1" max="1" width="2.5546875" customWidth="1"/>
    <col min="2" max="2" width="3" customWidth="1"/>
    <col min="3" max="3" width="2.88671875" bestFit="1" customWidth="1"/>
    <col min="4" max="4" width="26.33203125" bestFit="1" customWidth="1"/>
  </cols>
  <sheetData>
    <row r="1" spans="1:4" s="73" customFormat="1" ht="30" customHeight="1" x14ac:dyDescent="0.4">
      <c r="A1" s="105">
        <v>3</v>
      </c>
      <c r="B1" s="73" t="s">
        <v>539</v>
      </c>
    </row>
    <row r="3" spans="1:4" x14ac:dyDescent="0.3">
      <c r="B3" s="2" t="s">
        <v>538</v>
      </c>
    </row>
    <row r="4" spans="1:4" ht="7.5" customHeight="1" x14ac:dyDescent="0.3">
      <c r="B4" s="2"/>
    </row>
    <row r="5" spans="1:4" x14ac:dyDescent="0.3">
      <c r="B5" s="1" t="b">
        <v>1</v>
      </c>
      <c r="C5">
        <v>1</v>
      </c>
      <c r="D5" t="s">
        <v>74</v>
      </c>
    </row>
    <row r="6" spans="1:4" x14ac:dyDescent="0.3">
      <c r="B6" s="1" t="b">
        <v>1</v>
      </c>
      <c r="C6">
        <v>2</v>
      </c>
      <c r="D6" t="s">
        <v>75</v>
      </c>
    </row>
    <row r="7" spans="1:4" x14ac:dyDescent="0.3">
      <c r="B7" s="1" t="b">
        <v>1</v>
      </c>
      <c r="C7">
        <v>3</v>
      </c>
      <c r="D7" t="s">
        <v>76</v>
      </c>
    </row>
    <row r="8" spans="1:4" x14ac:dyDescent="0.3">
      <c r="B8" s="1" t="b">
        <v>0</v>
      </c>
      <c r="C8">
        <v>4</v>
      </c>
      <c r="D8" t="s">
        <v>77</v>
      </c>
    </row>
    <row r="9" spans="1:4" x14ac:dyDescent="0.3">
      <c r="B9" s="1" t="b">
        <v>0</v>
      </c>
      <c r="C9">
        <v>5</v>
      </c>
      <c r="D9" t="s">
        <v>78</v>
      </c>
    </row>
    <row r="10" spans="1:4" x14ac:dyDescent="0.3">
      <c r="B10" s="1" t="b">
        <v>0</v>
      </c>
      <c r="C10">
        <v>6</v>
      </c>
      <c r="D10" t="s">
        <v>79</v>
      </c>
    </row>
    <row r="11" spans="1:4" x14ac:dyDescent="0.3">
      <c r="B11" s="1" t="b">
        <v>0</v>
      </c>
      <c r="C11">
        <v>7</v>
      </c>
      <c r="D11" t="s">
        <v>80</v>
      </c>
    </row>
    <row r="12" spans="1:4" x14ac:dyDescent="0.3">
      <c r="B12" s="1" t="b">
        <v>0</v>
      </c>
      <c r="C12">
        <v>8</v>
      </c>
      <c r="D12" t="s">
        <v>81</v>
      </c>
    </row>
    <row r="13" spans="1:4" x14ac:dyDescent="0.3">
      <c r="B13" s="1" t="b">
        <v>0</v>
      </c>
      <c r="C13">
        <v>9</v>
      </c>
      <c r="D13" t="s">
        <v>82</v>
      </c>
    </row>
    <row r="14" spans="1:4" x14ac:dyDescent="0.3">
      <c r="B14" s="1" t="b">
        <v>0</v>
      </c>
      <c r="C14">
        <v>10</v>
      </c>
      <c r="D14" t="s">
        <v>0</v>
      </c>
    </row>
  </sheetData>
  <conditionalFormatting sqref="B5:D14">
    <cfRule type="expression" dxfId="30" priority="3">
      <formula>$B5</formula>
    </cfRule>
  </conditionalFormatting>
  <conditionalFormatting sqref="D5:D14">
    <cfRule type="expression" dxfId="29" priority="2">
      <formula>AND($B4,NOT($B5))</formula>
    </cfRule>
  </conditionalFormatting>
  <hyperlinks>
    <hyperlink ref="A1" location="'TOC Gallery'!A1" tooltip="Go To Table of Contents" display="'TOC Gallery'!A1" xr:uid="{D347DD17-94D2-4118-817E-6196FE9AE53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931F-589F-4603-9188-B5BDA8D05E0F}">
  <dimension ref="A1:P51"/>
  <sheetViews>
    <sheetView showGridLines="0" topLeftCell="A12" workbookViewId="0">
      <selection activeCell="G20" sqref="G20"/>
    </sheetView>
  </sheetViews>
  <sheetFormatPr defaultRowHeight="14.4" x14ac:dyDescent="0.3"/>
  <cols>
    <col min="1" max="1" width="2.6640625" customWidth="1"/>
    <col min="2" max="2" width="8" customWidth="1"/>
    <col min="3" max="3" width="17.33203125" customWidth="1"/>
    <col min="4" max="4" width="10.33203125" bestFit="1" customWidth="1"/>
    <col min="5" max="5" width="7" bestFit="1" customWidth="1"/>
    <col min="6" max="6" width="5.33203125" customWidth="1"/>
    <col min="7" max="7" width="8.44140625" bestFit="1" customWidth="1"/>
    <col min="8" max="8" width="9.6640625" bestFit="1" customWidth="1"/>
    <col min="9" max="9" width="1" customWidth="1"/>
    <col min="10" max="10" width="25.5546875" customWidth="1"/>
    <col min="11" max="11" width="5.109375" style="71" customWidth="1"/>
    <col min="15" max="16" width="0" hidden="1" customWidth="1"/>
  </cols>
  <sheetData>
    <row r="1" spans="1:16" s="57" customFormat="1" ht="30" customHeight="1" x14ac:dyDescent="0.4">
      <c r="A1" s="105">
        <v>3</v>
      </c>
      <c r="B1" s="57" t="s">
        <v>1076</v>
      </c>
      <c r="K1" s="69"/>
    </row>
    <row r="3" spans="1:16" x14ac:dyDescent="0.3">
      <c r="B3" t="s">
        <v>1077</v>
      </c>
      <c r="C3" t="s">
        <v>558</v>
      </c>
      <c r="D3" t="s">
        <v>98</v>
      </c>
      <c r="E3" t="s">
        <v>1065</v>
      </c>
      <c r="F3" t="s">
        <v>1066</v>
      </c>
      <c r="G3" t="s">
        <v>1070</v>
      </c>
      <c r="H3" t="s">
        <v>1071</v>
      </c>
      <c r="J3" s="58" t="s">
        <v>14</v>
      </c>
      <c r="K3" s="70" t="s">
        <v>14</v>
      </c>
      <c r="O3" t="s">
        <v>482</v>
      </c>
      <c r="P3" t="s">
        <v>138</v>
      </c>
    </row>
    <row r="4" spans="1:16" x14ac:dyDescent="0.3">
      <c r="B4" s="65">
        <v>202025</v>
      </c>
      <c r="C4" s="66" t="s">
        <v>212</v>
      </c>
      <c r="D4" s="67">
        <v>45487</v>
      </c>
      <c r="E4" s="66" t="s">
        <v>152</v>
      </c>
      <c r="F4" s="66" t="s">
        <v>1067</v>
      </c>
      <c r="G4" s="66">
        <f>COUNTIFS(tblSales[Order ID],tblOrders[[#This Row],[Order]])</f>
        <v>1</v>
      </c>
      <c r="H4" s="68" t="b">
        <v>0</v>
      </c>
      <c r="J4" t="str" cm="1">
        <f t="array" ref="J4">IFERROR(
_xlfn.LET(_xlpm.xRow,_xlfn.XMATCH(TRUE,tblOrders[Details],0),
_xlpm.arr,_xlfn._xlws.FILTER(tblSales[[Product Name]:[Qty]],tblSales[Order ID]=INDEX(tblOrders[Order],_xlpm.xRow),""),
IF(_xlpm.xRow=1,_xlfn.VSTACK($O$3:$P$3,_xlpm.arr),_xlfn.VSTACK(_xlfn.EXPAND($J$3:$K$3,_xlpm.xRow-1,,""),$O$3:$P$3,_xlpm.arr))
),"")</f>
        <v/>
      </c>
    </row>
    <row r="5" spans="1:16" x14ac:dyDescent="0.3">
      <c r="B5" s="65">
        <v>202126</v>
      </c>
      <c r="C5" s="66" t="s">
        <v>395</v>
      </c>
      <c r="D5" s="67">
        <v>45483</v>
      </c>
      <c r="E5" s="66" t="s">
        <v>152</v>
      </c>
      <c r="F5" s="66" t="s">
        <v>1067</v>
      </c>
      <c r="G5" s="66">
        <f>COUNTIFS(tblSales[Order ID],tblOrders[[#This Row],[Order]])</f>
        <v>3</v>
      </c>
      <c r="H5" s="68" t="b">
        <v>0</v>
      </c>
      <c r="J5" s="55"/>
    </row>
    <row r="6" spans="1:16" x14ac:dyDescent="0.3">
      <c r="B6" s="65">
        <v>202037</v>
      </c>
      <c r="C6" s="66" t="s">
        <v>241</v>
      </c>
      <c r="D6" s="67">
        <v>45493</v>
      </c>
      <c r="E6" s="66" t="s">
        <v>152</v>
      </c>
      <c r="F6" s="66" t="s">
        <v>1067</v>
      </c>
      <c r="G6" s="66">
        <f>COUNTIFS(tblSales[Order ID],tblOrders[[#This Row],[Order]])</f>
        <v>2</v>
      </c>
      <c r="H6" s="68" t="b">
        <v>0</v>
      </c>
      <c r="J6" s="55"/>
    </row>
    <row r="7" spans="1:16" x14ac:dyDescent="0.3">
      <c r="B7" s="65">
        <v>202106</v>
      </c>
      <c r="C7" s="66" t="s">
        <v>429</v>
      </c>
      <c r="D7" s="67">
        <v>45489</v>
      </c>
      <c r="E7" s="66" t="s">
        <v>152</v>
      </c>
      <c r="F7" s="66" t="s">
        <v>1069</v>
      </c>
      <c r="G7" s="66">
        <f>COUNTIFS(tblSales[Order ID],tblOrders[[#This Row],[Order]])</f>
        <v>5</v>
      </c>
      <c r="H7" s="68" t="b">
        <v>0</v>
      </c>
      <c r="J7" s="55"/>
    </row>
    <row r="8" spans="1:16" x14ac:dyDescent="0.3">
      <c r="B8" s="65">
        <v>202140</v>
      </c>
      <c r="C8" s="66" t="s">
        <v>256</v>
      </c>
      <c r="D8" s="67">
        <v>45493</v>
      </c>
      <c r="E8" s="66" t="s">
        <v>149</v>
      </c>
      <c r="F8" s="66" t="s">
        <v>1069</v>
      </c>
      <c r="G8" s="66">
        <f>COUNTIFS(tblSales[Order ID],tblOrders[[#This Row],[Order]])</f>
        <v>1</v>
      </c>
      <c r="H8" s="68" t="b">
        <v>0</v>
      </c>
      <c r="J8" s="55"/>
    </row>
    <row r="9" spans="1:16" x14ac:dyDescent="0.3">
      <c r="B9" s="65">
        <v>202121</v>
      </c>
      <c r="C9" s="66" t="s">
        <v>174</v>
      </c>
      <c r="D9" s="67">
        <v>45486</v>
      </c>
      <c r="E9" s="66" t="s">
        <v>152</v>
      </c>
      <c r="F9" s="66" t="s">
        <v>1067</v>
      </c>
      <c r="G9" s="66">
        <f>COUNTIFS(tblSales[Order ID],tblOrders[[#This Row],[Order]])</f>
        <v>5</v>
      </c>
      <c r="H9" s="68" t="b">
        <v>0</v>
      </c>
      <c r="J9" s="55"/>
    </row>
    <row r="10" spans="1:16" x14ac:dyDescent="0.3">
      <c r="B10" s="65">
        <v>201921</v>
      </c>
      <c r="C10" s="66" t="s">
        <v>201</v>
      </c>
      <c r="D10" s="67">
        <v>45492</v>
      </c>
      <c r="E10" s="66" t="s">
        <v>152</v>
      </c>
      <c r="F10" s="66" t="s">
        <v>1067</v>
      </c>
      <c r="G10" s="66">
        <f>COUNTIFS(tblSales[Order ID],tblOrders[[#This Row],[Order]])</f>
        <v>1</v>
      </c>
      <c r="H10" s="68" t="b">
        <v>0</v>
      </c>
    </row>
    <row r="11" spans="1:16" x14ac:dyDescent="0.3">
      <c r="B11" s="65">
        <v>201950</v>
      </c>
      <c r="C11" s="66" t="s">
        <v>404</v>
      </c>
      <c r="D11" s="67">
        <v>45491</v>
      </c>
      <c r="E11" s="66" t="s">
        <v>152</v>
      </c>
      <c r="F11" s="66" t="s">
        <v>1068</v>
      </c>
      <c r="G11" s="66">
        <f>COUNTIFS(tblSales[Order ID],tblOrders[[#This Row],[Order]])</f>
        <v>2</v>
      </c>
      <c r="H11" s="68" t="b">
        <v>0</v>
      </c>
    </row>
    <row r="12" spans="1:16" x14ac:dyDescent="0.3">
      <c r="B12" s="65">
        <v>201934</v>
      </c>
      <c r="C12" s="66" t="s">
        <v>187</v>
      </c>
      <c r="D12" s="67">
        <v>45491</v>
      </c>
      <c r="E12" s="66" t="s">
        <v>149</v>
      </c>
      <c r="F12" s="66" t="s">
        <v>1067</v>
      </c>
      <c r="G12" s="66">
        <f>COUNTIFS(tblSales[Order ID],tblOrders[[#This Row],[Order]])</f>
        <v>1</v>
      </c>
      <c r="H12" s="68" t="b">
        <v>0</v>
      </c>
    </row>
    <row r="13" spans="1:16" x14ac:dyDescent="0.3">
      <c r="B13" s="65">
        <v>202011</v>
      </c>
      <c r="C13" s="66" t="s">
        <v>356</v>
      </c>
      <c r="D13" s="67">
        <v>45492</v>
      </c>
      <c r="E13" s="66" t="s">
        <v>152</v>
      </c>
      <c r="F13" s="66" t="s">
        <v>1068</v>
      </c>
      <c r="G13" s="66">
        <f>COUNTIFS(tblSales[Order ID],tblOrders[[#This Row],[Order]])</f>
        <v>5</v>
      </c>
      <c r="H13" s="68" t="b">
        <v>0</v>
      </c>
    </row>
    <row r="14" spans="1:16" x14ac:dyDescent="0.3">
      <c r="B14" s="65">
        <v>201990</v>
      </c>
      <c r="C14" s="66" t="s">
        <v>395</v>
      </c>
      <c r="D14" s="67">
        <v>45482</v>
      </c>
      <c r="E14" s="66" t="s">
        <v>149</v>
      </c>
      <c r="F14" s="66" t="s">
        <v>1067</v>
      </c>
      <c r="G14" s="66">
        <f>COUNTIFS(tblSales[Order ID],tblOrders[[#This Row],[Order]])</f>
        <v>5</v>
      </c>
      <c r="H14" s="68" t="b">
        <v>0</v>
      </c>
      <c r="J14" s="55"/>
    </row>
    <row r="15" spans="1:16" x14ac:dyDescent="0.3">
      <c r="B15" s="65">
        <v>202167</v>
      </c>
      <c r="C15" s="66" t="s">
        <v>345</v>
      </c>
      <c r="D15" s="67">
        <v>45492</v>
      </c>
      <c r="E15" s="66" t="s">
        <v>149</v>
      </c>
      <c r="F15" s="66" t="s">
        <v>1067</v>
      </c>
      <c r="G15" s="66">
        <f>COUNTIFS(tblSales[Order ID],tblOrders[[#This Row],[Order]])</f>
        <v>4</v>
      </c>
      <c r="H15" s="68" t="b">
        <v>0</v>
      </c>
      <c r="J15" s="55"/>
    </row>
    <row r="16" spans="1:16" x14ac:dyDescent="0.3">
      <c r="B16" s="65">
        <v>202081</v>
      </c>
      <c r="C16" s="66" t="s">
        <v>439</v>
      </c>
      <c r="D16" s="67">
        <v>45490</v>
      </c>
      <c r="E16" s="66" t="s">
        <v>149</v>
      </c>
      <c r="F16" s="66" t="s">
        <v>1067</v>
      </c>
      <c r="G16" s="66">
        <f>COUNTIFS(tblSales[Order ID],tblOrders[[#This Row],[Order]])</f>
        <v>5</v>
      </c>
      <c r="H16" s="68" t="b">
        <v>0</v>
      </c>
      <c r="J16" s="55"/>
    </row>
    <row r="17" spans="2:10" x14ac:dyDescent="0.3">
      <c r="B17" s="65">
        <v>202148</v>
      </c>
      <c r="C17" s="66" t="s">
        <v>212</v>
      </c>
      <c r="D17" s="67">
        <v>45486</v>
      </c>
      <c r="E17" s="66" t="s">
        <v>152</v>
      </c>
      <c r="F17" s="66" t="s">
        <v>1067</v>
      </c>
      <c r="G17" s="66">
        <f>COUNTIFS(tblSales[Order ID],tblOrders[[#This Row],[Order]])</f>
        <v>4</v>
      </c>
      <c r="H17" s="68" t="b">
        <v>0</v>
      </c>
      <c r="J17" s="55"/>
    </row>
    <row r="18" spans="2:10" x14ac:dyDescent="0.3">
      <c r="B18" s="65">
        <v>202051</v>
      </c>
      <c r="C18" s="66" t="s">
        <v>350</v>
      </c>
      <c r="D18" s="67">
        <v>45491</v>
      </c>
      <c r="E18" s="66" t="s">
        <v>149</v>
      </c>
      <c r="F18" s="66" t="s">
        <v>1067</v>
      </c>
      <c r="G18" s="66">
        <f>COUNTIFS(tblSales[Order ID],tblOrders[[#This Row],[Order]])</f>
        <v>1</v>
      </c>
      <c r="H18" s="68" t="b">
        <v>0</v>
      </c>
      <c r="J18" s="55"/>
    </row>
    <row r="19" spans="2:10" x14ac:dyDescent="0.3">
      <c r="B19" s="65">
        <v>201912</v>
      </c>
      <c r="C19" s="66" t="s">
        <v>208</v>
      </c>
      <c r="D19" s="67">
        <v>45481</v>
      </c>
      <c r="E19" s="66" t="s">
        <v>149</v>
      </c>
      <c r="F19" s="66" t="s">
        <v>1068</v>
      </c>
      <c r="G19" s="66">
        <f>COUNTIFS(tblSales[Order ID],tblOrders[[#This Row],[Order]])</f>
        <v>1</v>
      </c>
      <c r="H19" s="68" t="b">
        <v>0</v>
      </c>
      <c r="J19" s="55"/>
    </row>
    <row r="20" spans="2:10" x14ac:dyDescent="0.3">
      <c r="B20" s="65">
        <v>202008</v>
      </c>
      <c r="C20" s="66" t="s">
        <v>350</v>
      </c>
      <c r="D20" s="67">
        <v>45483</v>
      </c>
      <c r="E20" s="66" t="s">
        <v>149</v>
      </c>
      <c r="F20" s="66" t="s">
        <v>1067</v>
      </c>
      <c r="G20" s="66">
        <f>COUNTIFS(tblSales[Order ID],tblOrders[[#This Row],[Order]])</f>
        <v>4</v>
      </c>
      <c r="H20" s="68" t="b">
        <v>0</v>
      </c>
      <c r="J20" s="55"/>
    </row>
    <row r="21" spans="2:10" x14ac:dyDescent="0.3">
      <c r="B21" s="65">
        <v>202049</v>
      </c>
      <c r="C21" s="66" t="s">
        <v>251</v>
      </c>
      <c r="D21" s="67">
        <v>45484</v>
      </c>
      <c r="E21" s="66" t="s">
        <v>149</v>
      </c>
      <c r="F21" s="66" t="s">
        <v>1067</v>
      </c>
      <c r="G21" s="66">
        <f>COUNTIFS(tblSales[Order ID],tblOrders[[#This Row],[Order]])</f>
        <v>1</v>
      </c>
      <c r="H21" s="68" t="b">
        <v>0</v>
      </c>
      <c r="J21" s="55"/>
    </row>
    <row r="22" spans="2:10" x14ac:dyDescent="0.3">
      <c r="B22" s="65">
        <v>202003</v>
      </c>
      <c r="C22" s="66" t="s">
        <v>228</v>
      </c>
      <c r="D22" s="67">
        <v>45485</v>
      </c>
      <c r="E22" s="66" t="s">
        <v>152</v>
      </c>
      <c r="F22" s="66" t="s">
        <v>1067</v>
      </c>
      <c r="G22" s="66">
        <f>COUNTIFS(tblSales[Order ID],tblOrders[[#This Row],[Order]])</f>
        <v>1</v>
      </c>
      <c r="H22" s="68" t="b">
        <v>0</v>
      </c>
      <c r="J22" s="55"/>
    </row>
    <row r="23" spans="2:10" x14ac:dyDescent="0.3">
      <c r="B23" s="65">
        <v>202095</v>
      </c>
      <c r="C23" s="66" t="s">
        <v>279</v>
      </c>
      <c r="D23" s="67">
        <v>45487</v>
      </c>
      <c r="E23" s="66" t="s">
        <v>149</v>
      </c>
      <c r="F23" s="66" t="s">
        <v>1067</v>
      </c>
      <c r="G23" s="66">
        <f>COUNTIFS(tblSales[Order ID],tblOrders[[#This Row],[Order]])</f>
        <v>1</v>
      </c>
      <c r="H23" s="68" t="b">
        <v>0</v>
      </c>
      <c r="J23" s="55"/>
    </row>
    <row r="24" spans="2:10" x14ac:dyDescent="0.3">
      <c r="B24" s="65">
        <v>201972</v>
      </c>
      <c r="C24" s="66" t="s">
        <v>256</v>
      </c>
      <c r="D24" s="67">
        <v>45482</v>
      </c>
      <c r="E24" s="66" t="s">
        <v>149</v>
      </c>
      <c r="F24" s="66" t="s">
        <v>1067</v>
      </c>
      <c r="G24" s="66">
        <f>COUNTIFS(tblSales[Order ID],tblOrders[[#This Row],[Order]])</f>
        <v>1</v>
      </c>
      <c r="H24" s="68" t="b">
        <v>0</v>
      </c>
      <c r="J24" s="55"/>
    </row>
    <row r="25" spans="2:10" x14ac:dyDescent="0.3">
      <c r="B25" s="65">
        <v>202169</v>
      </c>
      <c r="C25" s="66" t="s">
        <v>184</v>
      </c>
      <c r="D25" s="67">
        <v>45482</v>
      </c>
      <c r="E25" s="66" t="s">
        <v>149</v>
      </c>
      <c r="F25" s="66" t="s">
        <v>1067</v>
      </c>
      <c r="G25" s="66">
        <f>COUNTIFS(tblSales[Order ID],tblOrders[[#This Row],[Order]])</f>
        <v>5</v>
      </c>
      <c r="H25" s="68" t="b">
        <v>0</v>
      </c>
      <c r="J25" s="55"/>
    </row>
    <row r="26" spans="2:10" x14ac:dyDescent="0.3">
      <c r="B26" s="65">
        <v>202130</v>
      </c>
      <c r="C26" s="66" t="s">
        <v>404</v>
      </c>
      <c r="D26" s="67">
        <v>45488</v>
      </c>
      <c r="E26" s="66" t="s">
        <v>149</v>
      </c>
      <c r="F26" s="66" t="s">
        <v>1069</v>
      </c>
      <c r="G26" s="66">
        <f>COUNTIFS(tblSales[Order ID],tblOrders[[#This Row],[Order]])</f>
        <v>1</v>
      </c>
      <c r="H26" s="68" t="b">
        <v>0</v>
      </c>
      <c r="J26" s="55"/>
    </row>
    <row r="27" spans="2:10" x14ac:dyDescent="0.3">
      <c r="B27" s="65">
        <v>202085</v>
      </c>
      <c r="C27" s="66" t="s">
        <v>361</v>
      </c>
      <c r="D27" s="67">
        <v>45484</v>
      </c>
      <c r="E27" s="66" t="s">
        <v>152</v>
      </c>
      <c r="F27" s="66" t="s">
        <v>1067</v>
      </c>
      <c r="G27" s="66">
        <f>COUNTIFS(tblSales[Order ID],tblOrders[[#This Row],[Order]])</f>
        <v>2</v>
      </c>
      <c r="H27" s="68" t="b">
        <v>0</v>
      </c>
      <c r="J27" s="55"/>
    </row>
    <row r="28" spans="2:10" x14ac:dyDescent="0.3">
      <c r="B28" s="65">
        <v>201986</v>
      </c>
      <c r="C28" s="66" t="s">
        <v>341</v>
      </c>
      <c r="D28" s="67">
        <v>45492</v>
      </c>
      <c r="E28" s="66" t="s">
        <v>149</v>
      </c>
      <c r="F28" s="66" t="s">
        <v>1067</v>
      </c>
      <c r="G28" s="66">
        <f>COUNTIFS(tblSales[Order ID],tblOrders[[#This Row],[Order]])</f>
        <v>1</v>
      </c>
      <c r="H28" s="68" t="b">
        <v>0</v>
      </c>
      <c r="J28" s="55"/>
    </row>
    <row r="29" spans="2:10" x14ac:dyDescent="0.3">
      <c r="B29" s="65">
        <v>202059</v>
      </c>
      <c r="C29" s="66" t="s">
        <v>245</v>
      </c>
      <c r="D29" s="67">
        <v>45492</v>
      </c>
      <c r="E29" s="66" t="s">
        <v>149</v>
      </c>
      <c r="F29" s="66" t="s">
        <v>1067</v>
      </c>
      <c r="G29" s="66">
        <f>COUNTIFS(tblSales[Order ID],tblOrders[[#This Row],[Order]])</f>
        <v>4</v>
      </c>
      <c r="H29" s="68" t="b">
        <v>0</v>
      </c>
      <c r="J29" s="55"/>
    </row>
    <row r="30" spans="2:10" x14ac:dyDescent="0.3">
      <c r="B30" s="65">
        <v>202137</v>
      </c>
      <c r="C30" s="66" t="s">
        <v>174</v>
      </c>
      <c r="D30" s="67">
        <v>45486</v>
      </c>
      <c r="E30" s="66" t="s">
        <v>149</v>
      </c>
      <c r="F30" s="66" t="s">
        <v>1068</v>
      </c>
      <c r="G30" s="66">
        <f>COUNTIFS(tblSales[Order ID],tblOrders[[#This Row],[Order]])</f>
        <v>1</v>
      </c>
      <c r="H30" s="68" t="b">
        <v>0</v>
      </c>
      <c r="J30" s="55"/>
    </row>
    <row r="31" spans="2:10" x14ac:dyDescent="0.3">
      <c r="B31" s="65">
        <v>201945</v>
      </c>
      <c r="C31" s="66" t="s">
        <v>354</v>
      </c>
      <c r="D31" s="67">
        <v>45484</v>
      </c>
      <c r="E31" s="66" t="s">
        <v>149</v>
      </c>
      <c r="F31" s="66" t="s">
        <v>1067</v>
      </c>
      <c r="G31" s="66">
        <f>COUNTIFS(tblSales[Order ID],tblOrders[[#This Row],[Order]])</f>
        <v>4</v>
      </c>
      <c r="H31" s="68" t="b">
        <v>0</v>
      </c>
      <c r="J31" s="55"/>
    </row>
    <row r="32" spans="2:10" x14ac:dyDescent="0.3">
      <c r="B32" s="65">
        <v>201982</v>
      </c>
      <c r="C32" s="66" t="s">
        <v>325</v>
      </c>
      <c r="D32" s="67">
        <v>45485</v>
      </c>
      <c r="E32" s="66" t="s">
        <v>152</v>
      </c>
      <c r="F32" s="66" t="s">
        <v>1067</v>
      </c>
      <c r="G32" s="66">
        <f>COUNTIFS(tblSales[Order ID],tblOrders[[#This Row],[Order]])</f>
        <v>1</v>
      </c>
      <c r="H32" s="68" t="b">
        <v>0</v>
      </c>
      <c r="J32" s="55"/>
    </row>
    <row r="33" spans="2:10" x14ac:dyDescent="0.3">
      <c r="B33" s="65">
        <v>202151</v>
      </c>
      <c r="C33" s="66" t="s">
        <v>320</v>
      </c>
      <c r="D33" s="67">
        <v>45484</v>
      </c>
      <c r="E33" s="66" t="s">
        <v>149</v>
      </c>
      <c r="F33" s="66" t="s">
        <v>1067</v>
      </c>
      <c r="G33" s="66">
        <f>COUNTIFS(tblSales[Order ID],tblOrders[[#This Row],[Order]])</f>
        <v>6</v>
      </c>
      <c r="H33" s="68" t="b">
        <v>0</v>
      </c>
      <c r="J33" s="55"/>
    </row>
    <row r="34" spans="2:10" x14ac:dyDescent="0.3">
      <c r="B34" s="65">
        <v>201993</v>
      </c>
      <c r="C34" s="66" t="s">
        <v>356</v>
      </c>
      <c r="D34" s="67">
        <v>45486</v>
      </c>
      <c r="E34" s="66" t="s">
        <v>152</v>
      </c>
      <c r="F34" s="66" t="s">
        <v>1067</v>
      </c>
      <c r="G34" s="66">
        <f>COUNTIFS(tblSales[Order ID],tblOrders[[#This Row],[Order]])</f>
        <v>1</v>
      </c>
      <c r="H34" s="68" t="b">
        <v>0</v>
      </c>
      <c r="J34" s="55"/>
    </row>
    <row r="35" spans="2:10" x14ac:dyDescent="0.3">
      <c r="B35" s="65">
        <v>202036</v>
      </c>
      <c r="C35" s="66" t="s">
        <v>262</v>
      </c>
      <c r="D35" s="67">
        <v>45486</v>
      </c>
      <c r="E35" s="66" t="s">
        <v>149</v>
      </c>
      <c r="F35" s="66" t="s">
        <v>1067</v>
      </c>
      <c r="G35" s="66">
        <f>COUNTIFS(tblSales[Order ID],tblOrders[[#This Row],[Order]])</f>
        <v>1</v>
      </c>
      <c r="H35" s="68" t="b">
        <v>0</v>
      </c>
      <c r="J35" s="55"/>
    </row>
    <row r="36" spans="2:10" x14ac:dyDescent="0.3">
      <c r="B36" s="65">
        <v>202073</v>
      </c>
      <c r="C36" s="66" t="s">
        <v>187</v>
      </c>
      <c r="D36" s="67">
        <v>45486</v>
      </c>
      <c r="E36" s="66" t="s">
        <v>149</v>
      </c>
      <c r="F36" s="66" t="s">
        <v>1067</v>
      </c>
      <c r="G36" s="66">
        <f>COUNTIFS(tblSales[Order ID],tblOrders[[#This Row],[Order]])</f>
        <v>6</v>
      </c>
      <c r="H36" s="68" t="b">
        <v>0</v>
      </c>
      <c r="J36" s="55"/>
    </row>
    <row r="37" spans="2:10" x14ac:dyDescent="0.3">
      <c r="I37" s="55"/>
    </row>
    <row r="38" spans="2:10" x14ac:dyDescent="0.3">
      <c r="I38" s="55"/>
    </row>
    <row r="39" spans="2:10" x14ac:dyDescent="0.3">
      <c r="I39" s="55"/>
    </row>
    <row r="40" spans="2:10" x14ac:dyDescent="0.3">
      <c r="I40" s="55"/>
    </row>
    <row r="41" spans="2:10" x14ac:dyDescent="0.3">
      <c r="I41" s="55"/>
    </row>
    <row r="42" spans="2:10" x14ac:dyDescent="0.3">
      <c r="I42" s="55"/>
    </row>
    <row r="43" spans="2:10" x14ac:dyDescent="0.3">
      <c r="I43" s="55"/>
    </row>
    <row r="44" spans="2:10" x14ac:dyDescent="0.3">
      <c r="I44" s="55"/>
    </row>
    <row r="45" spans="2:10" x14ac:dyDescent="0.3">
      <c r="I45" s="55"/>
    </row>
    <row r="46" spans="2:10" x14ac:dyDescent="0.3">
      <c r="I46" s="55"/>
    </row>
    <row r="47" spans="2:10" x14ac:dyDescent="0.3">
      <c r="I47" s="55"/>
    </row>
    <row r="48" spans="2:10" x14ac:dyDescent="0.3">
      <c r="I48" s="55"/>
    </row>
    <row r="49" spans="9:9" x14ac:dyDescent="0.3">
      <c r="I49" s="55"/>
    </row>
    <row r="50" spans="9:9" x14ac:dyDescent="0.3">
      <c r="I50" s="55"/>
    </row>
    <row r="51" spans="9:9" x14ac:dyDescent="0.3">
      <c r="I51" s="55"/>
    </row>
  </sheetData>
  <conditionalFormatting sqref="B4:H36">
    <cfRule type="expression" dxfId="28" priority="3">
      <formula>$H4</formula>
    </cfRule>
  </conditionalFormatting>
  <conditionalFormatting sqref="J4:K43">
    <cfRule type="cellIs" dxfId="27" priority="2" operator="notEqual">
      <formula>""</formula>
    </cfRule>
  </conditionalFormatting>
  <conditionalFormatting sqref="J4:K51">
    <cfRule type="expression" dxfId="26" priority="1">
      <formula>$J4="Product"</formula>
    </cfRule>
  </conditionalFormatting>
  <hyperlinks>
    <hyperlink ref="A1" location="'TOC Gallery'!A1" tooltip="Go To Table of Contents" display="'TOC Gallery'!A1" xr:uid="{60F3F48C-0587-4744-8BDB-4B62258264B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F8E8-6154-45FB-8029-7FD03AEE73BB}">
  <dimension ref="A1:P51"/>
  <sheetViews>
    <sheetView showGridLines="0" workbookViewId="0"/>
  </sheetViews>
  <sheetFormatPr defaultRowHeight="14.4" x14ac:dyDescent="0.3"/>
  <cols>
    <col min="1" max="1" width="2.6640625" customWidth="1"/>
    <col min="2" max="2" width="8" customWidth="1"/>
    <col min="3" max="3" width="17.33203125" customWidth="1"/>
    <col min="4" max="4" width="9.5546875" bestFit="1" customWidth="1"/>
    <col min="5" max="5" width="7.109375" hidden="1" customWidth="1"/>
    <col min="6" max="6" width="11.109375" hidden="1" customWidth="1"/>
    <col min="7" max="7" width="8.44140625" bestFit="1" customWidth="1"/>
    <col min="8" max="8" width="9.6640625" bestFit="1" customWidth="1"/>
    <col min="9" max="9" width="1" customWidth="1"/>
    <col min="10" max="10" width="25.5546875" customWidth="1"/>
    <col min="11" max="11" width="5.109375" style="71" customWidth="1"/>
    <col min="15" max="16" width="8.6640625" hidden="1" customWidth="1"/>
  </cols>
  <sheetData>
    <row r="1" spans="1:16" s="57" customFormat="1" ht="30" customHeight="1" x14ac:dyDescent="0.4">
      <c r="A1" s="105">
        <v>3</v>
      </c>
      <c r="B1" s="57" t="s">
        <v>1076</v>
      </c>
      <c r="K1" s="69"/>
    </row>
    <row r="3" spans="1:16" x14ac:dyDescent="0.3">
      <c r="B3" t="s">
        <v>1077</v>
      </c>
      <c r="C3" t="s">
        <v>558</v>
      </c>
      <c r="D3" t="s">
        <v>98</v>
      </c>
      <c r="E3" t="s">
        <v>1065</v>
      </c>
      <c r="F3" t="s">
        <v>1066</v>
      </c>
      <c r="G3" t="s">
        <v>1070</v>
      </c>
      <c r="H3" t="s">
        <v>1071</v>
      </c>
      <c r="J3" s="58" t="s">
        <v>14</v>
      </c>
      <c r="K3" s="70" t="s">
        <v>14</v>
      </c>
      <c r="O3" t="s">
        <v>482</v>
      </c>
      <c r="P3" t="s">
        <v>138</v>
      </c>
    </row>
    <row r="4" spans="1:16" x14ac:dyDescent="0.3">
      <c r="B4" s="65">
        <v>202025</v>
      </c>
      <c r="C4" s="66" t="s">
        <v>212</v>
      </c>
      <c r="D4" s="67">
        <v>45487</v>
      </c>
      <c r="E4" s="66" t="s">
        <v>152</v>
      </c>
      <c r="F4" s="66" t="s">
        <v>1067</v>
      </c>
      <c r="G4" s="66">
        <f>COUNTIFS(tblSales[Order ID],tblOrders10[[#This Row],[Order]])</f>
        <v>1</v>
      </c>
      <c r="H4" s="68" t="b">
        <v>0</v>
      </c>
      <c r="J4" t="str" cm="1">
        <f t="array" ref="J4:J36">IFERROR(
_xlfn.LET(_xlpm.xRow,_xlfn.XMATCH(TRUE,tblOrders10[Details],0),
_xlpm.xCount,COUNTIF(tblOrders10[Details],TRUE),
_xlpm.arr,_xlfn._xlws.FILTER(tblSales[[Product Name]:[Qty]],tblSales[Order ID]=INDEX(tblOrders10[Order],_xlpm.xRow),""),
_xlfn.IFS(_xlpm.xCount&gt;1,IF(tblOrders10[Details],$O$4,""),_xlpm.xRow=1,_xlfn.VSTACK($O$3:$P$3,_xlpm.arr),_xlpm.xRow&gt;1,_xlfn.VSTACK(_xlfn.EXPAND($J$3:$K$3,_xlpm.xRow-1,,""),$O$3:$P$3,_xlpm.arr))
),"")</f>
        <v/>
      </c>
      <c r="O4" t="s">
        <v>1154</v>
      </c>
    </row>
    <row r="5" spans="1:16" x14ac:dyDescent="0.3">
      <c r="B5" s="65">
        <v>202126</v>
      </c>
      <c r="C5" s="66" t="s">
        <v>395</v>
      </c>
      <c r="D5" s="67">
        <v>45483</v>
      </c>
      <c r="E5" s="66" t="s">
        <v>152</v>
      </c>
      <c r="F5" s="66" t="s">
        <v>1067</v>
      </c>
      <c r="G5" s="66">
        <f>COUNTIFS(tblSales[Order ID],tblOrders10[[#This Row],[Order]])</f>
        <v>3</v>
      </c>
      <c r="H5" s="68" t="b">
        <v>0</v>
      </c>
      <c r="J5" s="55" t="str">
        <v/>
      </c>
    </row>
    <row r="6" spans="1:16" x14ac:dyDescent="0.3">
      <c r="B6" s="65">
        <v>202037</v>
      </c>
      <c r="C6" s="66" t="s">
        <v>241</v>
      </c>
      <c r="D6" s="67">
        <v>45493</v>
      </c>
      <c r="E6" s="66" t="s">
        <v>152</v>
      </c>
      <c r="F6" s="66" t="s">
        <v>1067</v>
      </c>
      <c r="G6" s="66">
        <f>COUNTIFS(tblSales[Order ID],tblOrders10[[#This Row],[Order]])</f>
        <v>2</v>
      </c>
      <c r="H6" s="68" t="b">
        <v>0</v>
      </c>
      <c r="J6" s="55" t="str">
        <v/>
      </c>
    </row>
    <row r="7" spans="1:16" x14ac:dyDescent="0.3">
      <c r="B7" s="65">
        <v>202106</v>
      </c>
      <c r="C7" s="66" t="s">
        <v>429</v>
      </c>
      <c r="D7" s="67">
        <v>45489</v>
      </c>
      <c r="E7" s="66" t="s">
        <v>152</v>
      </c>
      <c r="F7" s="66" t="s">
        <v>1069</v>
      </c>
      <c r="G7" s="66">
        <f>COUNTIFS(tblSales[Order ID],tblOrders10[[#This Row],[Order]])</f>
        <v>5</v>
      </c>
      <c r="H7" s="68" t="b">
        <v>1</v>
      </c>
      <c r="J7" s="55" t="str">
        <v>Only one checkbox can be checked.</v>
      </c>
    </row>
    <row r="8" spans="1:16" x14ac:dyDescent="0.3">
      <c r="B8" s="65">
        <v>202140</v>
      </c>
      <c r="C8" s="66" t="s">
        <v>256</v>
      </c>
      <c r="D8" s="67">
        <v>45493</v>
      </c>
      <c r="E8" s="66" t="s">
        <v>149</v>
      </c>
      <c r="F8" s="66" t="s">
        <v>1069</v>
      </c>
      <c r="G8" s="66">
        <f>COUNTIFS(tblSales[Order ID],tblOrders10[[#This Row],[Order]])</f>
        <v>1</v>
      </c>
      <c r="H8" s="68" t="b">
        <v>0</v>
      </c>
      <c r="J8" s="55" t="str">
        <v/>
      </c>
    </row>
    <row r="9" spans="1:16" x14ac:dyDescent="0.3">
      <c r="B9" s="65">
        <v>202121</v>
      </c>
      <c r="C9" s="66" t="s">
        <v>174</v>
      </c>
      <c r="D9" s="67">
        <v>45486</v>
      </c>
      <c r="E9" s="66" t="s">
        <v>152</v>
      </c>
      <c r="F9" s="66" t="s">
        <v>1067</v>
      </c>
      <c r="G9" s="66">
        <f>COUNTIFS(tblSales[Order ID],tblOrders10[[#This Row],[Order]])</f>
        <v>5</v>
      </c>
      <c r="H9" s="68" t="b">
        <v>0</v>
      </c>
      <c r="J9" s="55" t="str">
        <v/>
      </c>
    </row>
    <row r="10" spans="1:16" x14ac:dyDescent="0.3">
      <c r="B10" s="65">
        <v>201921</v>
      </c>
      <c r="C10" s="66" t="s">
        <v>201</v>
      </c>
      <c r="D10" s="67">
        <v>45492</v>
      </c>
      <c r="E10" s="66" t="s">
        <v>152</v>
      </c>
      <c r="F10" s="66" t="s">
        <v>1067</v>
      </c>
      <c r="G10" s="66">
        <f>COUNTIFS(tblSales[Order ID],tblOrders10[[#This Row],[Order]])</f>
        <v>1</v>
      </c>
      <c r="H10" s="68" t="b">
        <v>0</v>
      </c>
      <c r="J10" t="str">
        <v/>
      </c>
    </row>
    <row r="11" spans="1:16" x14ac:dyDescent="0.3">
      <c r="B11" s="65">
        <v>201950</v>
      </c>
      <c r="C11" s="66" t="s">
        <v>404</v>
      </c>
      <c r="D11" s="67">
        <v>45491</v>
      </c>
      <c r="E11" s="66" t="s">
        <v>152</v>
      </c>
      <c r="F11" s="66" t="s">
        <v>1068</v>
      </c>
      <c r="G11" s="66">
        <f>COUNTIFS(tblSales[Order ID],tblOrders10[[#This Row],[Order]])</f>
        <v>2</v>
      </c>
      <c r="H11" s="68" t="b">
        <v>1</v>
      </c>
      <c r="J11" t="str">
        <v>Only one checkbox can be checked.</v>
      </c>
    </row>
    <row r="12" spans="1:16" x14ac:dyDescent="0.3">
      <c r="B12" s="65">
        <v>201934</v>
      </c>
      <c r="C12" s="66" t="s">
        <v>187</v>
      </c>
      <c r="D12" s="67">
        <v>45491</v>
      </c>
      <c r="E12" s="66" t="s">
        <v>149</v>
      </c>
      <c r="F12" s="66" t="s">
        <v>1067</v>
      </c>
      <c r="G12" s="66">
        <f>COUNTIFS(tblSales[Order ID],tblOrders10[[#This Row],[Order]])</f>
        <v>1</v>
      </c>
      <c r="H12" s="68" t="b">
        <v>0</v>
      </c>
      <c r="J12" t="str">
        <v/>
      </c>
    </row>
    <row r="13" spans="1:16" x14ac:dyDescent="0.3">
      <c r="B13" s="65">
        <v>202011</v>
      </c>
      <c r="C13" s="66" t="s">
        <v>356</v>
      </c>
      <c r="D13" s="67">
        <v>45492</v>
      </c>
      <c r="E13" s="66" t="s">
        <v>152</v>
      </c>
      <c r="F13" s="66" t="s">
        <v>1068</v>
      </c>
      <c r="G13" s="66">
        <f>COUNTIFS(tblSales[Order ID],tblOrders10[[#This Row],[Order]])</f>
        <v>5</v>
      </c>
      <c r="H13" s="68" t="b">
        <v>0</v>
      </c>
      <c r="J13" t="str">
        <v/>
      </c>
    </row>
    <row r="14" spans="1:16" x14ac:dyDescent="0.3">
      <c r="B14" s="65">
        <v>201990</v>
      </c>
      <c r="C14" s="66" t="s">
        <v>395</v>
      </c>
      <c r="D14" s="67">
        <v>45482</v>
      </c>
      <c r="E14" s="66" t="s">
        <v>149</v>
      </c>
      <c r="F14" s="66" t="s">
        <v>1067</v>
      </c>
      <c r="G14" s="66">
        <f>COUNTIFS(tblSales[Order ID],tblOrders10[[#This Row],[Order]])</f>
        <v>5</v>
      </c>
      <c r="H14" s="68" t="b">
        <v>0</v>
      </c>
      <c r="J14" s="55" t="str">
        <v/>
      </c>
    </row>
    <row r="15" spans="1:16" x14ac:dyDescent="0.3">
      <c r="B15" s="65">
        <v>202167</v>
      </c>
      <c r="C15" s="66" t="s">
        <v>345</v>
      </c>
      <c r="D15" s="67">
        <v>45492</v>
      </c>
      <c r="E15" s="66" t="s">
        <v>149</v>
      </c>
      <c r="F15" s="66" t="s">
        <v>1067</v>
      </c>
      <c r="G15" s="66">
        <f>COUNTIFS(tblSales[Order ID],tblOrders10[[#This Row],[Order]])</f>
        <v>4</v>
      </c>
      <c r="H15" s="68" t="b">
        <v>0</v>
      </c>
      <c r="J15" s="55" t="str">
        <v/>
      </c>
    </row>
    <row r="16" spans="1:16" x14ac:dyDescent="0.3">
      <c r="B16" s="65">
        <v>202081</v>
      </c>
      <c r="C16" s="66" t="s">
        <v>439</v>
      </c>
      <c r="D16" s="67">
        <v>45490</v>
      </c>
      <c r="E16" s="66" t="s">
        <v>149</v>
      </c>
      <c r="F16" s="66" t="s">
        <v>1067</v>
      </c>
      <c r="G16" s="66">
        <f>COUNTIFS(tblSales[Order ID],tblOrders10[[#This Row],[Order]])</f>
        <v>5</v>
      </c>
      <c r="H16" s="68" t="b">
        <v>0</v>
      </c>
      <c r="J16" s="55" t="str">
        <v/>
      </c>
    </row>
    <row r="17" spans="2:10" x14ac:dyDescent="0.3">
      <c r="B17" s="65">
        <v>202148</v>
      </c>
      <c r="C17" s="66" t="s">
        <v>212</v>
      </c>
      <c r="D17" s="67">
        <v>45486</v>
      </c>
      <c r="E17" s="66" t="s">
        <v>152</v>
      </c>
      <c r="F17" s="66" t="s">
        <v>1067</v>
      </c>
      <c r="G17" s="66">
        <f>COUNTIFS(tblSales[Order ID],tblOrders10[[#This Row],[Order]])</f>
        <v>4</v>
      </c>
      <c r="H17" s="68" t="b">
        <v>0</v>
      </c>
      <c r="J17" s="55" t="str">
        <v/>
      </c>
    </row>
    <row r="18" spans="2:10" x14ac:dyDescent="0.3">
      <c r="B18" s="65">
        <v>202051</v>
      </c>
      <c r="C18" s="66" t="s">
        <v>350</v>
      </c>
      <c r="D18" s="67">
        <v>45491</v>
      </c>
      <c r="E18" s="66" t="s">
        <v>149</v>
      </c>
      <c r="F18" s="66" t="s">
        <v>1067</v>
      </c>
      <c r="G18" s="66">
        <f>COUNTIFS(tblSales[Order ID],tblOrders10[[#This Row],[Order]])</f>
        <v>1</v>
      </c>
      <c r="H18" s="68" t="b">
        <v>0</v>
      </c>
      <c r="J18" s="55" t="str">
        <v/>
      </c>
    </row>
    <row r="19" spans="2:10" x14ac:dyDescent="0.3">
      <c r="B19" s="65">
        <v>201912</v>
      </c>
      <c r="C19" s="66" t="s">
        <v>208</v>
      </c>
      <c r="D19" s="67">
        <v>45481</v>
      </c>
      <c r="E19" s="66" t="s">
        <v>149</v>
      </c>
      <c r="F19" s="66" t="s">
        <v>1068</v>
      </c>
      <c r="G19" s="66">
        <f>COUNTIFS(tblSales[Order ID],tblOrders10[[#This Row],[Order]])</f>
        <v>1</v>
      </c>
      <c r="H19" s="68" t="b">
        <v>0</v>
      </c>
      <c r="J19" s="55" t="str">
        <v/>
      </c>
    </row>
    <row r="20" spans="2:10" x14ac:dyDescent="0.3">
      <c r="B20" s="65">
        <v>202008</v>
      </c>
      <c r="C20" s="66" t="s">
        <v>350</v>
      </c>
      <c r="D20" s="67">
        <v>45483</v>
      </c>
      <c r="E20" s="66" t="s">
        <v>149</v>
      </c>
      <c r="F20" s="66" t="s">
        <v>1067</v>
      </c>
      <c r="G20" s="66">
        <f>COUNTIFS(tblSales[Order ID],tblOrders10[[#This Row],[Order]])</f>
        <v>4</v>
      </c>
      <c r="H20" s="68" t="b">
        <v>0</v>
      </c>
      <c r="J20" s="55" t="str">
        <v/>
      </c>
    </row>
    <row r="21" spans="2:10" x14ac:dyDescent="0.3">
      <c r="B21" s="65">
        <v>202049</v>
      </c>
      <c r="C21" s="66" t="s">
        <v>251</v>
      </c>
      <c r="D21" s="67">
        <v>45484</v>
      </c>
      <c r="E21" s="66" t="s">
        <v>149</v>
      </c>
      <c r="F21" s="66" t="s">
        <v>1067</v>
      </c>
      <c r="G21" s="66">
        <f>COUNTIFS(tblSales[Order ID],tblOrders10[[#This Row],[Order]])</f>
        <v>1</v>
      </c>
      <c r="H21" s="68" t="b">
        <v>0</v>
      </c>
      <c r="J21" s="55" t="str">
        <v/>
      </c>
    </row>
    <row r="22" spans="2:10" x14ac:dyDescent="0.3">
      <c r="B22" s="65">
        <v>202003</v>
      </c>
      <c r="C22" s="66" t="s">
        <v>228</v>
      </c>
      <c r="D22" s="67">
        <v>45485</v>
      </c>
      <c r="E22" s="66" t="s">
        <v>152</v>
      </c>
      <c r="F22" s="66" t="s">
        <v>1067</v>
      </c>
      <c r="G22" s="66">
        <f>COUNTIFS(tblSales[Order ID],tblOrders10[[#This Row],[Order]])</f>
        <v>1</v>
      </c>
      <c r="H22" s="68" t="b">
        <v>0</v>
      </c>
      <c r="J22" s="55" t="str">
        <v/>
      </c>
    </row>
    <row r="23" spans="2:10" x14ac:dyDescent="0.3">
      <c r="B23" s="65">
        <v>202095</v>
      </c>
      <c r="C23" s="66" t="s">
        <v>279</v>
      </c>
      <c r="D23" s="67">
        <v>45487</v>
      </c>
      <c r="E23" s="66" t="s">
        <v>149</v>
      </c>
      <c r="F23" s="66" t="s">
        <v>1067</v>
      </c>
      <c r="G23" s="66">
        <f>COUNTIFS(tblSales[Order ID],tblOrders10[[#This Row],[Order]])</f>
        <v>1</v>
      </c>
      <c r="H23" s="68" t="b">
        <v>0</v>
      </c>
      <c r="J23" s="55" t="str">
        <v/>
      </c>
    </row>
    <row r="24" spans="2:10" x14ac:dyDescent="0.3">
      <c r="B24" s="65">
        <v>201972</v>
      </c>
      <c r="C24" s="66" t="s">
        <v>256</v>
      </c>
      <c r="D24" s="67">
        <v>45482</v>
      </c>
      <c r="E24" s="66" t="s">
        <v>149</v>
      </c>
      <c r="F24" s="66" t="s">
        <v>1067</v>
      </c>
      <c r="G24" s="66">
        <f>COUNTIFS(tblSales[Order ID],tblOrders10[[#This Row],[Order]])</f>
        <v>1</v>
      </c>
      <c r="H24" s="68" t="b">
        <v>0</v>
      </c>
      <c r="J24" s="55" t="str">
        <v/>
      </c>
    </row>
    <row r="25" spans="2:10" x14ac:dyDescent="0.3">
      <c r="B25" s="65">
        <v>202169</v>
      </c>
      <c r="C25" s="66" t="s">
        <v>184</v>
      </c>
      <c r="D25" s="67">
        <v>45482</v>
      </c>
      <c r="E25" s="66" t="s">
        <v>149</v>
      </c>
      <c r="F25" s="66" t="s">
        <v>1067</v>
      </c>
      <c r="G25" s="66">
        <f>COUNTIFS(tblSales[Order ID],tblOrders10[[#This Row],[Order]])</f>
        <v>5</v>
      </c>
      <c r="H25" s="68" t="b">
        <v>0</v>
      </c>
      <c r="J25" s="55" t="str">
        <v/>
      </c>
    </row>
    <row r="26" spans="2:10" x14ac:dyDescent="0.3">
      <c r="B26" s="65">
        <v>202130</v>
      </c>
      <c r="C26" s="66" t="s">
        <v>404</v>
      </c>
      <c r="D26" s="67">
        <v>45488</v>
      </c>
      <c r="E26" s="66" t="s">
        <v>149</v>
      </c>
      <c r="F26" s="66" t="s">
        <v>1069</v>
      </c>
      <c r="G26" s="66">
        <f>COUNTIFS(tblSales[Order ID],tblOrders10[[#This Row],[Order]])</f>
        <v>1</v>
      </c>
      <c r="H26" s="68" t="b">
        <v>0</v>
      </c>
      <c r="J26" s="55" t="str">
        <v/>
      </c>
    </row>
    <row r="27" spans="2:10" x14ac:dyDescent="0.3">
      <c r="B27" s="65">
        <v>202085</v>
      </c>
      <c r="C27" s="66" t="s">
        <v>361</v>
      </c>
      <c r="D27" s="67">
        <v>45484</v>
      </c>
      <c r="E27" s="66" t="s">
        <v>152</v>
      </c>
      <c r="F27" s="66" t="s">
        <v>1067</v>
      </c>
      <c r="G27" s="66">
        <f>COUNTIFS(tblSales[Order ID],tblOrders10[[#This Row],[Order]])</f>
        <v>2</v>
      </c>
      <c r="H27" s="68" t="b">
        <v>0</v>
      </c>
      <c r="J27" s="55" t="str">
        <v/>
      </c>
    </row>
    <row r="28" spans="2:10" x14ac:dyDescent="0.3">
      <c r="B28" s="65">
        <v>201986</v>
      </c>
      <c r="C28" s="66" t="s">
        <v>341</v>
      </c>
      <c r="D28" s="67">
        <v>45492</v>
      </c>
      <c r="E28" s="66" t="s">
        <v>149</v>
      </c>
      <c r="F28" s="66" t="s">
        <v>1067</v>
      </c>
      <c r="G28" s="66">
        <f>COUNTIFS(tblSales[Order ID],tblOrders10[[#This Row],[Order]])</f>
        <v>1</v>
      </c>
      <c r="H28" s="68" t="b">
        <v>0</v>
      </c>
      <c r="J28" s="55" t="str">
        <v/>
      </c>
    </row>
    <row r="29" spans="2:10" x14ac:dyDescent="0.3">
      <c r="B29" s="65">
        <v>202059</v>
      </c>
      <c r="C29" s="66" t="s">
        <v>245</v>
      </c>
      <c r="D29" s="67">
        <v>45492</v>
      </c>
      <c r="E29" s="66" t="s">
        <v>149</v>
      </c>
      <c r="F29" s="66" t="s">
        <v>1067</v>
      </c>
      <c r="G29" s="66">
        <f>COUNTIFS(tblSales[Order ID],tblOrders10[[#This Row],[Order]])</f>
        <v>4</v>
      </c>
      <c r="H29" s="68" t="b">
        <v>0</v>
      </c>
      <c r="J29" s="55" t="str">
        <v/>
      </c>
    </row>
    <row r="30" spans="2:10" x14ac:dyDescent="0.3">
      <c r="B30" s="65">
        <v>202137</v>
      </c>
      <c r="C30" s="66" t="s">
        <v>174</v>
      </c>
      <c r="D30" s="67">
        <v>45486</v>
      </c>
      <c r="E30" s="66" t="s">
        <v>149</v>
      </c>
      <c r="F30" s="66" t="s">
        <v>1068</v>
      </c>
      <c r="G30" s="66">
        <f>COUNTIFS(tblSales[Order ID],tblOrders10[[#This Row],[Order]])</f>
        <v>1</v>
      </c>
      <c r="H30" s="68" t="b">
        <v>0</v>
      </c>
      <c r="J30" s="55" t="str">
        <v/>
      </c>
    </row>
    <row r="31" spans="2:10" x14ac:dyDescent="0.3">
      <c r="B31" s="65">
        <v>201945</v>
      </c>
      <c r="C31" s="66" t="s">
        <v>354</v>
      </c>
      <c r="D31" s="67">
        <v>45484</v>
      </c>
      <c r="E31" s="66" t="s">
        <v>149</v>
      </c>
      <c r="F31" s="66" t="s">
        <v>1067</v>
      </c>
      <c r="G31" s="66">
        <f>COUNTIFS(tblSales[Order ID],tblOrders10[[#This Row],[Order]])</f>
        <v>4</v>
      </c>
      <c r="H31" s="68" t="b">
        <v>0</v>
      </c>
      <c r="J31" s="55" t="str">
        <v/>
      </c>
    </row>
    <row r="32" spans="2:10" x14ac:dyDescent="0.3">
      <c r="B32" s="65">
        <v>201982</v>
      </c>
      <c r="C32" s="66" t="s">
        <v>325</v>
      </c>
      <c r="D32" s="67">
        <v>45485</v>
      </c>
      <c r="E32" s="66" t="s">
        <v>152</v>
      </c>
      <c r="F32" s="66" t="s">
        <v>1067</v>
      </c>
      <c r="G32" s="66">
        <f>COUNTIFS(tblSales[Order ID],tblOrders10[[#This Row],[Order]])</f>
        <v>1</v>
      </c>
      <c r="H32" s="68" t="b">
        <v>0</v>
      </c>
      <c r="J32" s="55" t="str">
        <v/>
      </c>
    </row>
    <row r="33" spans="2:10" x14ac:dyDescent="0.3">
      <c r="B33" s="65">
        <v>202151</v>
      </c>
      <c r="C33" s="66" t="s">
        <v>320</v>
      </c>
      <c r="D33" s="67">
        <v>45484</v>
      </c>
      <c r="E33" s="66" t="s">
        <v>149</v>
      </c>
      <c r="F33" s="66" t="s">
        <v>1067</v>
      </c>
      <c r="G33" s="66">
        <f>COUNTIFS(tblSales[Order ID],tblOrders10[[#This Row],[Order]])</f>
        <v>6</v>
      </c>
      <c r="H33" s="68" t="b">
        <v>0</v>
      </c>
      <c r="J33" s="55" t="str">
        <v/>
      </c>
    </row>
    <row r="34" spans="2:10" x14ac:dyDescent="0.3">
      <c r="B34" s="65">
        <v>201993</v>
      </c>
      <c r="C34" s="66" t="s">
        <v>356</v>
      </c>
      <c r="D34" s="67">
        <v>45486</v>
      </c>
      <c r="E34" s="66" t="s">
        <v>152</v>
      </c>
      <c r="F34" s="66" t="s">
        <v>1067</v>
      </c>
      <c r="G34" s="66">
        <f>COUNTIFS(tblSales[Order ID],tblOrders10[[#This Row],[Order]])</f>
        <v>1</v>
      </c>
      <c r="H34" s="68" t="b">
        <v>0</v>
      </c>
      <c r="J34" s="55" t="str">
        <v/>
      </c>
    </row>
    <row r="35" spans="2:10" x14ac:dyDescent="0.3">
      <c r="B35" s="65">
        <v>202036</v>
      </c>
      <c r="C35" s="66" t="s">
        <v>262</v>
      </c>
      <c r="D35" s="67">
        <v>45486</v>
      </c>
      <c r="E35" s="66" t="s">
        <v>149</v>
      </c>
      <c r="F35" s="66" t="s">
        <v>1067</v>
      </c>
      <c r="G35" s="66">
        <f>COUNTIFS(tblSales[Order ID],tblOrders10[[#This Row],[Order]])</f>
        <v>1</v>
      </c>
      <c r="H35" s="68" t="b">
        <v>0</v>
      </c>
      <c r="J35" s="55" t="str">
        <v/>
      </c>
    </row>
    <row r="36" spans="2:10" x14ac:dyDescent="0.3">
      <c r="B36" s="65">
        <v>202073</v>
      </c>
      <c r="C36" s="66" t="s">
        <v>187</v>
      </c>
      <c r="D36" s="67">
        <v>45486</v>
      </c>
      <c r="E36" s="66" t="s">
        <v>149</v>
      </c>
      <c r="F36" s="66" t="s">
        <v>1067</v>
      </c>
      <c r="G36" s="66">
        <f>COUNTIFS(tblSales[Order ID],tblOrders10[[#This Row],[Order]])</f>
        <v>6</v>
      </c>
      <c r="H36" s="68" t="b">
        <v>0</v>
      </c>
      <c r="J36" s="55" t="str">
        <v/>
      </c>
    </row>
    <row r="37" spans="2:10" x14ac:dyDescent="0.3">
      <c r="I37" s="55"/>
    </row>
    <row r="38" spans="2:10" x14ac:dyDescent="0.3">
      <c r="I38" s="55"/>
    </row>
    <row r="39" spans="2:10" x14ac:dyDescent="0.3">
      <c r="I39" s="55"/>
    </row>
    <row r="40" spans="2:10" x14ac:dyDescent="0.3">
      <c r="I40" s="55"/>
    </row>
    <row r="41" spans="2:10" x14ac:dyDescent="0.3">
      <c r="I41" s="55"/>
    </row>
    <row r="42" spans="2:10" x14ac:dyDescent="0.3">
      <c r="I42" s="55"/>
    </row>
    <row r="43" spans="2:10" x14ac:dyDescent="0.3">
      <c r="I43" s="55"/>
    </row>
    <row r="44" spans="2:10" x14ac:dyDescent="0.3">
      <c r="I44" s="55"/>
    </row>
    <row r="45" spans="2:10" x14ac:dyDescent="0.3">
      <c r="I45" s="55"/>
    </row>
    <row r="46" spans="2:10" x14ac:dyDescent="0.3">
      <c r="I46" s="55"/>
    </row>
    <row r="47" spans="2:10" x14ac:dyDescent="0.3">
      <c r="I47" s="55"/>
    </row>
    <row r="48" spans="2:10" x14ac:dyDescent="0.3">
      <c r="I48" s="55"/>
    </row>
    <row r="49" spans="9:9" x14ac:dyDescent="0.3">
      <c r="I49" s="55"/>
    </row>
    <row r="50" spans="9:9" x14ac:dyDescent="0.3">
      <c r="I50" s="55"/>
    </row>
    <row r="51" spans="9:9" x14ac:dyDescent="0.3">
      <c r="I51" s="55"/>
    </row>
  </sheetData>
  <conditionalFormatting sqref="B4:H36">
    <cfRule type="expression" dxfId="25" priority="4">
      <formula>$H4</formula>
    </cfRule>
  </conditionalFormatting>
  <conditionalFormatting sqref="J4:J36">
    <cfRule type="expression" dxfId="24" priority="1" stopIfTrue="1">
      <formula>AND($H4,$O$4=$J4)</formula>
    </cfRule>
  </conditionalFormatting>
  <conditionalFormatting sqref="J4:K43">
    <cfRule type="cellIs" dxfId="23" priority="3" operator="notEqual">
      <formula>""</formula>
    </cfRule>
  </conditionalFormatting>
  <conditionalFormatting sqref="J4:K51">
    <cfRule type="expression" dxfId="22" priority="2">
      <formula>$J4="Product"</formula>
    </cfRule>
  </conditionalFormatting>
  <hyperlinks>
    <hyperlink ref="A1" location="'TOC Gallery'!A1" tooltip="Go To Table of Contents" display="'TOC Gallery'!A1" xr:uid="{ECD60F6A-5317-467E-9E14-5B0D25D10033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F06A-E8CA-48D1-9B48-0D22122A723F}">
  <dimension ref="A1:P51"/>
  <sheetViews>
    <sheetView showGridLines="0" workbookViewId="0"/>
  </sheetViews>
  <sheetFormatPr defaultRowHeight="14.4" x14ac:dyDescent="0.3"/>
  <cols>
    <col min="1" max="1" width="2.6640625" customWidth="1"/>
    <col min="2" max="2" width="8" customWidth="1"/>
    <col min="3" max="3" width="17.33203125" customWidth="1"/>
    <col min="4" max="4" width="9.5546875" bestFit="1" customWidth="1"/>
    <col min="5" max="5" width="7.109375" hidden="1" customWidth="1"/>
    <col min="6" max="6" width="11.109375" hidden="1" customWidth="1"/>
    <col min="7" max="7" width="8.44140625" bestFit="1" customWidth="1"/>
    <col min="8" max="8" width="9.6640625" bestFit="1" customWidth="1"/>
    <col min="9" max="9" width="1" customWidth="1"/>
    <col min="10" max="10" width="27.109375" bestFit="1" customWidth="1"/>
    <col min="11" max="11" width="5.109375" style="71" customWidth="1"/>
    <col min="15" max="16" width="8.6640625" hidden="1" customWidth="1"/>
  </cols>
  <sheetData>
    <row r="1" spans="1:16" s="57" customFormat="1" ht="30" customHeight="1" x14ac:dyDescent="0.4">
      <c r="A1" s="105">
        <v>3</v>
      </c>
      <c r="B1" s="57" t="s">
        <v>1076</v>
      </c>
      <c r="K1" s="69"/>
    </row>
    <row r="3" spans="1:16" x14ac:dyDescent="0.3">
      <c r="B3" t="s">
        <v>1077</v>
      </c>
      <c r="C3" t="s">
        <v>558</v>
      </c>
      <c r="D3" t="s">
        <v>98</v>
      </c>
      <c r="E3" t="s">
        <v>1065</v>
      </c>
      <c r="F3" t="s">
        <v>1066</v>
      </c>
      <c r="G3" t="s">
        <v>1070</v>
      </c>
      <c r="H3" t="s">
        <v>1071</v>
      </c>
      <c r="J3" s="58" t="s">
        <v>14</v>
      </c>
      <c r="K3" s="70" t="s">
        <v>14</v>
      </c>
      <c r="O3" t="s">
        <v>482</v>
      </c>
      <c r="P3" t="s">
        <v>138</v>
      </c>
    </row>
    <row r="4" spans="1:16" x14ac:dyDescent="0.3">
      <c r="B4" s="65">
        <v>202025</v>
      </c>
      <c r="C4" s="66" t="s">
        <v>212</v>
      </c>
      <c r="D4" s="67">
        <v>45487</v>
      </c>
      <c r="E4" s="66" t="s">
        <v>152</v>
      </c>
      <c r="F4" s="66" t="s">
        <v>1067</v>
      </c>
      <c r="G4" s="66">
        <f>COUNTIFS(tblSales[Order ID],tblOrders1011[[#This Row],[Order]])</f>
        <v>1</v>
      </c>
      <c r="H4" s="68" t="b">
        <v>0</v>
      </c>
      <c r="J4" t="str" cm="1">
        <f t="array" ref="J4:J36">IFERROR(
_xlfn.LET(_xlpm.xRow,_xlfn.XMATCH(TRUE,tblOrders1011[Details],0),
_xlpm.xCount,COUNTIF(tblOrders1011[Details],TRUE),
_xlpm.arr,_xlfn._xlws.FILTER(tblSales[[Product Name]:[Qty]],tblSales[Order ID]=INDEX(tblOrders1011[Order],_xlpm.xRow),""),
_xlfn.IFS(_xlpm.xCount&gt;1,IF(tblOrders1011[Details],$O$4,""),_xlpm.xRow=1,_xlfn.VSTACK($O$3:$P$3,_xlpm.arr),_xlpm.xRow&gt;1,_xlfn.VSTACK(_xlfn.EXPAND($J$3:$K$3,_xlpm.xRow-1,,""),$O$3:$P$3,_xlpm.arr))
),"")</f>
        <v/>
      </c>
      <c r="O4" t="str" cm="1">
        <f t="array" ref="O4">"Only one checkbox can be checked. See rows: "&amp;_xlfn.TEXTJOIN(", ",TRUE,IF(tblOrders1011[Details],_xlfn.SEQUENCE(ROWS(tblOrders1011[Details]),,ROW(tblOrders1011[[#Headers],[Details]])+1),""))</f>
        <v>Only one checkbox can be checked. See rows: 7, 9, 11</v>
      </c>
    </row>
    <row r="5" spans="1:16" x14ac:dyDescent="0.3">
      <c r="B5" s="65">
        <v>202126</v>
      </c>
      <c r="C5" s="66" t="s">
        <v>395</v>
      </c>
      <c r="D5" s="67">
        <v>45483</v>
      </c>
      <c r="E5" s="66" t="s">
        <v>152</v>
      </c>
      <c r="F5" s="66" t="s">
        <v>1067</v>
      </c>
      <c r="G5" s="66">
        <f>COUNTIFS(tblSales[Order ID],tblOrders1011[[#This Row],[Order]])</f>
        <v>3</v>
      </c>
      <c r="H5" s="68" t="b">
        <v>0</v>
      </c>
      <c r="J5" t="str">
        <v/>
      </c>
    </row>
    <row r="6" spans="1:16" x14ac:dyDescent="0.3">
      <c r="B6" s="65">
        <v>202037</v>
      </c>
      <c r="C6" s="66" t="s">
        <v>241</v>
      </c>
      <c r="D6" s="67">
        <v>45493</v>
      </c>
      <c r="E6" s="66" t="s">
        <v>152</v>
      </c>
      <c r="F6" s="66" t="s">
        <v>1067</v>
      </c>
      <c r="G6" s="66">
        <f>COUNTIFS(tblSales[Order ID],tblOrders1011[[#This Row],[Order]])</f>
        <v>2</v>
      </c>
      <c r="H6" s="68" t="b">
        <v>0</v>
      </c>
      <c r="J6" t="str">
        <v/>
      </c>
    </row>
    <row r="7" spans="1:16" x14ac:dyDescent="0.3">
      <c r="B7" s="65">
        <v>202106</v>
      </c>
      <c r="C7" s="66" t="s">
        <v>429</v>
      </c>
      <c r="D7" s="67">
        <v>45489</v>
      </c>
      <c r="E7" s="66" t="s">
        <v>152</v>
      </c>
      <c r="F7" s="66" t="s">
        <v>1069</v>
      </c>
      <c r="G7" s="66">
        <f>COUNTIFS(tblSales[Order ID],tblOrders1011[[#This Row],[Order]])</f>
        <v>5</v>
      </c>
      <c r="H7" s="68" t="b">
        <v>1</v>
      </c>
      <c r="J7" t="str">
        <v>Only one checkbox can be checked. See rows: 7, 9, 11</v>
      </c>
    </row>
    <row r="8" spans="1:16" x14ac:dyDescent="0.3">
      <c r="B8" s="65">
        <v>202140</v>
      </c>
      <c r="C8" s="66" t="s">
        <v>256</v>
      </c>
      <c r="D8" s="67">
        <v>45493</v>
      </c>
      <c r="E8" s="66" t="s">
        <v>149</v>
      </c>
      <c r="F8" s="66" t="s">
        <v>1069</v>
      </c>
      <c r="G8" s="66">
        <f>COUNTIFS(tblSales[Order ID],tblOrders1011[[#This Row],[Order]])</f>
        <v>1</v>
      </c>
      <c r="H8" s="68" t="b">
        <v>0</v>
      </c>
      <c r="J8" t="str">
        <v/>
      </c>
    </row>
    <row r="9" spans="1:16" x14ac:dyDescent="0.3">
      <c r="B9" s="65">
        <v>202121</v>
      </c>
      <c r="C9" s="66" t="s">
        <v>174</v>
      </c>
      <c r="D9" s="67">
        <v>45486</v>
      </c>
      <c r="E9" s="66" t="s">
        <v>152</v>
      </c>
      <c r="F9" s="66" t="s">
        <v>1067</v>
      </c>
      <c r="G9" s="66">
        <f>COUNTIFS(tblSales[Order ID],tblOrders1011[[#This Row],[Order]])</f>
        <v>5</v>
      </c>
      <c r="H9" s="68" t="b">
        <v>1</v>
      </c>
      <c r="J9" t="str">
        <v>Only one checkbox can be checked. See rows: 7, 9, 11</v>
      </c>
    </row>
    <row r="10" spans="1:16" x14ac:dyDescent="0.3">
      <c r="B10" s="65">
        <v>201921</v>
      </c>
      <c r="C10" s="66" t="s">
        <v>201</v>
      </c>
      <c r="D10" s="67">
        <v>45492</v>
      </c>
      <c r="E10" s="66" t="s">
        <v>152</v>
      </c>
      <c r="F10" s="66" t="s">
        <v>1067</v>
      </c>
      <c r="G10" s="66">
        <f>COUNTIFS(tblSales[Order ID],tblOrders1011[[#This Row],[Order]])</f>
        <v>1</v>
      </c>
      <c r="H10" s="68" t="b">
        <v>0</v>
      </c>
      <c r="J10" t="str">
        <v/>
      </c>
    </row>
    <row r="11" spans="1:16" x14ac:dyDescent="0.3">
      <c r="B11" s="65">
        <v>201950</v>
      </c>
      <c r="C11" s="66" t="s">
        <v>404</v>
      </c>
      <c r="D11" s="67">
        <v>45491</v>
      </c>
      <c r="E11" s="66" t="s">
        <v>152</v>
      </c>
      <c r="F11" s="66" t="s">
        <v>1068</v>
      </c>
      <c r="G11" s="66">
        <f>COUNTIFS(tblSales[Order ID],tblOrders1011[[#This Row],[Order]])</f>
        <v>2</v>
      </c>
      <c r="H11" s="68" t="b">
        <v>1</v>
      </c>
      <c r="J11" t="str">
        <v>Only one checkbox can be checked. See rows: 7, 9, 11</v>
      </c>
    </row>
    <row r="12" spans="1:16" x14ac:dyDescent="0.3">
      <c r="B12" s="65">
        <v>201934</v>
      </c>
      <c r="C12" s="66" t="s">
        <v>187</v>
      </c>
      <c r="D12" s="67">
        <v>45491</v>
      </c>
      <c r="E12" s="66" t="s">
        <v>149</v>
      </c>
      <c r="F12" s="66" t="s">
        <v>1067</v>
      </c>
      <c r="G12" s="66">
        <f>COUNTIFS(tblSales[Order ID],tblOrders1011[[#This Row],[Order]])</f>
        <v>1</v>
      </c>
      <c r="H12" s="68" t="b">
        <v>0</v>
      </c>
      <c r="J12" t="str">
        <v/>
      </c>
    </row>
    <row r="13" spans="1:16" x14ac:dyDescent="0.3">
      <c r="B13" s="65">
        <v>202011</v>
      </c>
      <c r="C13" s="66" t="s">
        <v>356</v>
      </c>
      <c r="D13" s="67">
        <v>45492</v>
      </c>
      <c r="E13" s="66" t="s">
        <v>152</v>
      </c>
      <c r="F13" s="66" t="s">
        <v>1068</v>
      </c>
      <c r="G13" s="66">
        <f>COUNTIFS(tblSales[Order ID],tblOrders1011[[#This Row],[Order]])</f>
        <v>5</v>
      </c>
      <c r="H13" s="68" t="b">
        <v>0</v>
      </c>
      <c r="J13" t="str">
        <v/>
      </c>
    </row>
    <row r="14" spans="1:16" x14ac:dyDescent="0.3">
      <c r="B14" s="65">
        <v>201990</v>
      </c>
      <c r="C14" s="66" t="s">
        <v>395</v>
      </c>
      <c r="D14" s="67">
        <v>45482</v>
      </c>
      <c r="E14" s="66" t="s">
        <v>149</v>
      </c>
      <c r="F14" s="66" t="s">
        <v>1067</v>
      </c>
      <c r="G14" s="66">
        <f>COUNTIFS(tblSales[Order ID],tblOrders1011[[#This Row],[Order]])</f>
        <v>5</v>
      </c>
      <c r="H14" s="68" t="b">
        <v>0</v>
      </c>
      <c r="J14" t="str">
        <v/>
      </c>
    </row>
    <row r="15" spans="1:16" x14ac:dyDescent="0.3">
      <c r="B15" s="65">
        <v>202167</v>
      </c>
      <c r="C15" s="66" t="s">
        <v>345</v>
      </c>
      <c r="D15" s="67">
        <v>45492</v>
      </c>
      <c r="E15" s="66" t="s">
        <v>149</v>
      </c>
      <c r="F15" s="66" t="s">
        <v>1067</v>
      </c>
      <c r="G15" s="66">
        <f>COUNTIFS(tblSales[Order ID],tblOrders1011[[#This Row],[Order]])</f>
        <v>4</v>
      </c>
      <c r="H15" s="68" t="b">
        <v>0</v>
      </c>
      <c r="J15" t="str">
        <v/>
      </c>
    </row>
    <row r="16" spans="1:16" x14ac:dyDescent="0.3">
      <c r="B16" s="65">
        <v>202081</v>
      </c>
      <c r="C16" s="66" t="s">
        <v>439</v>
      </c>
      <c r="D16" s="67">
        <v>45490</v>
      </c>
      <c r="E16" s="66" t="s">
        <v>149</v>
      </c>
      <c r="F16" s="66" t="s">
        <v>1067</v>
      </c>
      <c r="G16" s="66">
        <f>COUNTIFS(tblSales[Order ID],tblOrders1011[[#This Row],[Order]])</f>
        <v>5</v>
      </c>
      <c r="H16" s="68" t="b">
        <v>0</v>
      </c>
      <c r="J16" t="str">
        <v/>
      </c>
    </row>
    <row r="17" spans="2:10" x14ac:dyDescent="0.3">
      <c r="B17" s="65">
        <v>202148</v>
      </c>
      <c r="C17" s="66" t="s">
        <v>212</v>
      </c>
      <c r="D17" s="67">
        <v>45486</v>
      </c>
      <c r="E17" s="66" t="s">
        <v>152</v>
      </c>
      <c r="F17" s="66" t="s">
        <v>1067</v>
      </c>
      <c r="G17" s="66">
        <f>COUNTIFS(tblSales[Order ID],tblOrders1011[[#This Row],[Order]])</f>
        <v>4</v>
      </c>
      <c r="H17" s="68" t="b">
        <v>0</v>
      </c>
      <c r="J17" t="str">
        <v/>
      </c>
    </row>
    <row r="18" spans="2:10" x14ac:dyDescent="0.3">
      <c r="B18" s="65">
        <v>202051</v>
      </c>
      <c r="C18" s="66" t="s">
        <v>350</v>
      </c>
      <c r="D18" s="67">
        <v>45491</v>
      </c>
      <c r="E18" s="66" t="s">
        <v>149</v>
      </c>
      <c r="F18" s="66" t="s">
        <v>1067</v>
      </c>
      <c r="G18" s="66">
        <f>COUNTIFS(tblSales[Order ID],tblOrders1011[[#This Row],[Order]])</f>
        <v>1</v>
      </c>
      <c r="H18" s="68" t="b">
        <v>0</v>
      </c>
      <c r="J18" t="str">
        <v/>
      </c>
    </row>
    <row r="19" spans="2:10" x14ac:dyDescent="0.3">
      <c r="B19" s="65">
        <v>201912</v>
      </c>
      <c r="C19" s="66" t="s">
        <v>208</v>
      </c>
      <c r="D19" s="67">
        <v>45481</v>
      </c>
      <c r="E19" s="66" t="s">
        <v>149</v>
      </c>
      <c r="F19" s="66" t="s">
        <v>1068</v>
      </c>
      <c r="G19" s="66">
        <f>COUNTIFS(tblSales[Order ID],tblOrders1011[[#This Row],[Order]])</f>
        <v>1</v>
      </c>
      <c r="H19" s="68" t="b">
        <v>0</v>
      </c>
      <c r="J19" t="str">
        <v/>
      </c>
    </row>
    <row r="20" spans="2:10" x14ac:dyDescent="0.3">
      <c r="B20" s="65">
        <v>202008</v>
      </c>
      <c r="C20" s="66" t="s">
        <v>350</v>
      </c>
      <c r="D20" s="67">
        <v>45483</v>
      </c>
      <c r="E20" s="66" t="s">
        <v>149</v>
      </c>
      <c r="F20" s="66" t="s">
        <v>1067</v>
      </c>
      <c r="G20" s="66">
        <f>COUNTIFS(tblSales[Order ID],tblOrders1011[[#This Row],[Order]])</f>
        <v>4</v>
      </c>
      <c r="H20" s="68" t="b">
        <v>0</v>
      </c>
      <c r="J20" t="str">
        <v/>
      </c>
    </row>
    <row r="21" spans="2:10" x14ac:dyDescent="0.3">
      <c r="B21" s="65">
        <v>202049</v>
      </c>
      <c r="C21" s="66" t="s">
        <v>251</v>
      </c>
      <c r="D21" s="67">
        <v>45484</v>
      </c>
      <c r="E21" s="66" t="s">
        <v>149</v>
      </c>
      <c r="F21" s="66" t="s">
        <v>1067</v>
      </c>
      <c r="G21" s="66">
        <f>COUNTIFS(tblSales[Order ID],tblOrders1011[[#This Row],[Order]])</f>
        <v>1</v>
      </c>
      <c r="H21" s="68" t="b">
        <v>0</v>
      </c>
      <c r="J21" t="str">
        <v/>
      </c>
    </row>
    <row r="22" spans="2:10" x14ac:dyDescent="0.3">
      <c r="B22" s="65">
        <v>202003</v>
      </c>
      <c r="C22" s="66" t="s">
        <v>228</v>
      </c>
      <c r="D22" s="67">
        <v>45485</v>
      </c>
      <c r="E22" s="66" t="s">
        <v>152</v>
      </c>
      <c r="F22" s="66" t="s">
        <v>1067</v>
      </c>
      <c r="G22" s="66">
        <f>COUNTIFS(tblSales[Order ID],tblOrders1011[[#This Row],[Order]])</f>
        <v>1</v>
      </c>
      <c r="H22" s="68" t="b">
        <v>0</v>
      </c>
      <c r="J22" t="str">
        <v/>
      </c>
    </row>
    <row r="23" spans="2:10" x14ac:dyDescent="0.3">
      <c r="B23" s="65">
        <v>202095</v>
      </c>
      <c r="C23" s="66" t="s">
        <v>279</v>
      </c>
      <c r="D23" s="67">
        <v>45487</v>
      </c>
      <c r="E23" s="66" t="s">
        <v>149</v>
      </c>
      <c r="F23" s="66" t="s">
        <v>1067</v>
      </c>
      <c r="G23" s="66">
        <f>COUNTIFS(tblSales[Order ID],tblOrders1011[[#This Row],[Order]])</f>
        <v>1</v>
      </c>
      <c r="H23" s="68" t="b">
        <v>0</v>
      </c>
      <c r="J23" t="str">
        <v/>
      </c>
    </row>
    <row r="24" spans="2:10" x14ac:dyDescent="0.3">
      <c r="B24" s="65">
        <v>201972</v>
      </c>
      <c r="C24" s="66" t="s">
        <v>256</v>
      </c>
      <c r="D24" s="67">
        <v>45482</v>
      </c>
      <c r="E24" s="66" t="s">
        <v>149</v>
      </c>
      <c r="F24" s="66" t="s">
        <v>1067</v>
      </c>
      <c r="G24" s="66">
        <f>COUNTIFS(tblSales[Order ID],tblOrders1011[[#This Row],[Order]])</f>
        <v>1</v>
      </c>
      <c r="H24" s="68" t="b">
        <v>0</v>
      </c>
      <c r="J24" t="str">
        <v/>
      </c>
    </row>
    <row r="25" spans="2:10" x14ac:dyDescent="0.3">
      <c r="B25" s="65">
        <v>202169</v>
      </c>
      <c r="C25" s="66" t="s">
        <v>184</v>
      </c>
      <c r="D25" s="67">
        <v>45482</v>
      </c>
      <c r="E25" s="66" t="s">
        <v>149</v>
      </c>
      <c r="F25" s="66" t="s">
        <v>1067</v>
      </c>
      <c r="G25" s="66">
        <f>COUNTIFS(tblSales[Order ID],tblOrders1011[[#This Row],[Order]])</f>
        <v>5</v>
      </c>
      <c r="H25" s="68" t="b">
        <v>0</v>
      </c>
      <c r="J25" t="str">
        <v/>
      </c>
    </row>
    <row r="26" spans="2:10" x14ac:dyDescent="0.3">
      <c r="B26" s="65">
        <v>202130</v>
      </c>
      <c r="C26" s="66" t="s">
        <v>404</v>
      </c>
      <c r="D26" s="67">
        <v>45488</v>
      </c>
      <c r="E26" s="66" t="s">
        <v>149</v>
      </c>
      <c r="F26" s="66" t="s">
        <v>1069</v>
      </c>
      <c r="G26" s="66">
        <f>COUNTIFS(tblSales[Order ID],tblOrders1011[[#This Row],[Order]])</f>
        <v>1</v>
      </c>
      <c r="H26" s="68" t="b">
        <v>0</v>
      </c>
      <c r="J26" t="str">
        <v/>
      </c>
    </row>
    <row r="27" spans="2:10" x14ac:dyDescent="0.3">
      <c r="B27" s="65">
        <v>202085</v>
      </c>
      <c r="C27" s="66" t="s">
        <v>361</v>
      </c>
      <c r="D27" s="67">
        <v>45484</v>
      </c>
      <c r="E27" s="66" t="s">
        <v>152</v>
      </c>
      <c r="F27" s="66" t="s">
        <v>1067</v>
      </c>
      <c r="G27" s="66">
        <f>COUNTIFS(tblSales[Order ID],tblOrders1011[[#This Row],[Order]])</f>
        <v>2</v>
      </c>
      <c r="H27" s="68" t="b">
        <v>0</v>
      </c>
      <c r="J27" t="str">
        <v/>
      </c>
    </row>
    <row r="28" spans="2:10" x14ac:dyDescent="0.3">
      <c r="B28" s="65">
        <v>201986</v>
      </c>
      <c r="C28" s="66" t="s">
        <v>341</v>
      </c>
      <c r="D28" s="67">
        <v>45492</v>
      </c>
      <c r="E28" s="66" t="s">
        <v>149</v>
      </c>
      <c r="F28" s="66" t="s">
        <v>1067</v>
      </c>
      <c r="G28" s="66">
        <f>COUNTIFS(tblSales[Order ID],tblOrders1011[[#This Row],[Order]])</f>
        <v>1</v>
      </c>
      <c r="H28" s="68" t="b">
        <v>0</v>
      </c>
      <c r="J28" t="str">
        <v/>
      </c>
    </row>
    <row r="29" spans="2:10" x14ac:dyDescent="0.3">
      <c r="B29" s="65">
        <v>202059</v>
      </c>
      <c r="C29" s="66" t="s">
        <v>245</v>
      </c>
      <c r="D29" s="67">
        <v>45492</v>
      </c>
      <c r="E29" s="66" t="s">
        <v>149</v>
      </c>
      <c r="F29" s="66" t="s">
        <v>1067</v>
      </c>
      <c r="G29" s="66">
        <f>COUNTIFS(tblSales[Order ID],tblOrders1011[[#This Row],[Order]])</f>
        <v>4</v>
      </c>
      <c r="H29" s="68" t="b">
        <v>0</v>
      </c>
      <c r="J29" t="str">
        <v/>
      </c>
    </row>
    <row r="30" spans="2:10" x14ac:dyDescent="0.3">
      <c r="B30" s="65">
        <v>202137</v>
      </c>
      <c r="C30" s="66" t="s">
        <v>174</v>
      </c>
      <c r="D30" s="67">
        <v>45486</v>
      </c>
      <c r="E30" s="66" t="s">
        <v>149</v>
      </c>
      <c r="F30" s="66" t="s">
        <v>1068</v>
      </c>
      <c r="G30" s="66">
        <f>COUNTIFS(tblSales[Order ID],tblOrders1011[[#This Row],[Order]])</f>
        <v>1</v>
      </c>
      <c r="H30" s="68" t="b">
        <v>0</v>
      </c>
      <c r="J30" t="str">
        <v/>
      </c>
    </row>
    <row r="31" spans="2:10" x14ac:dyDescent="0.3">
      <c r="B31" s="65">
        <v>201945</v>
      </c>
      <c r="C31" s="66" t="s">
        <v>354</v>
      </c>
      <c r="D31" s="67">
        <v>45484</v>
      </c>
      <c r="E31" s="66" t="s">
        <v>149</v>
      </c>
      <c r="F31" s="66" t="s">
        <v>1067</v>
      </c>
      <c r="G31" s="66">
        <f>COUNTIFS(tblSales[Order ID],tblOrders1011[[#This Row],[Order]])</f>
        <v>4</v>
      </c>
      <c r="H31" s="68" t="b">
        <v>0</v>
      </c>
      <c r="J31" t="str">
        <v/>
      </c>
    </row>
    <row r="32" spans="2:10" x14ac:dyDescent="0.3">
      <c r="B32" s="65">
        <v>201982</v>
      </c>
      <c r="C32" s="66" t="s">
        <v>325</v>
      </c>
      <c r="D32" s="67">
        <v>45485</v>
      </c>
      <c r="E32" s="66" t="s">
        <v>152</v>
      </c>
      <c r="F32" s="66" t="s">
        <v>1067</v>
      </c>
      <c r="G32" s="66">
        <f>COUNTIFS(tblSales[Order ID],tblOrders1011[[#This Row],[Order]])</f>
        <v>1</v>
      </c>
      <c r="H32" s="68" t="b">
        <v>0</v>
      </c>
      <c r="J32" t="str">
        <v/>
      </c>
    </row>
    <row r="33" spans="2:10" x14ac:dyDescent="0.3">
      <c r="B33" s="65">
        <v>202151</v>
      </c>
      <c r="C33" s="66" t="s">
        <v>320</v>
      </c>
      <c r="D33" s="67">
        <v>45484</v>
      </c>
      <c r="E33" s="66" t="s">
        <v>149</v>
      </c>
      <c r="F33" s="66" t="s">
        <v>1067</v>
      </c>
      <c r="G33" s="66">
        <f>COUNTIFS(tblSales[Order ID],tblOrders1011[[#This Row],[Order]])</f>
        <v>6</v>
      </c>
      <c r="H33" s="68" t="b">
        <v>0</v>
      </c>
      <c r="J33" t="str">
        <v/>
      </c>
    </row>
    <row r="34" spans="2:10" x14ac:dyDescent="0.3">
      <c r="B34" s="65">
        <v>201993</v>
      </c>
      <c r="C34" s="66" t="s">
        <v>356</v>
      </c>
      <c r="D34" s="67">
        <v>45486</v>
      </c>
      <c r="E34" s="66" t="s">
        <v>152</v>
      </c>
      <c r="F34" s="66" t="s">
        <v>1067</v>
      </c>
      <c r="G34" s="66">
        <f>COUNTIFS(tblSales[Order ID],tblOrders1011[[#This Row],[Order]])</f>
        <v>1</v>
      </c>
      <c r="H34" s="68" t="b">
        <v>0</v>
      </c>
      <c r="J34" t="str">
        <v/>
      </c>
    </row>
    <row r="35" spans="2:10" x14ac:dyDescent="0.3">
      <c r="B35" s="65">
        <v>202036</v>
      </c>
      <c r="C35" s="66" t="s">
        <v>262</v>
      </c>
      <c r="D35" s="67">
        <v>45486</v>
      </c>
      <c r="E35" s="66" t="s">
        <v>149</v>
      </c>
      <c r="F35" s="66" t="s">
        <v>1067</v>
      </c>
      <c r="G35" s="66">
        <f>COUNTIFS(tblSales[Order ID],tblOrders1011[[#This Row],[Order]])</f>
        <v>1</v>
      </c>
      <c r="H35" s="68" t="b">
        <v>0</v>
      </c>
      <c r="J35" t="str">
        <v/>
      </c>
    </row>
    <row r="36" spans="2:10" x14ac:dyDescent="0.3">
      <c r="B36" s="65">
        <v>202073</v>
      </c>
      <c r="C36" s="66" t="s">
        <v>187</v>
      </c>
      <c r="D36" s="67">
        <v>45486</v>
      </c>
      <c r="E36" s="66" t="s">
        <v>149</v>
      </c>
      <c r="F36" s="66" t="s">
        <v>1067</v>
      </c>
      <c r="G36" s="66">
        <f>COUNTIFS(tblSales[Order ID],tblOrders1011[[#This Row],[Order]])</f>
        <v>6</v>
      </c>
      <c r="H36" s="68" t="b">
        <v>0</v>
      </c>
      <c r="J36" t="str">
        <v/>
      </c>
    </row>
    <row r="37" spans="2:10" x14ac:dyDescent="0.3">
      <c r="I37" s="55"/>
    </row>
    <row r="38" spans="2:10" x14ac:dyDescent="0.3">
      <c r="I38" s="55"/>
    </row>
    <row r="39" spans="2:10" x14ac:dyDescent="0.3">
      <c r="I39" s="55"/>
    </row>
    <row r="40" spans="2:10" x14ac:dyDescent="0.3">
      <c r="I40" s="55"/>
    </row>
    <row r="41" spans="2:10" x14ac:dyDescent="0.3">
      <c r="I41" s="55"/>
    </row>
    <row r="42" spans="2:10" x14ac:dyDescent="0.3">
      <c r="I42" s="55"/>
    </row>
    <row r="43" spans="2:10" x14ac:dyDescent="0.3">
      <c r="I43" s="55"/>
    </row>
    <row r="44" spans="2:10" x14ac:dyDescent="0.3">
      <c r="I44" s="55"/>
    </row>
    <row r="45" spans="2:10" x14ac:dyDescent="0.3">
      <c r="I45" s="55"/>
    </row>
    <row r="46" spans="2:10" x14ac:dyDescent="0.3">
      <c r="I46" s="55"/>
    </row>
    <row r="47" spans="2:10" x14ac:dyDescent="0.3">
      <c r="I47" s="55"/>
    </row>
    <row r="48" spans="2:10" x14ac:dyDescent="0.3">
      <c r="I48" s="55"/>
    </row>
    <row r="49" spans="9:9" x14ac:dyDescent="0.3">
      <c r="I49" s="55"/>
    </row>
    <row r="50" spans="9:9" x14ac:dyDescent="0.3">
      <c r="I50" s="55"/>
    </row>
    <row r="51" spans="9:9" x14ac:dyDescent="0.3">
      <c r="I51" s="55"/>
    </row>
  </sheetData>
  <conditionalFormatting sqref="B4:H36">
    <cfRule type="expression" dxfId="21" priority="4">
      <formula>$H4</formula>
    </cfRule>
  </conditionalFormatting>
  <conditionalFormatting sqref="J4:J36">
    <cfRule type="expression" dxfId="20" priority="1" stopIfTrue="1">
      <formula>AND($H4,$O$4=$J4)</formula>
    </cfRule>
  </conditionalFormatting>
  <conditionalFormatting sqref="J4:K43">
    <cfRule type="cellIs" dxfId="19" priority="3" operator="notEqual">
      <formula>""</formula>
    </cfRule>
  </conditionalFormatting>
  <conditionalFormatting sqref="J4:K51">
    <cfRule type="expression" dxfId="18" priority="2">
      <formula>$J4="Product"</formula>
    </cfRule>
  </conditionalFormatting>
  <hyperlinks>
    <hyperlink ref="A1" location="'TOC Gallery'!A1" tooltip="Go To Table of Contents" display="'TOC Gallery'!A1" xr:uid="{76250A01-FD6C-4193-9A95-22DFCFA1AFB7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D423-CB3F-40BB-B726-7DD4D6137372}">
  <sheetPr>
    <tabColor theme="4"/>
  </sheetPr>
  <dimension ref="A1:Q662"/>
  <sheetViews>
    <sheetView workbookViewId="0"/>
  </sheetViews>
  <sheetFormatPr defaultRowHeight="14.4" x14ac:dyDescent="0.3"/>
  <cols>
    <col min="1" max="1" width="10.6640625" customWidth="1"/>
    <col min="2" max="2" width="9.44140625" bestFit="1" customWidth="1"/>
    <col min="3" max="3" width="14.5546875" customWidth="1"/>
    <col min="4" max="4" width="12.5546875" customWidth="1"/>
    <col min="5" max="5" width="11.5546875" bestFit="1" customWidth="1"/>
    <col min="6" max="6" width="33.44140625" bestFit="1" customWidth="1"/>
    <col min="7" max="7" width="6.44140625" bestFit="1" customWidth="1"/>
    <col min="8" max="8" width="9.5546875" bestFit="1" customWidth="1"/>
    <col min="9" max="9" width="15.44140625" customWidth="1"/>
    <col min="10" max="10" width="15.5546875" customWidth="1"/>
    <col min="11" max="11" width="17.6640625" customWidth="1"/>
    <col min="12" max="12" width="18" bestFit="1" customWidth="1"/>
    <col min="13" max="13" width="21.88671875" customWidth="1"/>
    <col min="14" max="14" width="22.33203125" bestFit="1" customWidth="1"/>
    <col min="15" max="15" width="17" bestFit="1" customWidth="1"/>
    <col min="16" max="16" width="14.5546875" bestFit="1" customWidth="1"/>
  </cols>
  <sheetData>
    <row r="1" spans="1:17" x14ac:dyDescent="0.3">
      <c r="A1" t="s">
        <v>1025</v>
      </c>
      <c r="B1" t="s">
        <v>98</v>
      </c>
      <c r="C1" t="s">
        <v>556</v>
      </c>
      <c r="D1" t="s">
        <v>1026</v>
      </c>
      <c r="E1" t="s">
        <v>1028</v>
      </c>
      <c r="F1" t="s">
        <v>1027</v>
      </c>
      <c r="G1" t="s">
        <v>138</v>
      </c>
      <c r="H1" t="s">
        <v>1029</v>
      </c>
      <c r="I1" t="s">
        <v>1030</v>
      </c>
      <c r="J1" t="s">
        <v>1031</v>
      </c>
      <c r="K1" t="s">
        <v>1032</v>
      </c>
      <c r="L1" t="s">
        <v>1033</v>
      </c>
      <c r="M1" t="s">
        <v>1034</v>
      </c>
      <c r="N1" t="s">
        <v>1035</v>
      </c>
      <c r="O1" t="s">
        <v>1036</v>
      </c>
      <c r="P1" t="s">
        <v>1037</v>
      </c>
      <c r="Q1" t="s">
        <v>1038</v>
      </c>
    </row>
    <row r="2" spans="1:17" x14ac:dyDescent="0.3">
      <c r="A2">
        <v>201897</v>
      </c>
      <c r="B2" s="15">
        <v>45486</v>
      </c>
      <c r="C2">
        <v>105445</v>
      </c>
      <c r="D2">
        <v>300190</v>
      </c>
      <c r="E2" t="s">
        <v>1040</v>
      </c>
      <c r="F2" t="s">
        <v>1039</v>
      </c>
      <c r="G2">
        <v>1</v>
      </c>
      <c r="H2" s="59">
        <v>35.99</v>
      </c>
      <c r="I2" t="s">
        <v>1041</v>
      </c>
      <c r="J2" t="s">
        <v>14</v>
      </c>
      <c r="K2" s="60" t="s">
        <v>14</v>
      </c>
      <c r="L2" s="59">
        <v>0</v>
      </c>
      <c r="M2" s="61">
        <v>35.99</v>
      </c>
      <c r="N2">
        <f ca="1">IF(LEFT(tblSales[[#This Row],[Category]],1)="A",RANDBETWEEN(1,4),RANDBETWEEN(2,7))</f>
        <v>4</v>
      </c>
      <c r="O2" s="61">
        <f>IF(COUNTIF($A$2:A2,A2)=1,SUMIFS(tblSales[Revenue],tblSales[Order ID],tblSales[[#This Row],[Order ID]]),"")</f>
        <v>304.94</v>
      </c>
      <c r="P2" t="str">
        <f>TEXT(tblSales[[#This Row],[Date]],"ddd")</f>
        <v>Sat</v>
      </c>
      <c r="Q2">
        <f>1/COUNTIF(tblSales[Order ID],tblSales[[#This Row],[Order ID]])</f>
        <v>0.25</v>
      </c>
    </row>
    <row r="3" spans="1:17" x14ac:dyDescent="0.3">
      <c r="A3">
        <v>201897</v>
      </c>
      <c r="B3" s="15">
        <v>45486</v>
      </c>
      <c r="C3">
        <v>105445</v>
      </c>
      <c r="D3">
        <v>200549</v>
      </c>
      <c r="E3" t="s">
        <v>1043</v>
      </c>
      <c r="F3" t="s">
        <v>1042</v>
      </c>
      <c r="G3">
        <v>1</v>
      </c>
      <c r="H3" s="59">
        <v>18.989999999999998</v>
      </c>
      <c r="I3" t="s">
        <v>1041</v>
      </c>
      <c r="J3" t="s">
        <v>14</v>
      </c>
      <c r="K3" s="60" t="s">
        <v>14</v>
      </c>
      <c r="L3" s="59">
        <v>0</v>
      </c>
      <c r="M3" s="61">
        <v>18.989999999999998</v>
      </c>
      <c r="N3">
        <f ca="1">IF(LEFT(tblSales[[#This Row],[Category]],1)="A",RANDBETWEEN(1,4),RANDBETWEEN(2,7))</f>
        <v>4</v>
      </c>
      <c r="O3" s="61" t="str">
        <f>IF(COUNTIF($A$2:A3,A3)=1,SUMIFS(tblSales[Revenue],tblSales[Order ID],tblSales[[#This Row],[Order ID]]),"")</f>
        <v/>
      </c>
      <c r="P3" t="str">
        <f>TEXT(tblSales[[#This Row],[Date]],"ddd")</f>
        <v>Sat</v>
      </c>
      <c r="Q3">
        <f>1/COUNTIF(tblSales[Order ID],tblSales[[#This Row],[Order ID]])</f>
        <v>0.25</v>
      </c>
    </row>
    <row r="4" spans="1:17" x14ac:dyDescent="0.3">
      <c r="A4">
        <v>201897</v>
      </c>
      <c r="B4" s="15">
        <v>45486</v>
      </c>
      <c r="C4">
        <v>105445</v>
      </c>
      <c r="D4">
        <v>200556</v>
      </c>
      <c r="E4" t="s">
        <v>1043</v>
      </c>
      <c r="F4" t="s">
        <v>1044</v>
      </c>
      <c r="G4">
        <v>2</v>
      </c>
      <c r="H4" s="59">
        <v>64.989999999999995</v>
      </c>
      <c r="I4" t="s">
        <v>1041</v>
      </c>
      <c r="J4" t="s">
        <v>14</v>
      </c>
      <c r="K4" s="60" t="s">
        <v>14</v>
      </c>
      <c r="L4" s="59">
        <v>0</v>
      </c>
      <c r="M4" s="61">
        <v>129.97999999999999</v>
      </c>
      <c r="N4">
        <f ca="1">IF(LEFT(tblSales[[#This Row],[Category]],1)="A",RANDBETWEEN(1,4),RANDBETWEEN(2,7))</f>
        <v>4</v>
      </c>
      <c r="O4" s="61" t="str">
        <f>IF(COUNTIF($A$2:A4,A4)=1,SUMIFS(tblSales[Revenue],tblSales[Order ID],tblSales[[#This Row],[Order ID]]),"")</f>
        <v/>
      </c>
      <c r="P4" t="str">
        <f>TEXT(tblSales[[#This Row],[Date]],"ddd")</f>
        <v>Sat</v>
      </c>
      <c r="Q4">
        <f>1/COUNTIF(tblSales[Order ID],tblSales[[#This Row],[Order ID]])</f>
        <v>0.25</v>
      </c>
    </row>
    <row r="5" spans="1:17" x14ac:dyDescent="0.3">
      <c r="A5">
        <v>201897</v>
      </c>
      <c r="B5" s="15">
        <v>45486</v>
      </c>
      <c r="C5">
        <v>105445</v>
      </c>
      <c r="D5">
        <v>200559</v>
      </c>
      <c r="E5" t="s">
        <v>1043</v>
      </c>
      <c r="F5" t="s">
        <v>1045</v>
      </c>
      <c r="G5">
        <v>2</v>
      </c>
      <c r="H5" s="59">
        <v>59.99</v>
      </c>
      <c r="I5" t="s">
        <v>1041</v>
      </c>
      <c r="J5" t="s">
        <v>14</v>
      </c>
      <c r="K5" s="60" t="s">
        <v>14</v>
      </c>
      <c r="L5" s="59">
        <v>0</v>
      </c>
      <c r="M5" s="61">
        <v>119.98</v>
      </c>
      <c r="N5">
        <f ca="1">IF(LEFT(tblSales[[#This Row],[Category]],1)="A",RANDBETWEEN(1,4),RANDBETWEEN(2,7))</f>
        <v>1</v>
      </c>
      <c r="O5" s="61" t="str">
        <f>IF(COUNTIF($A$2:A5,A5)=1,SUMIFS(tblSales[Revenue],tblSales[Order ID],tblSales[[#This Row],[Order ID]]),"")</f>
        <v/>
      </c>
      <c r="P5" t="str">
        <f>TEXT(tblSales[[#This Row],[Date]],"ddd")</f>
        <v>Sat</v>
      </c>
      <c r="Q5">
        <f>1/COUNTIF(tblSales[Order ID],tblSales[[#This Row],[Order ID]])</f>
        <v>0.25</v>
      </c>
    </row>
    <row r="6" spans="1:17" x14ac:dyDescent="0.3">
      <c r="A6">
        <v>201898</v>
      </c>
      <c r="B6" s="15">
        <v>45492</v>
      </c>
      <c r="C6">
        <v>111130</v>
      </c>
      <c r="D6">
        <v>100257</v>
      </c>
      <c r="E6" t="s">
        <v>1046</v>
      </c>
      <c r="F6" t="s">
        <v>180</v>
      </c>
      <c r="G6">
        <v>1</v>
      </c>
      <c r="H6" s="59">
        <v>379</v>
      </c>
      <c r="I6" t="s">
        <v>120</v>
      </c>
      <c r="J6" t="s">
        <v>1047</v>
      </c>
      <c r="K6" s="60">
        <v>0.1</v>
      </c>
      <c r="L6" s="59">
        <v>37.9</v>
      </c>
      <c r="M6" s="61">
        <v>341.1</v>
      </c>
      <c r="N6">
        <f ca="1">IF(LEFT(tblSales[[#This Row],[Category]],1)="A",RANDBETWEEN(1,4),RANDBETWEEN(2,7))</f>
        <v>5</v>
      </c>
      <c r="O6" s="61">
        <f>IF(COUNTIF($A$2:A6,A6)=1,SUMIFS(tblSales[Revenue],tblSales[Order ID],tblSales[[#This Row],[Order ID]]),"")</f>
        <v>1022.355</v>
      </c>
      <c r="P6" t="str">
        <f>TEXT(tblSales[[#This Row],[Date]],"ddd")</f>
        <v>Fri</v>
      </c>
      <c r="Q6">
        <f>1/COUNTIF(tblSales[Order ID],tblSales[[#This Row],[Order ID]])</f>
        <v>0.25</v>
      </c>
    </row>
    <row r="7" spans="1:17" x14ac:dyDescent="0.3">
      <c r="A7">
        <v>201898</v>
      </c>
      <c r="B7" s="15">
        <v>45492</v>
      </c>
      <c r="C7">
        <v>111130</v>
      </c>
      <c r="D7">
        <v>100252</v>
      </c>
      <c r="E7" t="s">
        <v>1046</v>
      </c>
      <c r="F7" t="s">
        <v>158</v>
      </c>
      <c r="G7">
        <v>1</v>
      </c>
      <c r="H7" s="59">
        <v>449</v>
      </c>
      <c r="I7" t="s">
        <v>120</v>
      </c>
      <c r="J7" t="s">
        <v>1047</v>
      </c>
      <c r="K7" s="60">
        <v>0.1</v>
      </c>
      <c r="L7" s="59">
        <v>44.900000000000006</v>
      </c>
      <c r="M7" s="61">
        <v>404.1</v>
      </c>
      <c r="N7">
        <f ca="1">IF(LEFT(tblSales[[#This Row],[Category]],1)="A",RANDBETWEEN(1,4),RANDBETWEEN(2,7))</f>
        <v>2</v>
      </c>
      <c r="O7" s="61" t="str">
        <f>IF(COUNTIF($A$2:A7,A7)=1,SUMIFS(tblSales[Revenue],tblSales[Order ID],tblSales[[#This Row],[Order ID]]),"")</f>
        <v/>
      </c>
      <c r="P7" t="str">
        <f>TEXT(tblSales[[#This Row],[Date]],"ddd")</f>
        <v>Fri</v>
      </c>
      <c r="Q7">
        <f>1/COUNTIF(tblSales[Order ID],tblSales[[#This Row],[Order ID]])</f>
        <v>0.25</v>
      </c>
    </row>
    <row r="8" spans="1:17" x14ac:dyDescent="0.3">
      <c r="A8">
        <v>201898</v>
      </c>
      <c r="B8" s="15">
        <v>45492</v>
      </c>
      <c r="C8">
        <v>111130</v>
      </c>
      <c r="D8">
        <v>200559</v>
      </c>
      <c r="E8" t="s">
        <v>1043</v>
      </c>
      <c r="F8" t="s">
        <v>1045</v>
      </c>
      <c r="G8">
        <v>4</v>
      </c>
      <c r="H8" s="59">
        <v>59.99</v>
      </c>
      <c r="I8" t="s">
        <v>120</v>
      </c>
      <c r="J8" t="s">
        <v>1047</v>
      </c>
      <c r="K8" s="60">
        <v>0.1</v>
      </c>
      <c r="L8" s="59">
        <v>23.996000000000002</v>
      </c>
      <c r="M8" s="61">
        <v>215.964</v>
      </c>
      <c r="N8">
        <f ca="1">IF(LEFT(tblSales[[#This Row],[Category]],1)="A",RANDBETWEEN(1,4),RANDBETWEEN(2,7))</f>
        <v>1</v>
      </c>
      <c r="O8" s="61" t="str">
        <f>IF(COUNTIF($A$2:A8,A8)=1,SUMIFS(tblSales[Revenue],tblSales[Order ID],tblSales[[#This Row],[Order ID]]),"")</f>
        <v/>
      </c>
      <c r="P8" t="str">
        <f>TEXT(tblSales[[#This Row],[Date]],"ddd")</f>
        <v>Fri</v>
      </c>
      <c r="Q8">
        <f>1/COUNTIF(tblSales[Order ID],tblSales[[#This Row],[Order ID]])</f>
        <v>0.25</v>
      </c>
    </row>
    <row r="9" spans="1:17" x14ac:dyDescent="0.3">
      <c r="A9">
        <v>201898</v>
      </c>
      <c r="B9" s="15">
        <v>45492</v>
      </c>
      <c r="C9">
        <v>111130</v>
      </c>
      <c r="D9">
        <v>200554</v>
      </c>
      <c r="E9" t="s">
        <v>1043</v>
      </c>
      <c r="F9" t="s">
        <v>1048</v>
      </c>
      <c r="G9">
        <v>1</v>
      </c>
      <c r="H9" s="59">
        <v>67.989999999999995</v>
      </c>
      <c r="I9" t="s">
        <v>120</v>
      </c>
      <c r="J9" t="s">
        <v>1047</v>
      </c>
      <c r="K9" s="60">
        <v>0.1</v>
      </c>
      <c r="L9" s="59">
        <v>6.7989999999999995</v>
      </c>
      <c r="M9" s="61">
        <v>61.190999999999995</v>
      </c>
      <c r="N9">
        <f ca="1">IF(LEFT(tblSales[[#This Row],[Category]],1)="A",RANDBETWEEN(1,4),RANDBETWEEN(2,7))</f>
        <v>4</v>
      </c>
      <c r="O9" s="61" t="str">
        <f>IF(COUNTIF($A$2:A9,A9)=1,SUMIFS(tblSales[Revenue],tblSales[Order ID],tblSales[[#This Row],[Order ID]]),"")</f>
        <v/>
      </c>
      <c r="P9" t="str">
        <f>TEXT(tblSales[[#This Row],[Date]],"ddd")</f>
        <v>Fri</v>
      </c>
      <c r="Q9">
        <f>1/COUNTIF(tblSales[Order ID],tblSales[[#This Row],[Order ID]])</f>
        <v>0.25</v>
      </c>
    </row>
    <row r="10" spans="1:17" x14ac:dyDescent="0.3">
      <c r="A10">
        <v>201899</v>
      </c>
      <c r="B10" s="15">
        <v>45493</v>
      </c>
      <c r="C10">
        <v>123092</v>
      </c>
      <c r="D10">
        <v>200559</v>
      </c>
      <c r="E10" t="s">
        <v>1043</v>
      </c>
      <c r="F10" t="s">
        <v>1045</v>
      </c>
      <c r="G10">
        <v>2</v>
      </c>
      <c r="H10" s="59">
        <v>59.99</v>
      </c>
      <c r="I10" t="s">
        <v>1041</v>
      </c>
      <c r="J10" t="s">
        <v>14</v>
      </c>
      <c r="K10" s="60" t="s">
        <v>14</v>
      </c>
      <c r="L10" s="59">
        <v>0</v>
      </c>
      <c r="M10" s="61">
        <v>119.98</v>
      </c>
      <c r="N10">
        <f ca="1">IF(LEFT(tblSales[[#This Row],[Category]],1)="A",RANDBETWEEN(1,4),RANDBETWEEN(2,7))</f>
        <v>1</v>
      </c>
      <c r="O10" s="61">
        <f>IF(COUNTIF($A$2:A10,A10)=1,SUMIFS(tblSales[Revenue],tblSales[Order ID],tblSales[[#This Row],[Order ID]]),"")</f>
        <v>119.98</v>
      </c>
      <c r="P10" t="str">
        <f>TEXT(tblSales[[#This Row],[Date]],"ddd")</f>
        <v>Sat</v>
      </c>
      <c r="Q10">
        <f>1/COUNTIF(tblSales[Order ID],tblSales[[#This Row],[Order ID]])</f>
        <v>1</v>
      </c>
    </row>
    <row r="11" spans="1:17" x14ac:dyDescent="0.3">
      <c r="A11">
        <v>201900</v>
      </c>
      <c r="B11" s="15">
        <v>45493</v>
      </c>
      <c r="C11">
        <v>128381</v>
      </c>
      <c r="D11">
        <v>300185</v>
      </c>
      <c r="E11" t="s">
        <v>1040</v>
      </c>
      <c r="F11" t="s">
        <v>1049</v>
      </c>
      <c r="G11">
        <v>2</v>
      </c>
      <c r="H11" s="59">
        <v>29.99</v>
      </c>
      <c r="I11" t="s">
        <v>1041</v>
      </c>
      <c r="J11" t="s">
        <v>14</v>
      </c>
      <c r="K11" s="60" t="s">
        <v>14</v>
      </c>
      <c r="L11" s="59">
        <v>0</v>
      </c>
      <c r="M11" s="61">
        <v>59.98</v>
      </c>
      <c r="N11">
        <f ca="1">IF(LEFT(tblSales[[#This Row],[Category]],1)="A",RANDBETWEEN(1,4),RANDBETWEEN(2,7))</f>
        <v>1</v>
      </c>
      <c r="O11" s="61">
        <f>IF(COUNTIF($A$2:A11,A11)=1,SUMIFS(tblSales[Revenue],tblSales[Order ID],tblSales[[#This Row],[Order ID]]),"")</f>
        <v>59.98</v>
      </c>
      <c r="P11" t="str">
        <f>TEXT(tblSales[[#This Row],[Date]],"ddd")</f>
        <v>Sat</v>
      </c>
      <c r="Q11">
        <f>1/COUNTIF(tblSales[Order ID],tblSales[[#This Row],[Order ID]])</f>
        <v>1</v>
      </c>
    </row>
    <row r="12" spans="1:17" x14ac:dyDescent="0.3">
      <c r="A12">
        <v>201901</v>
      </c>
      <c r="B12" s="15">
        <v>45492</v>
      </c>
      <c r="C12">
        <v>105822</v>
      </c>
      <c r="D12">
        <v>100249</v>
      </c>
      <c r="E12" t="s">
        <v>1046</v>
      </c>
      <c r="F12" t="s">
        <v>190</v>
      </c>
      <c r="G12">
        <v>1</v>
      </c>
      <c r="H12" s="59">
        <v>249</v>
      </c>
      <c r="I12" t="s">
        <v>1041</v>
      </c>
      <c r="J12" t="s">
        <v>14</v>
      </c>
      <c r="K12" s="60" t="s">
        <v>14</v>
      </c>
      <c r="L12" s="59">
        <v>0</v>
      </c>
      <c r="M12" s="61">
        <v>249</v>
      </c>
      <c r="N12">
        <f ca="1">IF(LEFT(tblSales[[#This Row],[Category]],1)="A",RANDBETWEEN(1,4),RANDBETWEEN(2,7))</f>
        <v>6</v>
      </c>
      <c r="O12" s="61">
        <f>IF(COUNTIF($A$2:A12,A12)=1,SUMIFS(tblSales[Revenue],tblSales[Order ID],tblSales[[#This Row],[Order ID]]),"")</f>
        <v>249</v>
      </c>
      <c r="P12" t="str">
        <f>TEXT(tblSales[[#This Row],[Date]],"ddd")</f>
        <v>Fri</v>
      </c>
      <c r="Q12">
        <f>1/COUNTIF(tblSales[Order ID],tblSales[[#This Row],[Order ID]])</f>
        <v>1</v>
      </c>
    </row>
    <row r="13" spans="1:17" x14ac:dyDescent="0.3">
      <c r="A13">
        <v>201902</v>
      </c>
      <c r="B13" s="15">
        <v>45486</v>
      </c>
      <c r="C13">
        <v>115778</v>
      </c>
      <c r="D13">
        <v>200549</v>
      </c>
      <c r="E13" t="s">
        <v>1043</v>
      </c>
      <c r="F13" t="s">
        <v>1042</v>
      </c>
      <c r="G13">
        <v>1</v>
      </c>
      <c r="H13" s="59">
        <v>18.989999999999998</v>
      </c>
      <c r="I13" t="s">
        <v>1041</v>
      </c>
      <c r="J13" t="s">
        <v>14</v>
      </c>
      <c r="K13" s="60" t="s">
        <v>14</v>
      </c>
      <c r="L13" s="59">
        <v>0</v>
      </c>
      <c r="M13" s="61">
        <v>18.989999999999998</v>
      </c>
      <c r="N13">
        <f ca="1">IF(LEFT(tblSales[[#This Row],[Category]],1)="A",RANDBETWEEN(1,4),RANDBETWEEN(2,7))</f>
        <v>1</v>
      </c>
      <c r="O13" s="61">
        <f>IF(COUNTIF($A$2:A13,A13)=1,SUMIFS(tblSales[Revenue],tblSales[Order ID],tblSales[[#This Row],[Order ID]]),"")</f>
        <v>18.989999999999998</v>
      </c>
      <c r="P13" t="str">
        <f>TEXT(tblSales[[#This Row],[Date]],"ddd")</f>
        <v>Sat</v>
      </c>
      <c r="Q13">
        <f>1/COUNTIF(tblSales[Order ID],tblSales[[#This Row],[Order ID]])</f>
        <v>1</v>
      </c>
    </row>
    <row r="14" spans="1:17" x14ac:dyDescent="0.3">
      <c r="A14">
        <v>201903</v>
      </c>
      <c r="B14" s="15">
        <v>45492</v>
      </c>
      <c r="C14">
        <v>105996</v>
      </c>
      <c r="D14">
        <v>200559</v>
      </c>
      <c r="E14" t="s">
        <v>1043</v>
      </c>
      <c r="F14" t="s">
        <v>1045</v>
      </c>
      <c r="G14">
        <v>1</v>
      </c>
      <c r="H14" s="59">
        <v>59.99</v>
      </c>
      <c r="I14" t="s">
        <v>1041</v>
      </c>
      <c r="J14" t="s">
        <v>14</v>
      </c>
      <c r="K14" s="60" t="s">
        <v>14</v>
      </c>
      <c r="L14" s="59">
        <v>0</v>
      </c>
      <c r="M14" s="61">
        <v>59.99</v>
      </c>
      <c r="N14">
        <f ca="1">IF(LEFT(tblSales[[#This Row],[Category]],1)="A",RANDBETWEEN(1,4),RANDBETWEEN(2,7))</f>
        <v>3</v>
      </c>
      <c r="O14" s="61">
        <f>IF(COUNTIF($A$2:A14,A14)=1,SUMIFS(tblSales[Revenue],tblSales[Order ID],tblSales[[#This Row],[Order ID]]),"")</f>
        <v>967.95</v>
      </c>
      <c r="P14" t="str">
        <f>TEXT(tblSales[[#This Row],[Date]],"ddd")</f>
        <v>Fri</v>
      </c>
      <c r="Q14">
        <f>1/COUNTIF(tblSales[Order ID],tblSales[[#This Row],[Order ID]])</f>
        <v>0.25</v>
      </c>
    </row>
    <row r="15" spans="1:17" x14ac:dyDescent="0.3">
      <c r="A15">
        <v>201903</v>
      </c>
      <c r="B15" s="15">
        <v>45492</v>
      </c>
      <c r="C15">
        <v>105996</v>
      </c>
      <c r="D15">
        <v>100254</v>
      </c>
      <c r="E15" t="s">
        <v>1046</v>
      </c>
      <c r="F15" t="s">
        <v>164</v>
      </c>
      <c r="G15">
        <v>1</v>
      </c>
      <c r="H15" s="59">
        <v>799</v>
      </c>
      <c r="I15" t="s">
        <v>1041</v>
      </c>
      <c r="J15" t="s">
        <v>14</v>
      </c>
      <c r="K15" s="60" t="s">
        <v>14</v>
      </c>
      <c r="L15" s="59">
        <v>0</v>
      </c>
      <c r="M15" s="61">
        <v>799</v>
      </c>
      <c r="N15">
        <f ca="1">IF(LEFT(tblSales[[#This Row],[Category]],1)="A",RANDBETWEEN(1,4),RANDBETWEEN(2,7))</f>
        <v>6</v>
      </c>
      <c r="O15" s="61" t="str">
        <f>IF(COUNTIF($A$2:A15,A15)=1,SUMIFS(tblSales[Revenue],tblSales[Order ID],tblSales[[#This Row],[Order ID]]),"")</f>
        <v/>
      </c>
      <c r="P15" t="str">
        <f>TEXT(tblSales[[#This Row],[Date]],"ddd")</f>
        <v>Fri</v>
      </c>
      <c r="Q15">
        <f>1/COUNTIF(tblSales[Order ID],tblSales[[#This Row],[Order ID]])</f>
        <v>0.25</v>
      </c>
    </row>
    <row r="16" spans="1:17" x14ac:dyDescent="0.3">
      <c r="A16">
        <v>201903</v>
      </c>
      <c r="B16" s="15">
        <v>45492</v>
      </c>
      <c r="C16">
        <v>105996</v>
      </c>
      <c r="D16">
        <v>200549</v>
      </c>
      <c r="E16" t="s">
        <v>1043</v>
      </c>
      <c r="F16" t="s">
        <v>1042</v>
      </c>
      <c r="G16">
        <v>1</v>
      </c>
      <c r="H16" s="59">
        <v>18.989999999999998</v>
      </c>
      <c r="I16" t="s">
        <v>1041</v>
      </c>
      <c r="J16" t="s">
        <v>14</v>
      </c>
      <c r="K16" s="60" t="s">
        <v>14</v>
      </c>
      <c r="L16" s="59">
        <v>0</v>
      </c>
      <c r="M16" s="61">
        <v>18.989999999999998</v>
      </c>
      <c r="N16">
        <f ca="1">IF(LEFT(tblSales[[#This Row],[Category]],1)="A",RANDBETWEEN(1,4),RANDBETWEEN(2,7))</f>
        <v>1</v>
      </c>
      <c r="O16" s="61" t="str">
        <f>IF(COUNTIF($A$2:A16,A16)=1,SUMIFS(tblSales[Revenue],tblSales[Order ID],tblSales[[#This Row],[Order ID]]),"")</f>
        <v/>
      </c>
      <c r="P16" t="str">
        <f>TEXT(tblSales[[#This Row],[Date]],"ddd")</f>
        <v>Fri</v>
      </c>
      <c r="Q16">
        <f>1/COUNTIF(tblSales[Order ID],tblSales[[#This Row],[Order ID]])</f>
        <v>0.25</v>
      </c>
    </row>
    <row r="17" spans="1:17" x14ac:dyDescent="0.3">
      <c r="A17">
        <v>201903</v>
      </c>
      <c r="B17" s="15">
        <v>45492</v>
      </c>
      <c r="C17">
        <v>105996</v>
      </c>
      <c r="D17">
        <v>300185</v>
      </c>
      <c r="E17" t="s">
        <v>1040</v>
      </c>
      <c r="F17" t="s">
        <v>1049</v>
      </c>
      <c r="G17">
        <v>3</v>
      </c>
      <c r="H17" s="59">
        <v>29.99</v>
      </c>
      <c r="I17" t="s">
        <v>1041</v>
      </c>
      <c r="J17" t="s">
        <v>14</v>
      </c>
      <c r="K17" s="60" t="s">
        <v>14</v>
      </c>
      <c r="L17" s="59">
        <v>0</v>
      </c>
      <c r="M17" s="61">
        <v>89.97</v>
      </c>
      <c r="N17">
        <f ca="1">IF(LEFT(tblSales[[#This Row],[Category]],1)="A",RANDBETWEEN(1,4),RANDBETWEEN(2,7))</f>
        <v>4</v>
      </c>
      <c r="O17" s="61" t="str">
        <f>IF(COUNTIF($A$2:A17,A17)=1,SUMIFS(tblSales[Revenue],tblSales[Order ID],tblSales[[#This Row],[Order ID]]),"")</f>
        <v/>
      </c>
      <c r="P17" t="str">
        <f>TEXT(tblSales[[#This Row],[Date]],"ddd")</f>
        <v>Fri</v>
      </c>
      <c r="Q17">
        <f>1/COUNTIF(tblSales[Order ID],tblSales[[#This Row],[Order ID]])</f>
        <v>0.25</v>
      </c>
    </row>
    <row r="18" spans="1:17" x14ac:dyDescent="0.3">
      <c r="A18">
        <v>201904</v>
      </c>
      <c r="B18" s="15">
        <v>45492</v>
      </c>
      <c r="C18">
        <v>103720</v>
      </c>
      <c r="D18">
        <v>300189</v>
      </c>
      <c r="E18" t="s">
        <v>1040</v>
      </c>
      <c r="F18" t="s">
        <v>1050</v>
      </c>
      <c r="G18">
        <v>1</v>
      </c>
      <c r="H18" s="59">
        <v>24.99</v>
      </c>
      <c r="I18" t="s">
        <v>1041</v>
      </c>
      <c r="J18" t="s">
        <v>14</v>
      </c>
      <c r="K18" s="60" t="s">
        <v>14</v>
      </c>
      <c r="L18" s="59">
        <v>0</v>
      </c>
      <c r="M18" s="61">
        <v>24.99</v>
      </c>
      <c r="N18">
        <f ca="1">IF(LEFT(tblSales[[#This Row],[Category]],1)="A",RANDBETWEEN(1,4),RANDBETWEEN(2,7))</f>
        <v>3</v>
      </c>
      <c r="O18" s="61">
        <f>IF(COUNTIF($A$2:A18,A18)=1,SUMIFS(tblSales[Revenue],tblSales[Order ID],tblSales[[#This Row],[Order ID]]),"")</f>
        <v>24.99</v>
      </c>
      <c r="P18" t="str">
        <f>TEXT(tblSales[[#This Row],[Date]],"ddd")</f>
        <v>Fri</v>
      </c>
      <c r="Q18">
        <f>1/COUNTIF(tblSales[Order ID],tblSales[[#This Row],[Order ID]])</f>
        <v>1</v>
      </c>
    </row>
    <row r="19" spans="1:17" x14ac:dyDescent="0.3">
      <c r="A19">
        <v>201905</v>
      </c>
      <c r="B19" s="15">
        <v>45491</v>
      </c>
      <c r="C19">
        <v>113232</v>
      </c>
      <c r="D19">
        <v>200549</v>
      </c>
      <c r="E19" t="s">
        <v>1043</v>
      </c>
      <c r="F19" t="s">
        <v>1042</v>
      </c>
      <c r="G19">
        <v>1</v>
      </c>
      <c r="H19" s="59">
        <v>18.989999999999998</v>
      </c>
      <c r="I19" t="s">
        <v>1041</v>
      </c>
      <c r="J19" t="s">
        <v>14</v>
      </c>
      <c r="K19" s="60" t="s">
        <v>14</v>
      </c>
      <c r="L19" s="59">
        <v>0</v>
      </c>
      <c r="M19" s="61">
        <v>18.989999999999998</v>
      </c>
      <c r="N19">
        <f ca="1">IF(LEFT(tblSales[[#This Row],[Category]],1)="A",RANDBETWEEN(1,4),RANDBETWEEN(2,7))</f>
        <v>4</v>
      </c>
      <c r="O19" s="61">
        <f>IF(COUNTIF($A$2:A19,A19)=1,SUMIFS(tblSales[Revenue],tblSales[Order ID],tblSales[[#This Row],[Order ID]]),"")</f>
        <v>84.96</v>
      </c>
      <c r="P19" t="str">
        <f>TEXT(tblSales[[#This Row],[Date]],"ddd")</f>
        <v>Thu</v>
      </c>
      <c r="Q19">
        <f>1/COUNTIF(tblSales[Order ID],tblSales[[#This Row],[Order ID]])</f>
        <v>0.5</v>
      </c>
    </row>
    <row r="20" spans="1:17" x14ac:dyDescent="0.3">
      <c r="A20">
        <v>201905</v>
      </c>
      <c r="B20" s="15">
        <v>45491</v>
      </c>
      <c r="C20">
        <v>113232</v>
      </c>
      <c r="D20">
        <v>300191</v>
      </c>
      <c r="E20" t="s">
        <v>1040</v>
      </c>
      <c r="F20" t="s">
        <v>1051</v>
      </c>
      <c r="G20">
        <v>3</v>
      </c>
      <c r="H20" s="59">
        <v>21.99</v>
      </c>
      <c r="I20" t="s">
        <v>1041</v>
      </c>
      <c r="J20" t="s">
        <v>14</v>
      </c>
      <c r="K20" s="60" t="s">
        <v>14</v>
      </c>
      <c r="L20" s="59">
        <v>0</v>
      </c>
      <c r="M20" s="61">
        <v>65.97</v>
      </c>
      <c r="N20">
        <f ca="1">IF(LEFT(tblSales[[#This Row],[Category]],1)="A",RANDBETWEEN(1,4),RANDBETWEEN(2,7))</f>
        <v>4</v>
      </c>
      <c r="O20" s="61" t="str">
        <f>IF(COUNTIF($A$2:A20,A20)=1,SUMIFS(tblSales[Revenue],tblSales[Order ID],tblSales[[#This Row],[Order ID]]),"")</f>
        <v/>
      </c>
      <c r="P20" t="str">
        <f>TEXT(tblSales[[#This Row],[Date]],"ddd")</f>
        <v>Thu</v>
      </c>
      <c r="Q20">
        <f>1/COUNTIF(tblSales[Order ID],tblSales[[#This Row],[Order ID]])</f>
        <v>0.5</v>
      </c>
    </row>
    <row r="21" spans="1:17" x14ac:dyDescent="0.3">
      <c r="A21">
        <v>201906</v>
      </c>
      <c r="B21" s="15">
        <v>45491</v>
      </c>
      <c r="C21">
        <v>106364</v>
      </c>
      <c r="D21">
        <v>100252</v>
      </c>
      <c r="E21" t="s">
        <v>1046</v>
      </c>
      <c r="F21" t="s">
        <v>158</v>
      </c>
      <c r="G21">
        <v>1</v>
      </c>
      <c r="H21" s="59">
        <v>449</v>
      </c>
      <c r="I21" t="s">
        <v>120</v>
      </c>
      <c r="J21" t="s">
        <v>1052</v>
      </c>
      <c r="K21" s="60">
        <v>0.15</v>
      </c>
      <c r="L21" s="59">
        <v>67.349999999999994</v>
      </c>
      <c r="M21" s="61">
        <v>381.65</v>
      </c>
      <c r="N21">
        <f ca="1">IF(LEFT(tblSales[[#This Row],[Category]],1)="A",RANDBETWEEN(1,4),RANDBETWEEN(2,7))</f>
        <v>3</v>
      </c>
      <c r="O21" s="61">
        <f>IF(COUNTIF($A$2:A21,A21)=1,SUMIFS(tblSales[Revenue],tblSales[Order ID],tblSales[[#This Row],[Order ID]]),"")</f>
        <v>1518.9244999999999</v>
      </c>
      <c r="P21" t="str">
        <f>TEXT(tblSales[[#This Row],[Date]],"ddd")</f>
        <v>Thu</v>
      </c>
      <c r="Q21">
        <f>1/COUNTIF(tblSales[Order ID],tblSales[[#This Row],[Order ID]])</f>
        <v>0.2</v>
      </c>
    </row>
    <row r="22" spans="1:17" x14ac:dyDescent="0.3">
      <c r="A22">
        <v>201906</v>
      </c>
      <c r="B22" s="15">
        <v>45491</v>
      </c>
      <c r="C22">
        <v>106364</v>
      </c>
      <c r="D22">
        <v>100252</v>
      </c>
      <c r="E22" t="s">
        <v>1046</v>
      </c>
      <c r="F22" t="s">
        <v>158</v>
      </c>
      <c r="G22">
        <v>1</v>
      </c>
      <c r="H22" s="59">
        <v>449</v>
      </c>
      <c r="I22" t="s">
        <v>120</v>
      </c>
      <c r="J22" t="s">
        <v>1052</v>
      </c>
      <c r="K22" s="60">
        <v>0.15</v>
      </c>
      <c r="L22" s="59">
        <v>67.349999999999994</v>
      </c>
      <c r="M22" s="61">
        <v>381.65</v>
      </c>
      <c r="N22">
        <f ca="1">IF(LEFT(tblSales[[#This Row],[Category]],1)="A",RANDBETWEEN(1,4),RANDBETWEEN(2,7))</f>
        <v>3</v>
      </c>
      <c r="O22" s="61" t="str">
        <f>IF(COUNTIF($A$2:A22,A22)=1,SUMIFS(tblSales[Revenue],tblSales[Order ID],tblSales[[#This Row],[Order ID]]),"")</f>
        <v/>
      </c>
      <c r="P22" t="str">
        <f>TEXT(tblSales[[#This Row],[Date]],"ddd")</f>
        <v>Thu</v>
      </c>
      <c r="Q22">
        <f>1/COUNTIF(tblSales[Order ID],tblSales[[#This Row],[Order ID]])</f>
        <v>0.2</v>
      </c>
    </row>
    <row r="23" spans="1:17" x14ac:dyDescent="0.3">
      <c r="A23">
        <v>201906</v>
      </c>
      <c r="B23" s="15">
        <v>45491</v>
      </c>
      <c r="C23">
        <v>106364</v>
      </c>
      <c r="D23">
        <v>300185</v>
      </c>
      <c r="E23" t="s">
        <v>1040</v>
      </c>
      <c r="F23" t="s">
        <v>1049</v>
      </c>
      <c r="G23">
        <v>2</v>
      </c>
      <c r="H23" s="59">
        <v>29.99</v>
      </c>
      <c r="I23" t="s">
        <v>120</v>
      </c>
      <c r="J23" t="s">
        <v>1052</v>
      </c>
      <c r="K23" s="60">
        <v>0.15</v>
      </c>
      <c r="L23" s="59">
        <v>8.9969999999999999</v>
      </c>
      <c r="M23" s="61">
        <v>50.982999999999997</v>
      </c>
      <c r="N23">
        <f ca="1">IF(LEFT(tblSales[[#This Row],[Category]],1)="A",RANDBETWEEN(1,4),RANDBETWEEN(2,7))</f>
        <v>1</v>
      </c>
      <c r="O23" s="61" t="str">
        <f>IF(COUNTIF($A$2:A23,A23)=1,SUMIFS(tblSales[Revenue],tblSales[Order ID],tblSales[[#This Row],[Order ID]]),"")</f>
        <v/>
      </c>
      <c r="P23" t="str">
        <f>TEXT(tblSales[[#This Row],[Date]],"ddd")</f>
        <v>Thu</v>
      </c>
      <c r="Q23">
        <f>1/COUNTIF(tblSales[Order ID],tblSales[[#This Row],[Order ID]])</f>
        <v>0.2</v>
      </c>
    </row>
    <row r="24" spans="1:17" x14ac:dyDescent="0.3">
      <c r="A24">
        <v>201906</v>
      </c>
      <c r="B24" s="15">
        <v>45491</v>
      </c>
      <c r="C24">
        <v>106364</v>
      </c>
      <c r="D24">
        <v>300185</v>
      </c>
      <c r="E24" t="s">
        <v>1040</v>
      </c>
      <c r="F24" t="s">
        <v>1049</v>
      </c>
      <c r="G24">
        <v>1</v>
      </c>
      <c r="H24" s="59">
        <v>29.99</v>
      </c>
      <c r="I24" t="s">
        <v>120</v>
      </c>
      <c r="J24" t="s">
        <v>1052</v>
      </c>
      <c r="K24" s="60">
        <v>0.15</v>
      </c>
      <c r="L24" s="59">
        <v>4.4984999999999999</v>
      </c>
      <c r="M24" s="61">
        <v>25.491499999999998</v>
      </c>
      <c r="N24">
        <f ca="1">IF(LEFT(tblSales[[#This Row],[Category]],1)="A",RANDBETWEEN(1,4),RANDBETWEEN(2,7))</f>
        <v>1</v>
      </c>
      <c r="O24" s="61" t="str">
        <f>IF(COUNTIF($A$2:A24,A24)=1,SUMIFS(tblSales[Revenue],tblSales[Order ID],tblSales[[#This Row],[Order ID]]),"")</f>
        <v/>
      </c>
      <c r="P24" t="str">
        <f>TEXT(tblSales[[#This Row],[Date]],"ddd")</f>
        <v>Thu</v>
      </c>
      <c r="Q24">
        <f>1/COUNTIF(tblSales[Order ID],tblSales[[#This Row],[Order ID]])</f>
        <v>0.2</v>
      </c>
    </row>
    <row r="25" spans="1:17" x14ac:dyDescent="0.3">
      <c r="A25">
        <v>201906</v>
      </c>
      <c r="B25" s="15">
        <v>45491</v>
      </c>
      <c r="C25">
        <v>106364</v>
      </c>
      <c r="D25">
        <v>100254</v>
      </c>
      <c r="E25" t="s">
        <v>1046</v>
      </c>
      <c r="F25" t="s">
        <v>164</v>
      </c>
      <c r="G25">
        <v>1</v>
      </c>
      <c r="H25" s="59">
        <v>799</v>
      </c>
      <c r="I25" t="s">
        <v>120</v>
      </c>
      <c r="J25" t="s">
        <v>1052</v>
      </c>
      <c r="K25" s="60">
        <v>0.15</v>
      </c>
      <c r="L25" s="59">
        <v>119.85</v>
      </c>
      <c r="M25" s="61">
        <v>679.15</v>
      </c>
      <c r="N25">
        <f ca="1">IF(LEFT(tblSales[[#This Row],[Category]],1)="A",RANDBETWEEN(1,4),RANDBETWEEN(2,7))</f>
        <v>5</v>
      </c>
      <c r="O25" s="61" t="str">
        <f>IF(COUNTIF($A$2:A25,A25)=1,SUMIFS(tblSales[Revenue],tblSales[Order ID],tblSales[[#This Row],[Order ID]]),"")</f>
        <v/>
      </c>
      <c r="P25" t="str">
        <f>TEXT(tblSales[[#This Row],[Date]],"ddd")</f>
        <v>Thu</v>
      </c>
      <c r="Q25">
        <f>1/COUNTIF(tblSales[Order ID],tblSales[[#This Row],[Order ID]])</f>
        <v>0.2</v>
      </c>
    </row>
    <row r="26" spans="1:17" x14ac:dyDescent="0.3">
      <c r="A26">
        <v>201907</v>
      </c>
      <c r="B26" s="15">
        <v>45493</v>
      </c>
      <c r="C26">
        <v>122525</v>
      </c>
      <c r="D26">
        <v>200558</v>
      </c>
      <c r="E26" t="s">
        <v>1043</v>
      </c>
      <c r="F26" t="s">
        <v>1053</v>
      </c>
      <c r="G26">
        <v>1</v>
      </c>
      <c r="H26" s="59">
        <v>18.989999999999998</v>
      </c>
      <c r="I26" t="s">
        <v>1041</v>
      </c>
      <c r="J26" t="s">
        <v>14</v>
      </c>
      <c r="K26" s="60" t="s">
        <v>14</v>
      </c>
      <c r="L26" s="59">
        <v>0</v>
      </c>
      <c r="M26" s="61">
        <v>18.989999999999998</v>
      </c>
      <c r="N26">
        <f ca="1">IF(LEFT(tblSales[[#This Row],[Category]],1)="A",RANDBETWEEN(1,4),RANDBETWEEN(2,7))</f>
        <v>4</v>
      </c>
      <c r="O26" s="61">
        <f>IF(COUNTIF($A$2:A26,A26)=1,SUMIFS(tblSales[Revenue],tblSales[Order ID],tblSales[[#This Row],[Order ID]]),"")</f>
        <v>4103.95</v>
      </c>
      <c r="P26" t="str">
        <f>TEXT(tblSales[[#This Row],[Date]],"ddd")</f>
        <v>Sat</v>
      </c>
      <c r="Q26">
        <f>1/COUNTIF(tblSales[Order ID],tblSales[[#This Row],[Order ID]])</f>
        <v>0.16666666666666666</v>
      </c>
    </row>
    <row r="27" spans="1:17" x14ac:dyDescent="0.3">
      <c r="A27">
        <v>201907</v>
      </c>
      <c r="B27" s="15">
        <v>45493</v>
      </c>
      <c r="C27">
        <v>122525</v>
      </c>
      <c r="D27">
        <v>300185</v>
      </c>
      <c r="E27" t="s">
        <v>1040</v>
      </c>
      <c r="F27" t="s">
        <v>1049</v>
      </c>
      <c r="G27">
        <v>1</v>
      </c>
      <c r="H27" s="59">
        <v>29.99</v>
      </c>
      <c r="I27" t="s">
        <v>1041</v>
      </c>
      <c r="J27" t="s">
        <v>14</v>
      </c>
      <c r="K27" s="60" t="s">
        <v>14</v>
      </c>
      <c r="L27" s="59">
        <v>0</v>
      </c>
      <c r="M27" s="61">
        <v>29.99</v>
      </c>
      <c r="N27">
        <f ca="1">IF(LEFT(tblSales[[#This Row],[Category]],1)="A",RANDBETWEEN(1,4),RANDBETWEEN(2,7))</f>
        <v>3</v>
      </c>
      <c r="O27" s="61" t="str">
        <f>IF(COUNTIF($A$2:A27,A27)=1,SUMIFS(tblSales[Revenue],tblSales[Order ID],tblSales[[#This Row],[Order ID]]),"")</f>
        <v/>
      </c>
      <c r="P27" t="str">
        <f>TEXT(tblSales[[#This Row],[Date]],"ddd")</f>
        <v>Sat</v>
      </c>
      <c r="Q27">
        <f>1/COUNTIF(tblSales[Order ID],tblSales[[#This Row],[Order ID]])</f>
        <v>0.16666666666666666</v>
      </c>
    </row>
    <row r="28" spans="1:17" x14ac:dyDescent="0.3">
      <c r="A28">
        <v>201907</v>
      </c>
      <c r="B28" s="15">
        <v>45493</v>
      </c>
      <c r="C28">
        <v>122525</v>
      </c>
      <c r="D28">
        <v>300191</v>
      </c>
      <c r="E28" t="s">
        <v>1040</v>
      </c>
      <c r="F28" t="s">
        <v>1051</v>
      </c>
      <c r="G28">
        <v>1</v>
      </c>
      <c r="H28" s="59">
        <v>21.99</v>
      </c>
      <c r="I28" t="s">
        <v>1041</v>
      </c>
      <c r="J28" t="s">
        <v>14</v>
      </c>
      <c r="K28" s="60" t="s">
        <v>14</v>
      </c>
      <c r="L28" s="59">
        <v>0</v>
      </c>
      <c r="M28" s="61">
        <v>21.99</v>
      </c>
      <c r="N28">
        <f ca="1">IF(LEFT(tblSales[[#This Row],[Category]],1)="A",RANDBETWEEN(1,4),RANDBETWEEN(2,7))</f>
        <v>1</v>
      </c>
      <c r="O28" s="61" t="str">
        <f>IF(COUNTIF($A$2:A28,A28)=1,SUMIFS(tblSales[Revenue],tblSales[Order ID],tblSales[[#This Row],[Order ID]]),"")</f>
        <v/>
      </c>
      <c r="P28" t="str">
        <f>TEXT(tblSales[[#This Row],[Date]],"ddd")</f>
        <v>Sat</v>
      </c>
      <c r="Q28">
        <f>1/COUNTIF(tblSales[Order ID],tblSales[[#This Row],[Order ID]])</f>
        <v>0.16666666666666666</v>
      </c>
    </row>
    <row r="29" spans="1:17" x14ac:dyDescent="0.3">
      <c r="A29">
        <v>201907</v>
      </c>
      <c r="B29" s="15">
        <v>45493</v>
      </c>
      <c r="C29">
        <v>122525</v>
      </c>
      <c r="D29">
        <v>200549</v>
      </c>
      <c r="E29" t="s">
        <v>1043</v>
      </c>
      <c r="F29" t="s">
        <v>1042</v>
      </c>
      <c r="G29">
        <v>1</v>
      </c>
      <c r="H29" s="59">
        <v>18.989999999999998</v>
      </c>
      <c r="I29" t="s">
        <v>1041</v>
      </c>
      <c r="J29" t="s">
        <v>14</v>
      </c>
      <c r="K29" s="60" t="s">
        <v>14</v>
      </c>
      <c r="L29" s="59">
        <v>0</v>
      </c>
      <c r="M29" s="61">
        <v>18.989999999999998</v>
      </c>
      <c r="N29">
        <f ca="1">IF(LEFT(tblSales[[#This Row],[Category]],1)="A",RANDBETWEEN(1,4),RANDBETWEEN(2,7))</f>
        <v>4</v>
      </c>
      <c r="O29" s="61" t="str">
        <f>IF(COUNTIF($A$2:A29,A29)=1,SUMIFS(tblSales[Revenue],tblSales[Order ID],tblSales[[#This Row],[Order ID]]),"")</f>
        <v/>
      </c>
      <c r="P29" t="str">
        <f>TEXT(tblSales[[#This Row],[Date]],"ddd")</f>
        <v>Sat</v>
      </c>
      <c r="Q29">
        <f>1/COUNTIF(tblSales[Order ID],tblSales[[#This Row],[Order ID]])</f>
        <v>0.16666666666666666</v>
      </c>
    </row>
    <row r="30" spans="1:17" x14ac:dyDescent="0.3">
      <c r="A30">
        <v>201907</v>
      </c>
      <c r="B30" s="15">
        <v>45493</v>
      </c>
      <c r="C30">
        <v>122525</v>
      </c>
      <c r="D30">
        <v>100254</v>
      </c>
      <c r="E30" t="s">
        <v>1046</v>
      </c>
      <c r="F30" t="s">
        <v>164</v>
      </c>
      <c r="G30">
        <v>5</v>
      </c>
      <c r="H30" s="59">
        <v>799</v>
      </c>
      <c r="I30" t="s">
        <v>1041</v>
      </c>
      <c r="J30" t="s">
        <v>14</v>
      </c>
      <c r="K30" s="60" t="s">
        <v>14</v>
      </c>
      <c r="L30" s="59">
        <v>0</v>
      </c>
      <c r="M30" s="61">
        <v>3995</v>
      </c>
      <c r="N30">
        <f ca="1">IF(LEFT(tblSales[[#This Row],[Category]],1)="A",RANDBETWEEN(1,4),RANDBETWEEN(2,7))</f>
        <v>2</v>
      </c>
      <c r="O30" s="61" t="str">
        <f>IF(COUNTIF($A$2:A30,A30)=1,SUMIFS(tblSales[Revenue],tblSales[Order ID],tblSales[[#This Row],[Order ID]]),"")</f>
        <v/>
      </c>
      <c r="P30" t="str">
        <f>TEXT(tblSales[[#This Row],[Date]],"ddd")</f>
        <v>Sat</v>
      </c>
      <c r="Q30">
        <f>1/COUNTIF(tblSales[Order ID],tblSales[[#This Row],[Order ID]])</f>
        <v>0.16666666666666666</v>
      </c>
    </row>
    <row r="31" spans="1:17" x14ac:dyDescent="0.3">
      <c r="A31">
        <v>201907</v>
      </c>
      <c r="B31" s="15">
        <v>45493</v>
      </c>
      <c r="C31">
        <v>122525</v>
      </c>
      <c r="D31">
        <v>200549</v>
      </c>
      <c r="E31" t="s">
        <v>1043</v>
      </c>
      <c r="F31" t="s">
        <v>1042</v>
      </c>
      <c r="G31">
        <v>1</v>
      </c>
      <c r="H31" s="59">
        <v>18.989999999999998</v>
      </c>
      <c r="I31" t="s">
        <v>1041</v>
      </c>
      <c r="J31" t="s">
        <v>14</v>
      </c>
      <c r="K31" s="60" t="s">
        <v>14</v>
      </c>
      <c r="L31" s="59">
        <v>0</v>
      </c>
      <c r="M31" s="61">
        <v>18.989999999999998</v>
      </c>
      <c r="N31">
        <f ca="1">IF(LEFT(tblSales[[#This Row],[Category]],1)="A",RANDBETWEEN(1,4),RANDBETWEEN(2,7))</f>
        <v>4</v>
      </c>
      <c r="O31" s="61" t="str">
        <f>IF(COUNTIF($A$2:A31,A31)=1,SUMIFS(tblSales[Revenue],tblSales[Order ID],tblSales[[#This Row],[Order ID]]),"")</f>
        <v/>
      </c>
      <c r="P31" t="str">
        <f>TEXT(tblSales[[#This Row],[Date]],"ddd")</f>
        <v>Sat</v>
      </c>
      <c r="Q31">
        <f>1/COUNTIF(tblSales[Order ID],tblSales[[#This Row],[Order ID]])</f>
        <v>0.16666666666666666</v>
      </c>
    </row>
    <row r="32" spans="1:17" x14ac:dyDescent="0.3">
      <c r="A32">
        <v>201908</v>
      </c>
      <c r="B32" s="15">
        <v>45485</v>
      </c>
      <c r="C32">
        <v>115825</v>
      </c>
      <c r="D32">
        <v>300191</v>
      </c>
      <c r="E32" t="s">
        <v>1040</v>
      </c>
      <c r="F32" t="s">
        <v>1051</v>
      </c>
      <c r="G32">
        <v>1</v>
      </c>
      <c r="H32" s="59">
        <v>21.99</v>
      </c>
      <c r="I32" t="s">
        <v>1041</v>
      </c>
      <c r="J32" t="s">
        <v>14</v>
      </c>
      <c r="K32" s="60" t="s">
        <v>14</v>
      </c>
      <c r="L32" s="59">
        <v>0</v>
      </c>
      <c r="M32" s="61">
        <v>21.99</v>
      </c>
      <c r="N32">
        <f ca="1">IF(LEFT(tblSales[[#This Row],[Category]],1)="A",RANDBETWEEN(1,4),RANDBETWEEN(2,7))</f>
        <v>4</v>
      </c>
      <c r="O32" s="61">
        <f>IF(COUNTIF($A$2:A32,A32)=1,SUMIFS(tblSales[Revenue],tblSales[Order ID],tblSales[[#This Row],[Order ID]]),"")</f>
        <v>1538.91</v>
      </c>
      <c r="P32" t="str">
        <f>TEXT(tblSales[[#This Row],[Date]],"ddd")</f>
        <v>Fri</v>
      </c>
      <c r="Q32">
        <f>1/COUNTIF(tblSales[Order ID],tblSales[[#This Row],[Order ID]])</f>
        <v>0.2</v>
      </c>
    </row>
    <row r="33" spans="1:17" x14ac:dyDescent="0.3">
      <c r="A33">
        <v>201908</v>
      </c>
      <c r="B33" s="15">
        <v>45485</v>
      </c>
      <c r="C33">
        <v>115825</v>
      </c>
      <c r="D33">
        <v>100254</v>
      </c>
      <c r="E33" t="s">
        <v>1046</v>
      </c>
      <c r="F33" t="s">
        <v>164</v>
      </c>
      <c r="G33">
        <v>1</v>
      </c>
      <c r="H33" s="59">
        <v>799</v>
      </c>
      <c r="I33" t="s">
        <v>1041</v>
      </c>
      <c r="J33" t="s">
        <v>14</v>
      </c>
      <c r="K33" s="60" t="s">
        <v>14</v>
      </c>
      <c r="L33" s="59">
        <v>0</v>
      </c>
      <c r="M33" s="61">
        <v>799</v>
      </c>
      <c r="N33">
        <f ca="1">IF(LEFT(tblSales[[#This Row],[Category]],1)="A",RANDBETWEEN(1,4),RANDBETWEEN(2,7))</f>
        <v>5</v>
      </c>
      <c r="O33" s="61" t="str">
        <f>IF(COUNTIF($A$2:A33,A33)=1,SUMIFS(tblSales[Revenue],tblSales[Order ID],tblSales[[#This Row],[Order ID]]),"")</f>
        <v/>
      </c>
      <c r="P33" t="str">
        <f>TEXT(tblSales[[#This Row],[Date]],"ddd")</f>
        <v>Fri</v>
      </c>
      <c r="Q33">
        <f>1/COUNTIF(tblSales[Order ID],tblSales[[#This Row],[Order ID]])</f>
        <v>0.2</v>
      </c>
    </row>
    <row r="34" spans="1:17" x14ac:dyDescent="0.3">
      <c r="A34">
        <v>201908</v>
      </c>
      <c r="B34" s="15">
        <v>45485</v>
      </c>
      <c r="C34">
        <v>115825</v>
      </c>
      <c r="D34">
        <v>200557</v>
      </c>
      <c r="E34" t="s">
        <v>1043</v>
      </c>
      <c r="F34" t="s">
        <v>1054</v>
      </c>
      <c r="G34">
        <v>5</v>
      </c>
      <c r="H34" s="59">
        <v>129.99</v>
      </c>
      <c r="I34" t="s">
        <v>1041</v>
      </c>
      <c r="J34" t="s">
        <v>14</v>
      </c>
      <c r="K34" s="60" t="s">
        <v>14</v>
      </c>
      <c r="L34" s="59">
        <v>0</v>
      </c>
      <c r="M34" s="61">
        <v>649.95000000000005</v>
      </c>
      <c r="N34">
        <f ca="1">IF(LEFT(tblSales[[#This Row],[Category]],1)="A",RANDBETWEEN(1,4),RANDBETWEEN(2,7))</f>
        <v>2</v>
      </c>
      <c r="O34" s="61" t="str">
        <f>IF(COUNTIF($A$2:A34,A34)=1,SUMIFS(tblSales[Revenue],tblSales[Order ID],tblSales[[#This Row],[Order ID]]),"")</f>
        <v/>
      </c>
      <c r="P34" t="str">
        <f>TEXT(tblSales[[#This Row],[Date]],"ddd")</f>
        <v>Fri</v>
      </c>
      <c r="Q34">
        <f>1/COUNTIF(tblSales[Order ID],tblSales[[#This Row],[Order ID]])</f>
        <v>0.2</v>
      </c>
    </row>
    <row r="35" spans="1:17" x14ac:dyDescent="0.3">
      <c r="A35">
        <v>201908</v>
      </c>
      <c r="B35" s="15">
        <v>45485</v>
      </c>
      <c r="C35">
        <v>115825</v>
      </c>
      <c r="D35">
        <v>200558</v>
      </c>
      <c r="E35" t="s">
        <v>1043</v>
      </c>
      <c r="F35" t="s">
        <v>1053</v>
      </c>
      <c r="G35">
        <v>2</v>
      </c>
      <c r="H35" s="59">
        <v>18.989999999999998</v>
      </c>
      <c r="I35" t="s">
        <v>1041</v>
      </c>
      <c r="J35" t="s">
        <v>14</v>
      </c>
      <c r="K35" s="60" t="s">
        <v>14</v>
      </c>
      <c r="L35" s="59">
        <v>0</v>
      </c>
      <c r="M35" s="61">
        <v>37.979999999999997</v>
      </c>
      <c r="N35">
        <f ca="1">IF(LEFT(tblSales[[#This Row],[Category]],1)="A",RANDBETWEEN(1,4),RANDBETWEEN(2,7))</f>
        <v>4</v>
      </c>
      <c r="O35" s="61" t="str">
        <f>IF(COUNTIF($A$2:A35,A35)=1,SUMIFS(tblSales[Revenue],tblSales[Order ID],tblSales[[#This Row],[Order ID]]),"")</f>
        <v/>
      </c>
      <c r="P35" t="str">
        <f>TEXT(tblSales[[#This Row],[Date]],"ddd")</f>
        <v>Fri</v>
      </c>
      <c r="Q35">
        <f>1/COUNTIF(tblSales[Order ID],tblSales[[#This Row],[Order ID]])</f>
        <v>0.2</v>
      </c>
    </row>
    <row r="36" spans="1:17" x14ac:dyDescent="0.3">
      <c r="A36">
        <v>201908</v>
      </c>
      <c r="B36" s="15">
        <v>45485</v>
      </c>
      <c r="C36">
        <v>115825</v>
      </c>
      <c r="D36">
        <v>300185</v>
      </c>
      <c r="E36" t="s">
        <v>1040</v>
      </c>
      <c r="F36" t="s">
        <v>1049</v>
      </c>
      <c r="G36">
        <v>1</v>
      </c>
      <c r="H36" s="59">
        <v>29.99</v>
      </c>
      <c r="I36" t="s">
        <v>1041</v>
      </c>
      <c r="J36" t="s">
        <v>14</v>
      </c>
      <c r="K36" s="60" t="s">
        <v>14</v>
      </c>
      <c r="L36" s="59">
        <v>0</v>
      </c>
      <c r="M36" s="61">
        <v>29.99</v>
      </c>
      <c r="N36">
        <f ca="1">IF(LEFT(tblSales[[#This Row],[Category]],1)="A",RANDBETWEEN(1,4),RANDBETWEEN(2,7))</f>
        <v>1</v>
      </c>
      <c r="O36" s="61" t="str">
        <f>IF(COUNTIF($A$2:A36,A36)=1,SUMIFS(tblSales[Revenue],tblSales[Order ID],tblSales[[#This Row],[Order ID]]),"")</f>
        <v/>
      </c>
      <c r="P36" t="str">
        <f>TEXT(tblSales[[#This Row],[Date]],"ddd")</f>
        <v>Fri</v>
      </c>
      <c r="Q36">
        <f>1/COUNTIF(tblSales[Order ID],tblSales[[#This Row],[Order ID]])</f>
        <v>0.2</v>
      </c>
    </row>
    <row r="37" spans="1:17" x14ac:dyDescent="0.3">
      <c r="A37">
        <v>201909</v>
      </c>
      <c r="B37" s="15">
        <v>45481</v>
      </c>
      <c r="C37">
        <v>126252</v>
      </c>
      <c r="D37">
        <v>100251</v>
      </c>
      <c r="E37" t="s">
        <v>1046</v>
      </c>
      <c r="F37" t="s">
        <v>150</v>
      </c>
      <c r="G37">
        <v>4</v>
      </c>
      <c r="H37" s="59">
        <v>399</v>
      </c>
      <c r="I37" t="s">
        <v>1041</v>
      </c>
      <c r="J37" t="s">
        <v>14</v>
      </c>
      <c r="K37" s="60" t="s">
        <v>14</v>
      </c>
      <c r="L37" s="59">
        <v>0</v>
      </c>
      <c r="M37" s="61">
        <v>1596</v>
      </c>
      <c r="N37">
        <f ca="1">IF(LEFT(tblSales[[#This Row],[Category]],1)="A",RANDBETWEEN(1,4),RANDBETWEEN(2,7))</f>
        <v>5</v>
      </c>
      <c r="O37" s="61">
        <f>IF(COUNTIF($A$2:A37,A37)=1,SUMIFS(tblSales[Revenue],tblSales[Order ID],tblSales[[#This Row],[Order ID]]),"")</f>
        <v>1596</v>
      </c>
      <c r="P37" t="str">
        <f>TEXT(tblSales[[#This Row],[Date]],"ddd")</f>
        <v>Mon</v>
      </c>
      <c r="Q37">
        <f>1/COUNTIF(tblSales[Order ID],tblSales[[#This Row],[Order ID]])</f>
        <v>1</v>
      </c>
    </row>
    <row r="38" spans="1:17" x14ac:dyDescent="0.3">
      <c r="A38">
        <v>201910</v>
      </c>
      <c r="B38" s="15">
        <v>45493</v>
      </c>
      <c r="C38">
        <v>122064</v>
      </c>
      <c r="D38">
        <v>200549</v>
      </c>
      <c r="E38" t="s">
        <v>1043</v>
      </c>
      <c r="F38" t="s">
        <v>1042</v>
      </c>
      <c r="G38">
        <v>1</v>
      </c>
      <c r="H38" s="59">
        <v>18.989999999999998</v>
      </c>
      <c r="I38" t="s">
        <v>120</v>
      </c>
      <c r="J38" t="s">
        <v>1047</v>
      </c>
      <c r="K38" s="60">
        <v>0.1</v>
      </c>
      <c r="L38" s="59">
        <v>1.899</v>
      </c>
      <c r="M38" s="61">
        <v>17.090999999999998</v>
      </c>
      <c r="N38">
        <f ca="1">IF(LEFT(tblSales[[#This Row],[Category]],1)="A",RANDBETWEEN(1,4),RANDBETWEEN(2,7))</f>
        <v>1</v>
      </c>
      <c r="O38" s="61">
        <f>IF(COUNTIF($A$2:A38,A38)=1,SUMIFS(tblSales[Revenue],tblSales[Order ID],tblSales[[#This Row],[Order ID]]),"")</f>
        <v>188.05499999999995</v>
      </c>
      <c r="P38" t="str">
        <f>TEXT(tblSales[[#This Row],[Date]],"ddd")</f>
        <v>Sat</v>
      </c>
      <c r="Q38">
        <f>1/COUNTIF(tblSales[Order ID],tblSales[[#This Row],[Order ID]])</f>
        <v>0.25</v>
      </c>
    </row>
    <row r="39" spans="1:17" x14ac:dyDescent="0.3">
      <c r="A39">
        <v>201910</v>
      </c>
      <c r="B39" s="15">
        <v>45493</v>
      </c>
      <c r="C39">
        <v>122064</v>
      </c>
      <c r="D39">
        <v>200553</v>
      </c>
      <c r="E39" t="s">
        <v>1043</v>
      </c>
      <c r="F39" t="s">
        <v>1055</v>
      </c>
      <c r="G39">
        <v>1</v>
      </c>
      <c r="H39" s="59">
        <v>29.99</v>
      </c>
      <c r="I39" t="s">
        <v>120</v>
      </c>
      <c r="J39" t="s">
        <v>1047</v>
      </c>
      <c r="K39" s="60">
        <v>0.1</v>
      </c>
      <c r="L39" s="59">
        <v>2.9990000000000001</v>
      </c>
      <c r="M39" s="61">
        <v>26.991</v>
      </c>
      <c r="N39">
        <f ca="1">IF(LEFT(tblSales[[#This Row],[Category]],1)="A",RANDBETWEEN(1,4),RANDBETWEEN(2,7))</f>
        <v>3</v>
      </c>
      <c r="O39" s="61" t="str">
        <f>IF(COUNTIF($A$2:A39,A39)=1,SUMIFS(tblSales[Revenue],tblSales[Order ID],tblSales[[#This Row],[Order ID]]),"")</f>
        <v/>
      </c>
      <c r="P39" t="str">
        <f>TEXT(tblSales[[#This Row],[Date]],"ddd")</f>
        <v>Sat</v>
      </c>
      <c r="Q39">
        <f>1/COUNTIF(tblSales[Order ID],tblSales[[#This Row],[Order ID]])</f>
        <v>0.25</v>
      </c>
    </row>
    <row r="40" spans="1:17" x14ac:dyDescent="0.3">
      <c r="A40">
        <v>201910</v>
      </c>
      <c r="B40" s="15">
        <v>45493</v>
      </c>
      <c r="C40">
        <v>122064</v>
      </c>
      <c r="D40">
        <v>200556</v>
      </c>
      <c r="E40" t="s">
        <v>1043</v>
      </c>
      <c r="F40" t="s">
        <v>1044</v>
      </c>
      <c r="G40">
        <v>2</v>
      </c>
      <c r="H40" s="59">
        <v>64.989999999999995</v>
      </c>
      <c r="I40" t="s">
        <v>120</v>
      </c>
      <c r="J40" t="s">
        <v>1047</v>
      </c>
      <c r="K40" s="60">
        <v>0.1</v>
      </c>
      <c r="L40" s="59">
        <v>12.997999999999999</v>
      </c>
      <c r="M40" s="61">
        <v>116.98199999999999</v>
      </c>
      <c r="N40">
        <f ca="1">IF(LEFT(tblSales[[#This Row],[Category]],1)="A",RANDBETWEEN(1,4),RANDBETWEEN(2,7))</f>
        <v>4</v>
      </c>
      <c r="O40" s="61" t="str">
        <f>IF(COUNTIF($A$2:A40,A40)=1,SUMIFS(tblSales[Revenue],tblSales[Order ID],tblSales[[#This Row],[Order ID]]),"")</f>
        <v/>
      </c>
      <c r="P40" t="str">
        <f>TEXT(tblSales[[#This Row],[Date]],"ddd")</f>
        <v>Sat</v>
      </c>
      <c r="Q40">
        <f>1/COUNTIF(tblSales[Order ID],tblSales[[#This Row],[Order ID]])</f>
        <v>0.25</v>
      </c>
    </row>
    <row r="41" spans="1:17" x14ac:dyDescent="0.3">
      <c r="A41">
        <v>201910</v>
      </c>
      <c r="B41" s="15">
        <v>45493</v>
      </c>
      <c r="C41">
        <v>122064</v>
      </c>
      <c r="D41">
        <v>300185</v>
      </c>
      <c r="E41" t="s">
        <v>1040</v>
      </c>
      <c r="F41" t="s">
        <v>1049</v>
      </c>
      <c r="G41">
        <v>1</v>
      </c>
      <c r="H41" s="59">
        <v>29.99</v>
      </c>
      <c r="I41" t="s">
        <v>120</v>
      </c>
      <c r="J41" t="s">
        <v>1047</v>
      </c>
      <c r="K41" s="60">
        <v>0.1</v>
      </c>
      <c r="L41" s="59">
        <v>2.9990000000000001</v>
      </c>
      <c r="M41" s="61">
        <v>26.991</v>
      </c>
      <c r="N41">
        <f ca="1">IF(LEFT(tblSales[[#This Row],[Category]],1)="A",RANDBETWEEN(1,4),RANDBETWEEN(2,7))</f>
        <v>1</v>
      </c>
      <c r="O41" s="61" t="str">
        <f>IF(COUNTIF($A$2:A41,A41)=1,SUMIFS(tblSales[Revenue],tblSales[Order ID],tblSales[[#This Row],[Order ID]]),"")</f>
        <v/>
      </c>
      <c r="P41" t="str">
        <f>TEXT(tblSales[[#This Row],[Date]],"ddd")</f>
        <v>Sat</v>
      </c>
      <c r="Q41">
        <f>1/COUNTIF(tblSales[Order ID],tblSales[[#This Row],[Order ID]])</f>
        <v>0.25</v>
      </c>
    </row>
    <row r="42" spans="1:17" x14ac:dyDescent="0.3">
      <c r="A42">
        <v>201911</v>
      </c>
      <c r="B42" s="15">
        <v>45492</v>
      </c>
      <c r="C42">
        <v>115090</v>
      </c>
      <c r="D42">
        <v>300185</v>
      </c>
      <c r="E42" t="s">
        <v>1040</v>
      </c>
      <c r="F42" t="s">
        <v>1049</v>
      </c>
      <c r="G42">
        <v>1</v>
      </c>
      <c r="H42" s="59">
        <v>29.99</v>
      </c>
      <c r="I42" t="s">
        <v>120</v>
      </c>
      <c r="J42" t="s">
        <v>1052</v>
      </c>
      <c r="K42" s="60">
        <v>0.15</v>
      </c>
      <c r="L42" s="59">
        <v>4.4984999999999999</v>
      </c>
      <c r="M42" s="61">
        <v>25.491499999999998</v>
      </c>
      <c r="N42">
        <f ca="1">IF(LEFT(tblSales[[#This Row],[Category]],1)="A",RANDBETWEEN(1,4),RANDBETWEEN(2,7))</f>
        <v>4</v>
      </c>
      <c r="O42" s="61">
        <f>IF(COUNTIF($A$2:A42,A42)=1,SUMIFS(tblSales[Revenue],tblSales[Order ID],tblSales[[#This Row],[Order ID]]),"")</f>
        <v>25.491499999999998</v>
      </c>
      <c r="P42" t="str">
        <f>TEXT(tblSales[[#This Row],[Date]],"ddd")</f>
        <v>Fri</v>
      </c>
      <c r="Q42">
        <f>1/COUNTIF(tblSales[Order ID],tblSales[[#This Row],[Order ID]])</f>
        <v>1</v>
      </c>
    </row>
    <row r="43" spans="1:17" x14ac:dyDescent="0.3">
      <c r="A43">
        <v>201912</v>
      </c>
      <c r="B43" s="15">
        <v>45481</v>
      </c>
      <c r="C43">
        <v>117897</v>
      </c>
      <c r="D43">
        <v>300191</v>
      </c>
      <c r="E43" t="s">
        <v>1040</v>
      </c>
      <c r="F43" t="s">
        <v>1051</v>
      </c>
      <c r="G43">
        <v>3</v>
      </c>
      <c r="H43" s="59">
        <v>21.99</v>
      </c>
      <c r="I43" t="s">
        <v>1041</v>
      </c>
      <c r="J43" t="s">
        <v>14</v>
      </c>
      <c r="K43" s="60" t="s">
        <v>14</v>
      </c>
      <c r="L43" s="59">
        <v>0</v>
      </c>
      <c r="M43" s="61">
        <v>65.97</v>
      </c>
      <c r="N43">
        <f ca="1">IF(LEFT(tblSales[[#This Row],[Category]],1)="A",RANDBETWEEN(1,4),RANDBETWEEN(2,7))</f>
        <v>3</v>
      </c>
      <c r="O43" s="61">
        <f>IF(COUNTIF($A$2:A43,A43)=1,SUMIFS(tblSales[Revenue],tblSales[Order ID],tblSales[[#This Row],[Order ID]]),"")</f>
        <v>65.97</v>
      </c>
      <c r="P43" t="str">
        <f>TEXT(tblSales[[#This Row],[Date]],"ddd")</f>
        <v>Mon</v>
      </c>
      <c r="Q43">
        <f>1/COUNTIF(tblSales[Order ID],tblSales[[#This Row],[Order ID]])</f>
        <v>1</v>
      </c>
    </row>
    <row r="44" spans="1:17" x14ac:dyDescent="0.3">
      <c r="A44">
        <v>201913</v>
      </c>
      <c r="B44" s="15">
        <v>45483</v>
      </c>
      <c r="C44">
        <v>125487</v>
      </c>
      <c r="D44">
        <v>100250</v>
      </c>
      <c r="E44" t="s">
        <v>1046</v>
      </c>
      <c r="F44" t="s">
        <v>202</v>
      </c>
      <c r="G44">
        <v>2</v>
      </c>
      <c r="H44" s="59">
        <v>189</v>
      </c>
      <c r="I44" t="s">
        <v>1041</v>
      </c>
      <c r="J44" t="s">
        <v>14</v>
      </c>
      <c r="K44" s="60" t="s">
        <v>14</v>
      </c>
      <c r="L44" s="59">
        <v>0</v>
      </c>
      <c r="M44" s="61">
        <v>378</v>
      </c>
      <c r="N44">
        <f ca="1">IF(LEFT(tblSales[[#This Row],[Category]],1)="A",RANDBETWEEN(1,4),RANDBETWEEN(2,7))</f>
        <v>5</v>
      </c>
      <c r="O44" s="61">
        <f>IF(COUNTIF($A$2:A44,A44)=1,SUMIFS(tblSales[Revenue],tblSales[Order ID],tblSales[[#This Row],[Order ID]]),"")</f>
        <v>396.99</v>
      </c>
      <c r="P44" t="str">
        <f>TEXT(tblSales[[#This Row],[Date]],"ddd")</f>
        <v>Wed</v>
      </c>
      <c r="Q44">
        <f>1/COUNTIF(tblSales[Order ID],tblSales[[#This Row],[Order ID]])</f>
        <v>0.5</v>
      </c>
    </row>
    <row r="45" spans="1:17" x14ac:dyDescent="0.3">
      <c r="A45">
        <v>201913</v>
      </c>
      <c r="B45" s="15">
        <v>45483</v>
      </c>
      <c r="C45">
        <v>125487</v>
      </c>
      <c r="D45">
        <v>200549</v>
      </c>
      <c r="E45" t="s">
        <v>1043</v>
      </c>
      <c r="F45" t="s">
        <v>1042</v>
      </c>
      <c r="G45">
        <v>1</v>
      </c>
      <c r="H45" s="59">
        <v>18.989999999999998</v>
      </c>
      <c r="I45" t="s">
        <v>1041</v>
      </c>
      <c r="J45" t="s">
        <v>14</v>
      </c>
      <c r="K45" s="60" t="s">
        <v>14</v>
      </c>
      <c r="L45" s="59">
        <v>0</v>
      </c>
      <c r="M45" s="61">
        <v>18.989999999999998</v>
      </c>
      <c r="N45">
        <f ca="1">IF(LEFT(tblSales[[#This Row],[Category]],1)="A",RANDBETWEEN(1,4),RANDBETWEEN(2,7))</f>
        <v>4</v>
      </c>
      <c r="O45" s="61" t="str">
        <f>IF(COUNTIF($A$2:A45,A45)=1,SUMIFS(tblSales[Revenue],tblSales[Order ID],tblSales[[#This Row],[Order ID]]),"")</f>
        <v/>
      </c>
      <c r="P45" t="str">
        <f>TEXT(tblSales[[#This Row],[Date]],"ddd")</f>
        <v>Wed</v>
      </c>
      <c r="Q45">
        <f>1/COUNTIF(tblSales[Order ID],tblSales[[#This Row],[Order ID]])</f>
        <v>0.5</v>
      </c>
    </row>
    <row r="46" spans="1:17" x14ac:dyDescent="0.3">
      <c r="A46">
        <v>201914</v>
      </c>
      <c r="B46" s="15">
        <v>45483</v>
      </c>
      <c r="C46">
        <v>103523</v>
      </c>
      <c r="D46">
        <v>100250</v>
      </c>
      <c r="E46" t="s">
        <v>1046</v>
      </c>
      <c r="F46" t="s">
        <v>202</v>
      </c>
      <c r="G46">
        <v>3</v>
      </c>
      <c r="H46" s="59">
        <v>189</v>
      </c>
      <c r="I46" t="s">
        <v>1041</v>
      </c>
      <c r="J46" t="s">
        <v>14</v>
      </c>
      <c r="K46" s="60" t="s">
        <v>14</v>
      </c>
      <c r="L46" s="59">
        <v>0</v>
      </c>
      <c r="M46" s="61">
        <v>567</v>
      </c>
      <c r="N46">
        <f ca="1">IF(LEFT(tblSales[[#This Row],[Category]],1)="A",RANDBETWEEN(1,4),RANDBETWEEN(2,7))</f>
        <v>2</v>
      </c>
      <c r="O46" s="61">
        <f>IF(COUNTIF($A$2:A46,A46)=1,SUMIFS(tblSales[Revenue],tblSales[Order ID],tblSales[[#This Row],[Order ID]]),"")</f>
        <v>585.99</v>
      </c>
      <c r="P46" t="str">
        <f>TEXT(tblSales[[#This Row],[Date]],"ddd")</f>
        <v>Wed</v>
      </c>
      <c r="Q46">
        <f>1/COUNTIF(tblSales[Order ID],tblSales[[#This Row],[Order ID]])</f>
        <v>0.5</v>
      </c>
    </row>
    <row r="47" spans="1:17" x14ac:dyDescent="0.3">
      <c r="A47">
        <v>201914</v>
      </c>
      <c r="B47" s="15">
        <v>45483</v>
      </c>
      <c r="C47">
        <v>103523</v>
      </c>
      <c r="D47">
        <v>200549</v>
      </c>
      <c r="E47" t="s">
        <v>1043</v>
      </c>
      <c r="F47" t="s">
        <v>1042</v>
      </c>
      <c r="G47">
        <v>1</v>
      </c>
      <c r="H47" s="59">
        <v>18.989999999999998</v>
      </c>
      <c r="I47" t="s">
        <v>1041</v>
      </c>
      <c r="J47" t="s">
        <v>14</v>
      </c>
      <c r="K47" s="60" t="s">
        <v>14</v>
      </c>
      <c r="L47" s="59">
        <v>0</v>
      </c>
      <c r="M47" s="61">
        <v>18.989999999999998</v>
      </c>
      <c r="N47">
        <f ca="1">IF(LEFT(tblSales[[#This Row],[Category]],1)="A",RANDBETWEEN(1,4),RANDBETWEEN(2,7))</f>
        <v>2</v>
      </c>
      <c r="O47" s="61" t="str">
        <f>IF(COUNTIF($A$2:A47,A47)=1,SUMIFS(tblSales[Revenue],tblSales[Order ID],tblSales[[#This Row],[Order ID]]),"")</f>
        <v/>
      </c>
      <c r="P47" t="str">
        <f>TEXT(tblSales[[#This Row],[Date]],"ddd")</f>
        <v>Wed</v>
      </c>
      <c r="Q47">
        <f>1/COUNTIF(tblSales[Order ID],tblSales[[#This Row],[Order ID]])</f>
        <v>0.5</v>
      </c>
    </row>
    <row r="48" spans="1:17" x14ac:dyDescent="0.3">
      <c r="A48">
        <v>201915</v>
      </c>
      <c r="B48" s="15">
        <v>45483</v>
      </c>
      <c r="C48">
        <v>108247</v>
      </c>
      <c r="D48">
        <v>100250</v>
      </c>
      <c r="E48" t="s">
        <v>1046</v>
      </c>
      <c r="F48" t="s">
        <v>202</v>
      </c>
      <c r="G48">
        <v>2</v>
      </c>
      <c r="H48" s="59">
        <v>189</v>
      </c>
      <c r="I48" t="s">
        <v>1041</v>
      </c>
      <c r="J48" t="s">
        <v>14</v>
      </c>
      <c r="K48" s="60" t="s">
        <v>14</v>
      </c>
      <c r="L48" s="59">
        <v>0</v>
      </c>
      <c r="M48" s="61">
        <v>378</v>
      </c>
      <c r="N48">
        <f ca="1">IF(LEFT(tblSales[[#This Row],[Category]],1)="A",RANDBETWEEN(1,4),RANDBETWEEN(2,7))</f>
        <v>3</v>
      </c>
      <c r="O48" s="61">
        <f>IF(COUNTIF($A$2:A48,A48)=1,SUMIFS(tblSales[Revenue],tblSales[Order ID],tblSales[[#This Row],[Order ID]]),"")</f>
        <v>399.99</v>
      </c>
      <c r="P48" t="str">
        <f>TEXT(tblSales[[#This Row],[Date]],"ddd")</f>
        <v>Wed</v>
      </c>
      <c r="Q48">
        <f>1/COUNTIF(tblSales[Order ID],tblSales[[#This Row],[Order ID]])</f>
        <v>0.5</v>
      </c>
    </row>
    <row r="49" spans="1:17" x14ac:dyDescent="0.3">
      <c r="A49">
        <v>201915</v>
      </c>
      <c r="B49" s="15">
        <v>45483</v>
      </c>
      <c r="C49">
        <v>108247</v>
      </c>
      <c r="D49">
        <v>300191</v>
      </c>
      <c r="E49" t="s">
        <v>1040</v>
      </c>
      <c r="F49" t="s">
        <v>1051</v>
      </c>
      <c r="G49">
        <v>1</v>
      </c>
      <c r="H49" s="59">
        <v>21.99</v>
      </c>
      <c r="I49" t="s">
        <v>1041</v>
      </c>
      <c r="J49" t="s">
        <v>14</v>
      </c>
      <c r="K49" s="60" t="s">
        <v>14</v>
      </c>
      <c r="L49" s="59">
        <v>0</v>
      </c>
      <c r="M49" s="61">
        <v>21.99</v>
      </c>
      <c r="N49">
        <f ca="1">IF(LEFT(tblSales[[#This Row],[Category]],1)="A",RANDBETWEEN(1,4),RANDBETWEEN(2,7))</f>
        <v>3</v>
      </c>
      <c r="O49" s="61" t="str">
        <f>IF(COUNTIF($A$2:A49,A49)=1,SUMIFS(tblSales[Revenue],tblSales[Order ID],tblSales[[#This Row],[Order ID]]),"")</f>
        <v/>
      </c>
      <c r="P49" t="str">
        <f>TEXT(tblSales[[#This Row],[Date]],"ddd")</f>
        <v>Wed</v>
      </c>
      <c r="Q49">
        <f>1/COUNTIF(tblSales[Order ID],tblSales[[#This Row],[Order ID]])</f>
        <v>0.5</v>
      </c>
    </row>
    <row r="50" spans="1:17" x14ac:dyDescent="0.3">
      <c r="A50">
        <v>201916</v>
      </c>
      <c r="B50" s="15">
        <v>45492</v>
      </c>
      <c r="C50">
        <v>123744</v>
      </c>
      <c r="D50">
        <v>300185</v>
      </c>
      <c r="E50" t="s">
        <v>1040</v>
      </c>
      <c r="F50" t="s">
        <v>1049</v>
      </c>
      <c r="G50">
        <v>1</v>
      </c>
      <c r="H50" s="59">
        <v>29.99</v>
      </c>
      <c r="I50" t="s">
        <v>1041</v>
      </c>
      <c r="J50" t="s">
        <v>14</v>
      </c>
      <c r="K50" s="60" t="s">
        <v>14</v>
      </c>
      <c r="L50" s="59">
        <v>0</v>
      </c>
      <c r="M50" s="61">
        <v>29.99</v>
      </c>
      <c r="N50">
        <f ca="1">IF(LEFT(tblSales[[#This Row],[Category]],1)="A",RANDBETWEEN(1,4),RANDBETWEEN(2,7))</f>
        <v>2</v>
      </c>
      <c r="O50" s="61">
        <f>IF(COUNTIF($A$2:A50,A50)=1,SUMIFS(tblSales[Revenue],tblSales[Order ID],tblSales[[#This Row],[Order ID]]),"")</f>
        <v>1736.95</v>
      </c>
      <c r="P50" t="str">
        <f>TEXT(tblSales[[#This Row],[Date]],"ddd")</f>
        <v>Fri</v>
      </c>
      <c r="Q50">
        <f>1/COUNTIF(tblSales[Order ID],tblSales[[#This Row],[Order ID]])</f>
        <v>0.2</v>
      </c>
    </row>
    <row r="51" spans="1:17" x14ac:dyDescent="0.3">
      <c r="A51">
        <v>201916</v>
      </c>
      <c r="B51" s="15">
        <v>45492</v>
      </c>
      <c r="C51">
        <v>123744</v>
      </c>
      <c r="D51">
        <v>300185</v>
      </c>
      <c r="E51" t="s">
        <v>1040</v>
      </c>
      <c r="F51" t="s">
        <v>1049</v>
      </c>
      <c r="G51">
        <v>2</v>
      </c>
      <c r="H51" s="59">
        <v>29.99</v>
      </c>
      <c r="I51" t="s">
        <v>1041</v>
      </c>
      <c r="J51" t="s">
        <v>14</v>
      </c>
      <c r="K51" s="60" t="s">
        <v>14</v>
      </c>
      <c r="L51" s="59">
        <v>0</v>
      </c>
      <c r="M51" s="61">
        <v>59.98</v>
      </c>
      <c r="N51">
        <f ca="1">IF(LEFT(tblSales[[#This Row],[Category]],1)="A",RANDBETWEEN(1,4),RANDBETWEEN(2,7))</f>
        <v>2</v>
      </c>
      <c r="O51" s="61" t="str">
        <f>IF(COUNTIF($A$2:A51,A51)=1,SUMIFS(tblSales[Revenue],tblSales[Order ID],tblSales[[#This Row],[Order ID]]),"")</f>
        <v/>
      </c>
      <c r="P51" t="str">
        <f>TEXT(tblSales[[#This Row],[Date]],"ddd")</f>
        <v>Fri</v>
      </c>
      <c r="Q51">
        <f>1/COUNTIF(tblSales[Order ID],tblSales[[#This Row],[Order ID]])</f>
        <v>0.2</v>
      </c>
    </row>
    <row r="52" spans="1:17" x14ac:dyDescent="0.3">
      <c r="A52">
        <v>201916</v>
      </c>
      <c r="B52" s="15">
        <v>45492</v>
      </c>
      <c r="C52">
        <v>123744</v>
      </c>
      <c r="D52">
        <v>100254</v>
      </c>
      <c r="E52" t="s">
        <v>1046</v>
      </c>
      <c r="F52" t="s">
        <v>164</v>
      </c>
      <c r="G52">
        <v>2</v>
      </c>
      <c r="H52" s="59">
        <v>799</v>
      </c>
      <c r="I52" t="s">
        <v>1041</v>
      </c>
      <c r="J52" t="s">
        <v>14</v>
      </c>
      <c r="K52" s="60" t="s">
        <v>14</v>
      </c>
      <c r="L52" s="59">
        <v>0</v>
      </c>
      <c r="M52" s="61">
        <v>1598</v>
      </c>
      <c r="N52">
        <f ca="1">IF(LEFT(tblSales[[#This Row],[Category]],1)="A",RANDBETWEEN(1,4),RANDBETWEEN(2,7))</f>
        <v>5</v>
      </c>
      <c r="O52" s="61" t="str">
        <f>IF(COUNTIF($A$2:A52,A52)=1,SUMIFS(tblSales[Revenue],tblSales[Order ID],tblSales[[#This Row],[Order ID]]),"")</f>
        <v/>
      </c>
      <c r="P52" t="str">
        <f>TEXT(tblSales[[#This Row],[Date]],"ddd")</f>
        <v>Fri</v>
      </c>
      <c r="Q52">
        <f>1/COUNTIF(tblSales[Order ID],tblSales[[#This Row],[Order ID]])</f>
        <v>0.2</v>
      </c>
    </row>
    <row r="53" spans="1:17" x14ac:dyDescent="0.3">
      <c r="A53">
        <v>201916</v>
      </c>
      <c r="B53" s="15">
        <v>45492</v>
      </c>
      <c r="C53">
        <v>123744</v>
      </c>
      <c r="D53">
        <v>300185</v>
      </c>
      <c r="E53" t="s">
        <v>1040</v>
      </c>
      <c r="F53" t="s">
        <v>1049</v>
      </c>
      <c r="G53">
        <v>1</v>
      </c>
      <c r="H53" s="59">
        <v>29.99</v>
      </c>
      <c r="I53" t="s">
        <v>1041</v>
      </c>
      <c r="J53" t="s">
        <v>14</v>
      </c>
      <c r="K53" s="60" t="s">
        <v>14</v>
      </c>
      <c r="L53" s="59">
        <v>0</v>
      </c>
      <c r="M53" s="61">
        <v>29.99</v>
      </c>
      <c r="N53">
        <f ca="1">IF(LEFT(tblSales[[#This Row],[Category]],1)="A",RANDBETWEEN(1,4),RANDBETWEEN(2,7))</f>
        <v>4</v>
      </c>
      <c r="O53" s="61" t="str">
        <f>IF(COUNTIF($A$2:A53,A53)=1,SUMIFS(tblSales[Revenue],tblSales[Order ID],tblSales[[#This Row],[Order ID]]),"")</f>
        <v/>
      </c>
      <c r="P53" t="str">
        <f>TEXT(tblSales[[#This Row],[Date]],"ddd")</f>
        <v>Fri</v>
      </c>
      <c r="Q53">
        <f>1/COUNTIF(tblSales[Order ID],tblSales[[#This Row],[Order ID]])</f>
        <v>0.2</v>
      </c>
    </row>
    <row r="54" spans="1:17" x14ac:dyDescent="0.3">
      <c r="A54">
        <v>201916</v>
      </c>
      <c r="B54" s="15">
        <v>45492</v>
      </c>
      <c r="C54">
        <v>123744</v>
      </c>
      <c r="D54">
        <v>200558</v>
      </c>
      <c r="E54" t="s">
        <v>1043</v>
      </c>
      <c r="F54" t="s">
        <v>1053</v>
      </c>
      <c r="G54">
        <v>1</v>
      </c>
      <c r="H54" s="59">
        <v>18.989999999999998</v>
      </c>
      <c r="I54" t="s">
        <v>1041</v>
      </c>
      <c r="J54" t="s">
        <v>14</v>
      </c>
      <c r="K54" s="60" t="s">
        <v>14</v>
      </c>
      <c r="L54" s="59">
        <v>0</v>
      </c>
      <c r="M54" s="61">
        <v>18.989999999999998</v>
      </c>
      <c r="N54">
        <f ca="1">IF(LEFT(tblSales[[#This Row],[Category]],1)="A",RANDBETWEEN(1,4),RANDBETWEEN(2,7))</f>
        <v>1</v>
      </c>
      <c r="O54" s="61" t="str">
        <f>IF(COUNTIF($A$2:A54,A54)=1,SUMIFS(tblSales[Revenue],tblSales[Order ID],tblSales[[#This Row],[Order ID]]),"")</f>
        <v/>
      </c>
      <c r="P54" t="str">
        <f>TEXT(tblSales[[#This Row],[Date]],"ddd")</f>
        <v>Fri</v>
      </c>
      <c r="Q54">
        <f>1/COUNTIF(tblSales[Order ID],tblSales[[#This Row],[Order ID]])</f>
        <v>0.2</v>
      </c>
    </row>
    <row r="55" spans="1:17" x14ac:dyDescent="0.3">
      <c r="A55">
        <v>201917</v>
      </c>
      <c r="B55" s="15">
        <v>45482</v>
      </c>
      <c r="C55">
        <v>122370</v>
      </c>
      <c r="D55">
        <v>200549</v>
      </c>
      <c r="E55" t="s">
        <v>1043</v>
      </c>
      <c r="F55" t="s">
        <v>1042</v>
      </c>
      <c r="G55">
        <v>1</v>
      </c>
      <c r="H55" s="59">
        <v>18.989999999999998</v>
      </c>
      <c r="I55" t="s">
        <v>1041</v>
      </c>
      <c r="J55" t="s">
        <v>14</v>
      </c>
      <c r="K55" s="60" t="s">
        <v>14</v>
      </c>
      <c r="L55" s="59">
        <v>0</v>
      </c>
      <c r="M55" s="61">
        <v>18.989999999999998</v>
      </c>
      <c r="N55">
        <f ca="1">IF(LEFT(tblSales[[#This Row],[Category]],1)="A",RANDBETWEEN(1,4),RANDBETWEEN(2,7))</f>
        <v>4</v>
      </c>
      <c r="O55" s="61">
        <f>IF(COUNTIF($A$2:A55,A55)=1,SUMIFS(tblSales[Revenue],tblSales[Order ID],tblSales[[#This Row],[Order ID]]),"")</f>
        <v>18.989999999999998</v>
      </c>
      <c r="P55" t="str">
        <f>TEXT(tblSales[[#This Row],[Date]],"ddd")</f>
        <v>Tue</v>
      </c>
      <c r="Q55">
        <f>1/COUNTIF(tblSales[Order ID],tblSales[[#This Row],[Order ID]])</f>
        <v>1</v>
      </c>
    </row>
    <row r="56" spans="1:17" x14ac:dyDescent="0.3">
      <c r="A56">
        <v>201918</v>
      </c>
      <c r="B56" s="15">
        <v>45492</v>
      </c>
      <c r="C56">
        <v>121115</v>
      </c>
      <c r="D56">
        <v>200549</v>
      </c>
      <c r="E56" t="s">
        <v>1043</v>
      </c>
      <c r="F56" t="s">
        <v>1042</v>
      </c>
      <c r="G56">
        <v>1</v>
      </c>
      <c r="H56" s="59">
        <v>18.989999999999998</v>
      </c>
      <c r="I56" t="s">
        <v>1041</v>
      </c>
      <c r="J56" t="s">
        <v>14</v>
      </c>
      <c r="K56" s="60" t="s">
        <v>14</v>
      </c>
      <c r="L56" s="59">
        <v>0</v>
      </c>
      <c r="M56" s="61">
        <v>18.989999999999998</v>
      </c>
      <c r="N56">
        <f ca="1">IF(LEFT(tblSales[[#This Row],[Category]],1)="A",RANDBETWEEN(1,4),RANDBETWEEN(2,7))</f>
        <v>4</v>
      </c>
      <c r="O56" s="61">
        <f>IF(COUNTIF($A$2:A56,A56)=1,SUMIFS(tblSales[Revenue],tblSales[Order ID],tblSales[[#This Row],[Order ID]]),"")</f>
        <v>18.989999999999998</v>
      </c>
      <c r="P56" t="str">
        <f>TEXT(tblSales[[#This Row],[Date]],"ddd")</f>
        <v>Fri</v>
      </c>
      <c r="Q56">
        <f>1/COUNTIF(tblSales[Order ID],tblSales[[#This Row],[Order ID]])</f>
        <v>1</v>
      </c>
    </row>
    <row r="57" spans="1:17" x14ac:dyDescent="0.3">
      <c r="A57">
        <v>201919</v>
      </c>
      <c r="B57" s="15">
        <v>45492</v>
      </c>
      <c r="C57">
        <v>112988</v>
      </c>
      <c r="D57">
        <v>200552</v>
      </c>
      <c r="E57" t="s">
        <v>1043</v>
      </c>
      <c r="F57" t="s">
        <v>1056</v>
      </c>
      <c r="G57">
        <v>1</v>
      </c>
      <c r="H57" s="59">
        <v>49.99</v>
      </c>
      <c r="I57" t="s">
        <v>1041</v>
      </c>
      <c r="J57" t="s">
        <v>14</v>
      </c>
      <c r="K57" s="60" t="s">
        <v>14</v>
      </c>
      <c r="L57" s="59">
        <v>0</v>
      </c>
      <c r="M57" s="61">
        <v>49.99</v>
      </c>
      <c r="N57">
        <f ca="1">IF(LEFT(tblSales[[#This Row],[Category]],1)="A",RANDBETWEEN(1,4),RANDBETWEEN(2,7))</f>
        <v>2</v>
      </c>
      <c r="O57" s="61">
        <f>IF(COUNTIF($A$2:A57,A57)=1,SUMIFS(tblSales[Revenue],tblSales[Order ID],tblSales[[#This Row],[Order ID]]),"")</f>
        <v>49.99</v>
      </c>
      <c r="P57" t="str">
        <f>TEXT(tblSales[[#This Row],[Date]],"ddd")</f>
        <v>Fri</v>
      </c>
      <c r="Q57">
        <f>1/COUNTIF(tblSales[Order ID],tblSales[[#This Row],[Order ID]])</f>
        <v>1</v>
      </c>
    </row>
    <row r="58" spans="1:17" x14ac:dyDescent="0.3">
      <c r="A58">
        <v>201920</v>
      </c>
      <c r="B58" s="15">
        <v>45492</v>
      </c>
      <c r="C58">
        <v>110914</v>
      </c>
      <c r="D58">
        <v>300191</v>
      </c>
      <c r="E58" t="s">
        <v>1040</v>
      </c>
      <c r="F58" t="s">
        <v>1051</v>
      </c>
      <c r="G58">
        <v>1</v>
      </c>
      <c r="H58" s="59">
        <v>21.99</v>
      </c>
      <c r="I58" t="s">
        <v>1041</v>
      </c>
      <c r="J58" t="s">
        <v>14</v>
      </c>
      <c r="K58" s="60" t="s">
        <v>14</v>
      </c>
      <c r="L58" s="59">
        <v>0</v>
      </c>
      <c r="M58" s="61">
        <v>21.99</v>
      </c>
      <c r="N58">
        <f ca="1">IF(LEFT(tblSales[[#This Row],[Category]],1)="A",RANDBETWEEN(1,4),RANDBETWEEN(2,7))</f>
        <v>3</v>
      </c>
      <c r="O58" s="61">
        <f>IF(COUNTIF($A$2:A58,A58)=1,SUMIFS(tblSales[Revenue],tblSales[Order ID],tblSales[[#This Row],[Order ID]]),"")</f>
        <v>3943.93</v>
      </c>
      <c r="P58" t="str">
        <f>TEXT(tblSales[[#This Row],[Date]],"ddd")</f>
        <v>Fri</v>
      </c>
      <c r="Q58">
        <f>1/COUNTIF(tblSales[Order ID],tblSales[[#This Row],[Order ID]])</f>
        <v>0.16666666666666666</v>
      </c>
    </row>
    <row r="59" spans="1:17" x14ac:dyDescent="0.3">
      <c r="A59">
        <v>201920</v>
      </c>
      <c r="B59" s="15">
        <v>45492</v>
      </c>
      <c r="C59">
        <v>110914</v>
      </c>
      <c r="D59">
        <v>200549</v>
      </c>
      <c r="E59" t="s">
        <v>1043</v>
      </c>
      <c r="F59" t="s">
        <v>1042</v>
      </c>
      <c r="G59">
        <v>3</v>
      </c>
      <c r="H59" s="59">
        <v>18.989999999999998</v>
      </c>
      <c r="I59" t="s">
        <v>1041</v>
      </c>
      <c r="J59" t="s">
        <v>14</v>
      </c>
      <c r="K59" s="60" t="s">
        <v>14</v>
      </c>
      <c r="L59" s="59">
        <v>0</v>
      </c>
      <c r="M59" s="61">
        <v>56.97</v>
      </c>
      <c r="N59">
        <f ca="1">IF(LEFT(tblSales[[#This Row],[Category]],1)="A",RANDBETWEEN(1,4),RANDBETWEEN(2,7))</f>
        <v>2</v>
      </c>
      <c r="O59" s="61" t="str">
        <f>IF(COUNTIF($A$2:A59,A59)=1,SUMIFS(tblSales[Revenue],tblSales[Order ID],tblSales[[#This Row],[Order ID]]),"")</f>
        <v/>
      </c>
      <c r="P59" t="str">
        <f>TEXT(tblSales[[#This Row],[Date]],"ddd")</f>
        <v>Fri</v>
      </c>
      <c r="Q59">
        <f>1/COUNTIF(tblSales[Order ID],tblSales[[#This Row],[Order ID]])</f>
        <v>0.16666666666666666</v>
      </c>
    </row>
    <row r="60" spans="1:17" x14ac:dyDescent="0.3">
      <c r="A60">
        <v>201920</v>
      </c>
      <c r="B60" s="15">
        <v>45492</v>
      </c>
      <c r="C60">
        <v>110914</v>
      </c>
      <c r="D60">
        <v>100256</v>
      </c>
      <c r="E60" t="s">
        <v>1046</v>
      </c>
      <c r="F60" t="s">
        <v>216</v>
      </c>
      <c r="G60">
        <v>2</v>
      </c>
      <c r="H60" s="59">
        <v>1499</v>
      </c>
      <c r="I60" t="s">
        <v>1041</v>
      </c>
      <c r="J60" t="s">
        <v>14</v>
      </c>
      <c r="K60" s="60" t="s">
        <v>14</v>
      </c>
      <c r="L60" s="59">
        <v>0</v>
      </c>
      <c r="M60" s="61">
        <v>2998</v>
      </c>
      <c r="N60">
        <f ca="1">IF(LEFT(tblSales[[#This Row],[Category]],1)="A",RANDBETWEEN(1,4),RANDBETWEEN(2,7))</f>
        <v>7</v>
      </c>
      <c r="O60" s="61" t="str">
        <f>IF(COUNTIF($A$2:A60,A60)=1,SUMIFS(tblSales[Revenue],tblSales[Order ID],tblSales[[#This Row],[Order ID]]),"")</f>
        <v/>
      </c>
      <c r="P60" t="str">
        <f>TEXT(tblSales[[#This Row],[Date]],"ddd")</f>
        <v>Fri</v>
      </c>
      <c r="Q60">
        <f>1/COUNTIF(tblSales[Order ID],tblSales[[#This Row],[Order ID]])</f>
        <v>0.16666666666666666</v>
      </c>
    </row>
    <row r="61" spans="1:17" x14ac:dyDescent="0.3">
      <c r="A61">
        <v>201920</v>
      </c>
      <c r="B61" s="15">
        <v>45492</v>
      </c>
      <c r="C61">
        <v>110914</v>
      </c>
      <c r="D61">
        <v>300185</v>
      </c>
      <c r="E61" t="s">
        <v>1040</v>
      </c>
      <c r="F61" t="s">
        <v>1049</v>
      </c>
      <c r="G61">
        <v>1</v>
      </c>
      <c r="H61" s="59">
        <v>29.99</v>
      </c>
      <c r="I61" t="s">
        <v>1041</v>
      </c>
      <c r="J61" t="s">
        <v>14</v>
      </c>
      <c r="K61" s="60" t="s">
        <v>14</v>
      </c>
      <c r="L61" s="59">
        <v>0</v>
      </c>
      <c r="M61" s="61">
        <v>29.99</v>
      </c>
      <c r="N61">
        <f ca="1">IF(LEFT(tblSales[[#This Row],[Category]],1)="A",RANDBETWEEN(1,4),RANDBETWEEN(2,7))</f>
        <v>3</v>
      </c>
      <c r="O61" s="61" t="str">
        <f>IF(COUNTIF($A$2:A61,A61)=1,SUMIFS(tblSales[Revenue],tblSales[Order ID],tblSales[[#This Row],[Order ID]]),"")</f>
        <v/>
      </c>
      <c r="P61" t="str">
        <f>TEXT(tblSales[[#This Row],[Date]],"ddd")</f>
        <v>Fri</v>
      </c>
      <c r="Q61">
        <f>1/COUNTIF(tblSales[Order ID],tblSales[[#This Row],[Order ID]])</f>
        <v>0.16666666666666666</v>
      </c>
    </row>
    <row r="62" spans="1:17" x14ac:dyDescent="0.3">
      <c r="A62">
        <v>201920</v>
      </c>
      <c r="B62" s="15">
        <v>45492</v>
      </c>
      <c r="C62">
        <v>110914</v>
      </c>
      <c r="D62">
        <v>200549</v>
      </c>
      <c r="E62" t="s">
        <v>1043</v>
      </c>
      <c r="F62" t="s">
        <v>1042</v>
      </c>
      <c r="G62">
        <v>2</v>
      </c>
      <c r="H62" s="59">
        <v>18.989999999999998</v>
      </c>
      <c r="I62" t="s">
        <v>1041</v>
      </c>
      <c r="J62" t="s">
        <v>14</v>
      </c>
      <c r="K62" s="60" t="s">
        <v>14</v>
      </c>
      <c r="L62" s="59">
        <v>0</v>
      </c>
      <c r="M62" s="61">
        <v>37.979999999999997</v>
      </c>
      <c r="N62">
        <f ca="1">IF(LEFT(tblSales[[#This Row],[Category]],1)="A",RANDBETWEEN(1,4),RANDBETWEEN(2,7))</f>
        <v>3</v>
      </c>
      <c r="O62" s="61" t="str">
        <f>IF(COUNTIF($A$2:A62,A62)=1,SUMIFS(tblSales[Revenue],tblSales[Order ID],tblSales[[#This Row],[Order ID]]),"")</f>
        <v/>
      </c>
      <c r="P62" t="str">
        <f>TEXT(tblSales[[#This Row],[Date]],"ddd")</f>
        <v>Fri</v>
      </c>
      <c r="Q62">
        <f>1/COUNTIF(tblSales[Order ID],tblSales[[#This Row],[Order ID]])</f>
        <v>0.16666666666666666</v>
      </c>
    </row>
    <row r="63" spans="1:17" x14ac:dyDescent="0.3">
      <c r="A63">
        <v>201920</v>
      </c>
      <c r="B63" s="15">
        <v>45492</v>
      </c>
      <c r="C63">
        <v>110914</v>
      </c>
      <c r="D63">
        <v>100254</v>
      </c>
      <c r="E63" t="s">
        <v>1046</v>
      </c>
      <c r="F63" t="s">
        <v>164</v>
      </c>
      <c r="G63">
        <v>1</v>
      </c>
      <c r="H63" s="59">
        <v>799</v>
      </c>
      <c r="I63" t="s">
        <v>1041</v>
      </c>
      <c r="J63" t="s">
        <v>14</v>
      </c>
      <c r="K63" s="60" t="s">
        <v>14</v>
      </c>
      <c r="L63" s="59">
        <v>0</v>
      </c>
      <c r="M63" s="61">
        <v>799</v>
      </c>
      <c r="N63">
        <f ca="1">IF(LEFT(tblSales[[#This Row],[Category]],1)="A",RANDBETWEEN(1,4),RANDBETWEEN(2,7))</f>
        <v>5</v>
      </c>
      <c r="O63" s="61" t="str">
        <f>IF(COUNTIF($A$2:A63,A63)=1,SUMIFS(tblSales[Revenue],tblSales[Order ID],tblSales[[#This Row],[Order ID]]),"")</f>
        <v/>
      </c>
      <c r="P63" t="str">
        <f>TEXT(tblSales[[#This Row],[Date]],"ddd")</f>
        <v>Fri</v>
      </c>
      <c r="Q63">
        <f>1/COUNTIF(tblSales[Order ID],tblSales[[#This Row],[Order ID]])</f>
        <v>0.16666666666666666</v>
      </c>
    </row>
    <row r="64" spans="1:17" x14ac:dyDescent="0.3">
      <c r="A64">
        <v>201921</v>
      </c>
      <c r="B64" s="15">
        <v>45492</v>
      </c>
      <c r="C64">
        <v>117258</v>
      </c>
      <c r="D64">
        <v>100250</v>
      </c>
      <c r="E64" t="s">
        <v>1046</v>
      </c>
      <c r="F64" t="s">
        <v>202</v>
      </c>
      <c r="G64">
        <v>2</v>
      </c>
      <c r="H64" s="59">
        <v>189</v>
      </c>
      <c r="I64" t="s">
        <v>1041</v>
      </c>
      <c r="J64" t="s">
        <v>14</v>
      </c>
      <c r="K64" s="60" t="s">
        <v>14</v>
      </c>
      <c r="L64" s="59">
        <v>0</v>
      </c>
      <c r="M64" s="61">
        <v>378</v>
      </c>
      <c r="N64">
        <f ca="1">IF(LEFT(tblSales[[#This Row],[Category]],1)="A",RANDBETWEEN(1,4),RANDBETWEEN(2,7))</f>
        <v>3</v>
      </c>
      <c r="O64" s="61">
        <f>IF(COUNTIF($A$2:A64,A64)=1,SUMIFS(tblSales[Revenue],tblSales[Order ID],tblSales[[#This Row],[Order ID]]),"")</f>
        <v>378</v>
      </c>
      <c r="P64" t="str">
        <f>TEXT(tblSales[[#This Row],[Date]],"ddd")</f>
        <v>Fri</v>
      </c>
      <c r="Q64">
        <f>1/COUNTIF(tblSales[Order ID],tblSales[[#This Row],[Order ID]])</f>
        <v>1</v>
      </c>
    </row>
    <row r="65" spans="1:17" x14ac:dyDescent="0.3">
      <c r="A65">
        <v>201922</v>
      </c>
      <c r="B65" s="15">
        <v>45492</v>
      </c>
      <c r="C65">
        <v>125069</v>
      </c>
      <c r="D65">
        <v>200549</v>
      </c>
      <c r="E65" t="s">
        <v>1043</v>
      </c>
      <c r="F65" t="s">
        <v>1042</v>
      </c>
      <c r="G65">
        <v>1</v>
      </c>
      <c r="H65" s="59">
        <v>18.989999999999998</v>
      </c>
      <c r="I65" t="s">
        <v>120</v>
      </c>
      <c r="J65" t="s">
        <v>1052</v>
      </c>
      <c r="K65" s="60">
        <v>0.15</v>
      </c>
      <c r="L65" s="59">
        <v>2.8484999999999996</v>
      </c>
      <c r="M65" s="61">
        <v>16.141500000000001</v>
      </c>
      <c r="N65">
        <f ca="1">IF(LEFT(tblSales[[#This Row],[Category]],1)="A",RANDBETWEEN(1,4),RANDBETWEEN(2,7))</f>
        <v>1</v>
      </c>
      <c r="O65" s="61">
        <f>IF(COUNTIF($A$2:A65,A65)=1,SUMIFS(tblSales[Revenue],tblSales[Order ID],tblSales[[#This Row],[Order ID]]),"")</f>
        <v>695.29149999999993</v>
      </c>
      <c r="P65" t="str">
        <f>TEXT(tblSales[[#This Row],[Date]],"ddd")</f>
        <v>Fri</v>
      </c>
      <c r="Q65">
        <f>1/COUNTIF(tblSales[Order ID],tblSales[[#This Row],[Order ID]])</f>
        <v>0.5</v>
      </c>
    </row>
    <row r="66" spans="1:17" x14ac:dyDescent="0.3">
      <c r="A66">
        <v>201922</v>
      </c>
      <c r="B66" s="15">
        <v>45492</v>
      </c>
      <c r="C66">
        <v>125069</v>
      </c>
      <c r="D66">
        <v>100254</v>
      </c>
      <c r="E66" t="s">
        <v>1046</v>
      </c>
      <c r="F66" t="s">
        <v>164</v>
      </c>
      <c r="G66">
        <v>1</v>
      </c>
      <c r="H66" s="59">
        <v>799</v>
      </c>
      <c r="I66" t="s">
        <v>120</v>
      </c>
      <c r="J66" t="s">
        <v>1052</v>
      </c>
      <c r="K66" s="60">
        <v>0.15</v>
      </c>
      <c r="L66" s="59">
        <v>119.85</v>
      </c>
      <c r="M66" s="61">
        <v>679.15</v>
      </c>
      <c r="N66">
        <f ca="1">IF(LEFT(tblSales[[#This Row],[Category]],1)="A",RANDBETWEEN(1,4),RANDBETWEEN(2,7))</f>
        <v>5</v>
      </c>
      <c r="O66" s="61" t="str">
        <f>IF(COUNTIF($A$2:A66,A66)=1,SUMIFS(tblSales[Revenue],tblSales[Order ID],tblSales[[#This Row],[Order ID]]),"")</f>
        <v/>
      </c>
      <c r="P66" t="str">
        <f>TEXT(tblSales[[#This Row],[Date]],"ddd")</f>
        <v>Fri</v>
      </c>
      <c r="Q66">
        <f>1/COUNTIF(tblSales[Order ID],tblSales[[#This Row],[Order ID]])</f>
        <v>0.5</v>
      </c>
    </row>
    <row r="67" spans="1:17" x14ac:dyDescent="0.3">
      <c r="A67">
        <v>201923</v>
      </c>
      <c r="B67" s="15">
        <v>45485</v>
      </c>
      <c r="C67">
        <v>109303</v>
      </c>
      <c r="D67">
        <v>200550</v>
      </c>
      <c r="E67" t="s">
        <v>1043</v>
      </c>
      <c r="F67" t="s">
        <v>1057</v>
      </c>
      <c r="G67">
        <v>1</v>
      </c>
      <c r="H67" s="59">
        <v>15.99</v>
      </c>
      <c r="I67" t="s">
        <v>1041</v>
      </c>
      <c r="J67" t="s">
        <v>14</v>
      </c>
      <c r="K67" s="60" t="s">
        <v>14</v>
      </c>
      <c r="L67" s="59">
        <v>0</v>
      </c>
      <c r="M67" s="61">
        <v>15.99</v>
      </c>
      <c r="N67">
        <f ca="1">IF(LEFT(tblSales[[#This Row],[Category]],1)="A",RANDBETWEEN(1,4),RANDBETWEEN(2,7))</f>
        <v>4</v>
      </c>
      <c r="O67" s="61">
        <f>IF(COUNTIF($A$2:A67,A67)=1,SUMIFS(tblSales[Revenue],tblSales[Order ID],tblSales[[#This Row],[Order ID]]),"")</f>
        <v>1039.95</v>
      </c>
      <c r="P67" t="str">
        <f>TEXT(tblSales[[#This Row],[Date]],"ddd")</f>
        <v>Fri</v>
      </c>
      <c r="Q67">
        <f>1/COUNTIF(tblSales[Order ID],tblSales[[#This Row],[Order ID]])</f>
        <v>0.25</v>
      </c>
    </row>
    <row r="68" spans="1:17" x14ac:dyDescent="0.3">
      <c r="A68">
        <v>201923</v>
      </c>
      <c r="B68" s="15">
        <v>45485</v>
      </c>
      <c r="C68">
        <v>109303</v>
      </c>
      <c r="D68">
        <v>100254</v>
      </c>
      <c r="E68" t="s">
        <v>1046</v>
      </c>
      <c r="F68" t="s">
        <v>164</v>
      </c>
      <c r="G68">
        <v>1</v>
      </c>
      <c r="H68" s="59">
        <v>799</v>
      </c>
      <c r="I68" t="s">
        <v>1041</v>
      </c>
      <c r="J68" t="s">
        <v>14</v>
      </c>
      <c r="K68" s="60" t="s">
        <v>14</v>
      </c>
      <c r="L68" s="59">
        <v>0</v>
      </c>
      <c r="M68" s="61">
        <v>799</v>
      </c>
      <c r="N68">
        <f ca="1">IF(LEFT(tblSales[[#This Row],[Category]],1)="A",RANDBETWEEN(1,4),RANDBETWEEN(2,7))</f>
        <v>3</v>
      </c>
      <c r="O68" s="61" t="str">
        <f>IF(COUNTIF($A$2:A68,A68)=1,SUMIFS(tblSales[Revenue],tblSales[Order ID],tblSales[[#This Row],[Order ID]]),"")</f>
        <v/>
      </c>
      <c r="P68" t="str">
        <f>TEXT(tblSales[[#This Row],[Date]],"ddd")</f>
        <v>Fri</v>
      </c>
      <c r="Q68">
        <f>1/COUNTIF(tblSales[Order ID],tblSales[[#This Row],[Order ID]])</f>
        <v>0.25</v>
      </c>
    </row>
    <row r="69" spans="1:17" x14ac:dyDescent="0.3">
      <c r="A69">
        <v>201923</v>
      </c>
      <c r="B69" s="15">
        <v>45485</v>
      </c>
      <c r="C69">
        <v>109303</v>
      </c>
      <c r="D69">
        <v>300185</v>
      </c>
      <c r="E69" t="s">
        <v>1040</v>
      </c>
      <c r="F69" t="s">
        <v>1049</v>
      </c>
      <c r="G69">
        <v>1</v>
      </c>
      <c r="H69" s="59">
        <v>29.99</v>
      </c>
      <c r="I69" t="s">
        <v>1041</v>
      </c>
      <c r="J69" t="s">
        <v>14</v>
      </c>
      <c r="K69" s="60" t="s">
        <v>14</v>
      </c>
      <c r="L69" s="59">
        <v>0</v>
      </c>
      <c r="M69" s="61">
        <v>29.99</v>
      </c>
      <c r="N69">
        <f ca="1">IF(LEFT(tblSales[[#This Row],[Category]],1)="A",RANDBETWEEN(1,4),RANDBETWEEN(2,7))</f>
        <v>2</v>
      </c>
      <c r="O69" s="61" t="str">
        <f>IF(COUNTIF($A$2:A69,A69)=1,SUMIFS(tblSales[Revenue],tblSales[Order ID],tblSales[[#This Row],[Order ID]]),"")</f>
        <v/>
      </c>
      <c r="P69" t="str">
        <f>TEXT(tblSales[[#This Row],[Date]],"ddd")</f>
        <v>Fri</v>
      </c>
      <c r="Q69">
        <f>1/COUNTIF(tblSales[Order ID],tblSales[[#This Row],[Order ID]])</f>
        <v>0.25</v>
      </c>
    </row>
    <row r="70" spans="1:17" x14ac:dyDescent="0.3">
      <c r="A70">
        <v>201923</v>
      </c>
      <c r="B70" s="15">
        <v>45485</v>
      </c>
      <c r="C70">
        <v>109303</v>
      </c>
      <c r="D70">
        <v>200556</v>
      </c>
      <c r="E70" t="s">
        <v>1043</v>
      </c>
      <c r="F70" t="s">
        <v>1044</v>
      </c>
      <c r="G70">
        <v>3</v>
      </c>
      <c r="H70" s="59">
        <v>64.989999999999995</v>
      </c>
      <c r="I70" t="s">
        <v>1041</v>
      </c>
      <c r="J70" t="s">
        <v>14</v>
      </c>
      <c r="K70" s="60" t="s">
        <v>14</v>
      </c>
      <c r="L70" s="59">
        <v>0</v>
      </c>
      <c r="M70" s="61">
        <v>194.96999999999997</v>
      </c>
      <c r="N70">
        <f ca="1">IF(LEFT(tblSales[[#This Row],[Category]],1)="A",RANDBETWEEN(1,4),RANDBETWEEN(2,7))</f>
        <v>4</v>
      </c>
      <c r="O70" s="61" t="str">
        <f>IF(COUNTIF($A$2:A70,A70)=1,SUMIFS(tblSales[Revenue],tblSales[Order ID],tblSales[[#This Row],[Order ID]]),"")</f>
        <v/>
      </c>
      <c r="P70" t="str">
        <f>TEXT(tblSales[[#This Row],[Date]],"ddd")</f>
        <v>Fri</v>
      </c>
      <c r="Q70">
        <f>1/COUNTIF(tblSales[Order ID],tblSales[[#This Row],[Order ID]])</f>
        <v>0.25</v>
      </c>
    </row>
    <row r="71" spans="1:17" x14ac:dyDescent="0.3">
      <c r="A71">
        <v>201924</v>
      </c>
      <c r="B71" s="15">
        <v>45494</v>
      </c>
      <c r="C71">
        <v>128827</v>
      </c>
      <c r="D71">
        <v>300187</v>
      </c>
      <c r="E71" t="s">
        <v>1040</v>
      </c>
      <c r="F71" t="s">
        <v>1058</v>
      </c>
      <c r="G71">
        <v>1</v>
      </c>
      <c r="H71" s="59">
        <v>54.99</v>
      </c>
      <c r="I71" t="s">
        <v>1041</v>
      </c>
      <c r="J71" t="s">
        <v>14</v>
      </c>
      <c r="K71" s="60" t="s">
        <v>14</v>
      </c>
      <c r="L71" s="59">
        <v>0</v>
      </c>
      <c r="M71" s="61">
        <v>54.99</v>
      </c>
      <c r="N71">
        <f ca="1">IF(LEFT(tblSales[[#This Row],[Category]],1)="A",RANDBETWEEN(1,4),RANDBETWEEN(2,7))</f>
        <v>1</v>
      </c>
      <c r="O71" s="61">
        <f>IF(COUNTIF($A$2:A71,A71)=1,SUMIFS(tblSales[Revenue],tblSales[Order ID],tblSales[[#This Row],[Order ID]]),"")</f>
        <v>278.94</v>
      </c>
      <c r="P71" t="str">
        <f>TEXT(tblSales[[#This Row],[Date]],"ddd")</f>
        <v>Sun</v>
      </c>
      <c r="Q71">
        <f>1/COUNTIF(tblSales[Order ID],tblSales[[#This Row],[Order ID]])</f>
        <v>0.25</v>
      </c>
    </row>
    <row r="72" spans="1:17" x14ac:dyDescent="0.3">
      <c r="A72">
        <v>201924</v>
      </c>
      <c r="B72" s="15">
        <v>45494</v>
      </c>
      <c r="C72">
        <v>128827</v>
      </c>
      <c r="D72">
        <v>200559</v>
      </c>
      <c r="E72" t="s">
        <v>1043</v>
      </c>
      <c r="F72" t="s">
        <v>1045</v>
      </c>
      <c r="G72">
        <v>2</v>
      </c>
      <c r="H72" s="59">
        <v>59.99</v>
      </c>
      <c r="I72" t="s">
        <v>1041</v>
      </c>
      <c r="J72" t="s">
        <v>14</v>
      </c>
      <c r="K72" s="60" t="s">
        <v>14</v>
      </c>
      <c r="L72" s="59">
        <v>0</v>
      </c>
      <c r="M72" s="61">
        <v>119.98</v>
      </c>
      <c r="N72">
        <f ca="1">IF(LEFT(tblSales[[#This Row],[Category]],1)="A",RANDBETWEEN(1,4),RANDBETWEEN(2,7))</f>
        <v>2</v>
      </c>
      <c r="O72" s="61" t="str">
        <f>IF(COUNTIF($A$2:A72,A72)=1,SUMIFS(tblSales[Revenue],tblSales[Order ID],tblSales[[#This Row],[Order ID]]),"")</f>
        <v/>
      </c>
      <c r="P72" t="str">
        <f>TEXT(tblSales[[#This Row],[Date]],"ddd")</f>
        <v>Sun</v>
      </c>
      <c r="Q72">
        <f>1/COUNTIF(tblSales[Order ID],tblSales[[#This Row],[Order ID]])</f>
        <v>0.25</v>
      </c>
    </row>
    <row r="73" spans="1:17" x14ac:dyDescent="0.3">
      <c r="A73">
        <v>201924</v>
      </c>
      <c r="B73" s="15">
        <v>45494</v>
      </c>
      <c r="C73">
        <v>128827</v>
      </c>
      <c r="D73">
        <v>200559</v>
      </c>
      <c r="E73" t="s">
        <v>1043</v>
      </c>
      <c r="F73" t="s">
        <v>1045</v>
      </c>
      <c r="G73">
        <v>1</v>
      </c>
      <c r="H73" s="59">
        <v>59.99</v>
      </c>
      <c r="I73" t="s">
        <v>1041</v>
      </c>
      <c r="J73" t="s">
        <v>14</v>
      </c>
      <c r="K73" s="60" t="s">
        <v>14</v>
      </c>
      <c r="L73" s="59">
        <v>0</v>
      </c>
      <c r="M73" s="61">
        <v>59.99</v>
      </c>
      <c r="N73">
        <f ca="1">IF(LEFT(tblSales[[#This Row],[Category]],1)="A",RANDBETWEEN(1,4),RANDBETWEEN(2,7))</f>
        <v>1</v>
      </c>
      <c r="O73" s="61" t="str">
        <f>IF(COUNTIF($A$2:A73,A73)=1,SUMIFS(tblSales[Revenue],tblSales[Order ID],tblSales[[#This Row],[Order ID]]),"")</f>
        <v/>
      </c>
      <c r="P73" t="str">
        <f>TEXT(tblSales[[#This Row],[Date]],"ddd")</f>
        <v>Sun</v>
      </c>
      <c r="Q73">
        <f>1/COUNTIF(tblSales[Order ID],tblSales[[#This Row],[Order ID]])</f>
        <v>0.25</v>
      </c>
    </row>
    <row r="74" spans="1:17" x14ac:dyDescent="0.3">
      <c r="A74">
        <v>201924</v>
      </c>
      <c r="B74" s="15">
        <v>45494</v>
      </c>
      <c r="C74">
        <v>128827</v>
      </c>
      <c r="D74">
        <v>300191</v>
      </c>
      <c r="E74" t="s">
        <v>1040</v>
      </c>
      <c r="F74" t="s">
        <v>1051</v>
      </c>
      <c r="G74">
        <v>2</v>
      </c>
      <c r="H74" s="59">
        <v>21.99</v>
      </c>
      <c r="I74" t="s">
        <v>1041</v>
      </c>
      <c r="J74" t="s">
        <v>14</v>
      </c>
      <c r="K74" s="60" t="s">
        <v>14</v>
      </c>
      <c r="L74" s="59">
        <v>0</v>
      </c>
      <c r="M74" s="61">
        <v>43.98</v>
      </c>
      <c r="N74">
        <f ca="1">IF(LEFT(tblSales[[#This Row],[Category]],1)="A",RANDBETWEEN(1,4),RANDBETWEEN(2,7))</f>
        <v>4</v>
      </c>
      <c r="O74" s="61" t="str">
        <f>IF(COUNTIF($A$2:A74,A74)=1,SUMIFS(tblSales[Revenue],tblSales[Order ID],tblSales[[#This Row],[Order ID]]),"")</f>
        <v/>
      </c>
      <c r="P74" t="str">
        <f>TEXT(tblSales[[#This Row],[Date]],"ddd")</f>
        <v>Sun</v>
      </c>
      <c r="Q74">
        <f>1/COUNTIF(tblSales[Order ID],tblSales[[#This Row],[Order ID]])</f>
        <v>0.25</v>
      </c>
    </row>
    <row r="75" spans="1:17" x14ac:dyDescent="0.3">
      <c r="A75">
        <v>201925</v>
      </c>
      <c r="B75" s="15">
        <v>45486</v>
      </c>
      <c r="C75">
        <v>112270</v>
      </c>
      <c r="D75">
        <v>200559</v>
      </c>
      <c r="E75" t="s">
        <v>1043</v>
      </c>
      <c r="F75" t="s">
        <v>1045</v>
      </c>
      <c r="G75">
        <v>4</v>
      </c>
      <c r="H75" s="59">
        <v>59.99</v>
      </c>
      <c r="I75" t="s">
        <v>1041</v>
      </c>
      <c r="J75" t="s">
        <v>14</v>
      </c>
      <c r="K75" s="60" t="s">
        <v>14</v>
      </c>
      <c r="L75" s="59">
        <v>0</v>
      </c>
      <c r="M75" s="61">
        <v>239.96</v>
      </c>
      <c r="N75">
        <f ca="1">IF(LEFT(tblSales[[#This Row],[Category]],1)="A",RANDBETWEEN(1,4),RANDBETWEEN(2,7))</f>
        <v>2</v>
      </c>
      <c r="O75" s="61">
        <f>IF(COUNTIF($A$2:A75,A75)=1,SUMIFS(tblSales[Revenue],tblSales[Order ID],tblSales[[#This Row],[Order ID]]),"")</f>
        <v>239.96</v>
      </c>
      <c r="P75" t="str">
        <f>TEXT(tblSales[[#This Row],[Date]],"ddd")</f>
        <v>Sat</v>
      </c>
      <c r="Q75">
        <f>1/COUNTIF(tblSales[Order ID],tblSales[[#This Row],[Order ID]])</f>
        <v>1</v>
      </c>
    </row>
    <row r="76" spans="1:17" x14ac:dyDescent="0.3">
      <c r="A76">
        <v>201926</v>
      </c>
      <c r="B76" s="15">
        <v>45484</v>
      </c>
      <c r="C76">
        <v>103744</v>
      </c>
      <c r="D76">
        <v>100254</v>
      </c>
      <c r="E76" t="s">
        <v>1046</v>
      </c>
      <c r="F76" t="s">
        <v>164</v>
      </c>
      <c r="G76">
        <v>1</v>
      </c>
      <c r="H76" s="59">
        <v>799</v>
      </c>
      <c r="I76" t="s">
        <v>1041</v>
      </c>
      <c r="J76" t="s">
        <v>14</v>
      </c>
      <c r="K76" s="60" t="s">
        <v>14</v>
      </c>
      <c r="L76" s="59">
        <v>0</v>
      </c>
      <c r="M76" s="61">
        <v>799</v>
      </c>
      <c r="N76">
        <f ca="1">IF(LEFT(tblSales[[#This Row],[Category]],1)="A",RANDBETWEEN(1,4),RANDBETWEEN(2,7))</f>
        <v>5</v>
      </c>
      <c r="O76" s="61">
        <f>IF(COUNTIF($A$2:A76,A76)=1,SUMIFS(tblSales[Revenue],tblSales[Order ID],tblSales[[#This Row],[Order ID]]),"")</f>
        <v>799</v>
      </c>
      <c r="P76" t="str">
        <f>TEXT(tblSales[[#This Row],[Date]],"ddd")</f>
        <v>Thu</v>
      </c>
      <c r="Q76">
        <f>1/COUNTIF(tblSales[Order ID],tblSales[[#This Row],[Order ID]])</f>
        <v>1</v>
      </c>
    </row>
    <row r="77" spans="1:17" x14ac:dyDescent="0.3">
      <c r="A77">
        <v>201927</v>
      </c>
      <c r="B77" s="15">
        <v>45485</v>
      </c>
      <c r="C77">
        <v>109372</v>
      </c>
      <c r="D77">
        <v>200559</v>
      </c>
      <c r="E77" t="s">
        <v>1043</v>
      </c>
      <c r="F77" t="s">
        <v>1045</v>
      </c>
      <c r="G77">
        <v>1</v>
      </c>
      <c r="H77" s="59">
        <v>59.99</v>
      </c>
      <c r="I77" t="s">
        <v>1041</v>
      </c>
      <c r="J77" t="s">
        <v>14</v>
      </c>
      <c r="K77" s="60" t="s">
        <v>14</v>
      </c>
      <c r="L77" s="59">
        <v>0</v>
      </c>
      <c r="M77" s="61">
        <v>59.99</v>
      </c>
      <c r="N77">
        <f ca="1">IF(LEFT(tblSales[[#This Row],[Category]],1)="A",RANDBETWEEN(1,4),RANDBETWEEN(2,7))</f>
        <v>4</v>
      </c>
      <c r="O77" s="61">
        <f>IF(COUNTIF($A$2:A77,A77)=1,SUMIFS(tblSales[Revenue],tblSales[Order ID],tblSales[[#This Row],[Order ID]]),"")</f>
        <v>59.99</v>
      </c>
      <c r="P77" t="str">
        <f>TEXT(tblSales[[#This Row],[Date]],"ddd")</f>
        <v>Fri</v>
      </c>
      <c r="Q77">
        <f>1/COUNTIF(tblSales[Order ID],tblSales[[#This Row],[Order ID]])</f>
        <v>1</v>
      </c>
    </row>
    <row r="78" spans="1:17" x14ac:dyDescent="0.3">
      <c r="A78">
        <v>201928</v>
      </c>
      <c r="B78" s="15">
        <v>45492</v>
      </c>
      <c r="C78">
        <v>121811</v>
      </c>
      <c r="D78">
        <v>100251</v>
      </c>
      <c r="E78" t="s">
        <v>1046</v>
      </c>
      <c r="F78" t="s">
        <v>150</v>
      </c>
      <c r="G78">
        <v>1</v>
      </c>
      <c r="H78" s="59">
        <v>399</v>
      </c>
      <c r="I78" t="s">
        <v>1041</v>
      </c>
      <c r="J78" t="s">
        <v>14</v>
      </c>
      <c r="K78" s="60" t="s">
        <v>14</v>
      </c>
      <c r="L78" s="59">
        <v>0</v>
      </c>
      <c r="M78" s="61">
        <v>399</v>
      </c>
      <c r="N78">
        <f ca="1">IF(LEFT(tblSales[[#This Row],[Category]],1)="A",RANDBETWEEN(1,4),RANDBETWEEN(2,7))</f>
        <v>4</v>
      </c>
      <c r="O78" s="61">
        <f>IF(COUNTIF($A$2:A78,A78)=1,SUMIFS(tblSales[Revenue],tblSales[Order ID],tblSales[[#This Row],[Order ID]]),"")</f>
        <v>638.93000000000006</v>
      </c>
      <c r="P78" t="str">
        <f>TEXT(tblSales[[#This Row],[Date]],"ddd")</f>
        <v>Fri</v>
      </c>
      <c r="Q78">
        <f>1/COUNTIF(tblSales[Order ID],tblSales[[#This Row],[Order ID]])</f>
        <v>0.25</v>
      </c>
    </row>
    <row r="79" spans="1:17" x14ac:dyDescent="0.3">
      <c r="A79">
        <v>201928</v>
      </c>
      <c r="B79" s="15">
        <v>45492</v>
      </c>
      <c r="C79">
        <v>121811</v>
      </c>
      <c r="D79">
        <v>300185</v>
      </c>
      <c r="E79" t="s">
        <v>1040</v>
      </c>
      <c r="F79" t="s">
        <v>1049</v>
      </c>
      <c r="G79">
        <v>1</v>
      </c>
      <c r="H79" s="59">
        <v>29.99</v>
      </c>
      <c r="I79" t="s">
        <v>1041</v>
      </c>
      <c r="J79" t="s">
        <v>14</v>
      </c>
      <c r="K79" s="60" t="s">
        <v>14</v>
      </c>
      <c r="L79" s="59">
        <v>0</v>
      </c>
      <c r="M79" s="61">
        <v>29.99</v>
      </c>
      <c r="N79">
        <f ca="1">IF(LEFT(tblSales[[#This Row],[Category]],1)="A",RANDBETWEEN(1,4),RANDBETWEEN(2,7))</f>
        <v>2</v>
      </c>
      <c r="O79" s="61" t="str">
        <f>IF(COUNTIF($A$2:A79,A79)=1,SUMIFS(tblSales[Revenue],tblSales[Order ID],tblSales[[#This Row],[Order ID]]),"")</f>
        <v/>
      </c>
      <c r="P79" t="str">
        <f>TEXT(tblSales[[#This Row],[Date]],"ddd")</f>
        <v>Fri</v>
      </c>
      <c r="Q79">
        <f>1/COUNTIF(tblSales[Order ID],tblSales[[#This Row],[Order ID]])</f>
        <v>0.25</v>
      </c>
    </row>
    <row r="80" spans="1:17" x14ac:dyDescent="0.3">
      <c r="A80">
        <v>201928</v>
      </c>
      <c r="B80" s="15">
        <v>45492</v>
      </c>
      <c r="C80">
        <v>121811</v>
      </c>
      <c r="D80">
        <v>200559</v>
      </c>
      <c r="E80" t="s">
        <v>1043</v>
      </c>
      <c r="F80" t="s">
        <v>1045</v>
      </c>
      <c r="G80">
        <v>1</v>
      </c>
      <c r="H80" s="59">
        <v>59.99</v>
      </c>
      <c r="I80" t="s">
        <v>1041</v>
      </c>
      <c r="J80" t="s">
        <v>14</v>
      </c>
      <c r="K80" s="60" t="s">
        <v>14</v>
      </c>
      <c r="L80" s="59">
        <v>0</v>
      </c>
      <c r="M80" s="61">
        <v>59.99</v>
      </c>
      <c r="N80">
        <f ca="1">IF(LEFT(tblSales[[#This Row],[Category]],1)="A",RANDBETWEEN(1,4),RANDBETWEEN(2,7))</f>
        <v>2</v>
      </c>
      <c r="O80" s="61" t="str">
        <f>IF(COUNTIF($A$2:A80,A80)=1,SUMIFS(tblSales[Revenue],tblSales[Order ID],tblSales[[#This Row],[Order ID]]),"")</f>
        <v/>
      </c>
      <c r="P80" t="str">
        <f>TEXT(tblSales[[#This Row],[Date]],"ddd")</f>
        <v>Fri</v>
      </c>
      <c r="Q80">
        <f>1/COUNTIF(tblSales[Order ID],tblSales[[#This Row],[Order ID]])</f>
        <v>0.25</v>
      </c>
    </row>
    <row r="81" spans="1:17" x14ac:dyDescent="0.3">
      <c r="A81">
        <v>201928</v>
      </c>
      <c r="B81" s="15">
        <v>45492</v>
      </c>
      <c r="C81">
        <v>121811</v>
      </c>
      <c r="D81">
        <v>300185</v>
      </c>
      <c r="E81" t="s">
        <v>1040</v>
      </c>
      <c r="F81" t="s">
        <v>1049</v>
      </c>
      <c r="G81">
        <v>5</v>
      </c>
      <c r="H81" s="59">
        <v>29.99</v>
      </c>
      <c r="I81" t="s">
        <v>1041</v>
      </c>
      <c r="J81" t="s">
        <v>14</v>
      </c>
      <c r="K81" s="60" t="s">
        <v>14</v>
      </c>
      <c r="L81" s="59">
        <v>0</v>
      </c>
      <c r="M81" s="61">
        <v>149.94999999999999</v>
      </c>
      <c r="N81">
        <f ca="1">IF(LEFT(tblSales[[#This Row],[Category]],1)="A",RANDBETWEEN(1,4),RANDBETWEEN(2,7))</f>
        <v>4</v>
      </c>
      <c r="O81" s="61" t="str">
        <f>IF(COUNTIF($A$2:A81,A81)=1,SUMIFS(tblSales[Revenue],tblSales[Order ID],tblSales[[#This Row],[Order ID]]),"")</f>
        <v/>
      </c>
      <c r="P81" t="str">
        <f>TEXT(tblSales[[#This Row],[Date]],"ddd")</f>
        <v>Fri</v>
      </c>
      <c r="Q81">
        <f>1/COUNTIF(tblSales[Order ID],tblSales[[#This Row],[Order ID]])</f>
        <v>0.25</v>
      </c>
    </row>
    <row r="82" spans="1:17" x14ac:dyDescent="0.3">
      <c r="A82">
        <v>201929</v>
      </c>
      <c r="B82" s="15">
        <v>45493</v>
      </c>
      <c r="C82">
        <v>105170</v>
      </c>
      <c r="D82">
        <v>200553</v>
      </c>
      <c r="E82" t="s">
        <v>1043</v>
      </c>
      <c r="F82" t="s">
        <v>1055</v>
      </c>
      <c r="G82">
        <v>1</v>
      </c>
      <c r="H82" s="59">
        <v>29.99</v>
      </c>
      <c r="I82" t="s">
        <v>1041</v>
      </c>
      <c r="J82" t="s">
        <v>14</v>
      </c>
      <c r="K82" s="60" t="s">
        <v>14</v>
      </c>
      <c r="L82" s="59">
        <v>0</v>
      </c>
      <c r="M82" s="61">
        <v>29.99</v>
      </c>
      <c r="N82">
        <f ca="1">IF(LEFT(tblSales[[#This Row],[Category]],1)="A",RANDBETWEEN(1,4),RANDBETWEEN(2,7))</f>
        <v>1</v>
      </c>
      <c r="O82" s="61">
        <f>IF(COUNTIF($A$2:A82,A82)=1,SUMIFS(tblSales[Revenue],tblSales[Order ID],tblSales[[#This Row],[Order ID]]),"")</f>
        <v>29.99</v>
      </c>
      <c r="P82" t="str">
        <f>TEXT(tblSales[[#This Row],[Date]],"ddd")</f>
        <v>Sat</v>
      </c>
      <c r="Q82">
        <f>1/COUNTIF(tblSales[Order ID],tblSales[[#This Row],[Order ID]])</f>
        <v>1</v>
      </c>
    </row>
    <row r="83" spans="1:17" x14ac:dyDescent="0.3">
      <c r="A83">
        <v>201930</v>
      </c>
      <c r="B83" s="15">
        <v>45484</v>
      </c>
      <c r="C83">
        <v>106328</v>
      </c>
      <c r="D83">
        <v>300185</v>
      </c>
      <c r="E83" t="s">
        <v>1040</v>
      </c>
      <c r="F83" t="s">
        <v>1049</v>
      </c>
      <c r="G83">
        <v>1</v>
      </c>
      <c r="H83" s="59">
        <v>29.99</v>
      </c>
      <c r="I83" t="s">
        <v>1041</v>
      </c>
      <c r="J83" t="s">
        <v>14</v>
      </c>
      <c r="K83" s="60" t="s">
        <v>14</v>
      </c>
      <c r="L83" s="59">
        <v>0</v>
      </c>
      <c r="M83" s="61">
        <v>29.99</v>
      </c>
      <c r="N83">
        <f ca="1">IF(LEFT(tblSales[[#This Row],[Category]],1)="A",RANDBETWEEN(1,4),RANDBETWEEN(2,7))</f>
        <v>3</v>
      </c>
      <c r="O83" s="61">
        <f>IF(COUNTIF($A$2:A83,A83)=1,SUMIFS(tblSales[Revenue],tblSales[Order ID],tblSales[[#This Row],[Order ID]]),"")</f>
        <v>727.97</v>
      </c>
      <c r="P83" t="str">
        <f>TEXT(tblSales[[#This Row],[Date]],"ddd")</f>
        <v>Thu</v>
      </c>
      <c r="Q83">
        <f>1/COUNTIF(tblSales[Order ID],tblSales[[#This Row],[Order ID]])</f>
        <v>0.2</v>
      </c>
    </row>
    <row r="84" spans="1:17" x14ac:dyDescent="0.3">
      <c r="A84">
        <v>201930</v>
      </c>
      <c r="B84" s="15">
        <v>45484</v>
      </c>
      <c r="C84">
        <v>106328</v>
      </c>
      <c r="D84">
        <v>100252</v>
      </c>
      <c r="E84" t="s">
        <v>1046</v>
      </c>
      <c r="F84" t="s">
        <v>158</v>
      </c>
      <c r="G84">
        <v>1</v>
      </c>
      <c r="H84" s="59">
        <v>449</v>
      </c>
      <c r="I84" t="s">
        <v>1041</v>
      </c>
      <c r="J84" t="s">
        <v>14</v>
      </c>
      <c r="K84" s="60" t="s">
        <v>14</v>
      </c>
      <c r="L84" s="59">
        <v>0</v>
      </c>
      <c r="M84" s="61">
        <v>449</v>
      </c>
      <c r="N84">
        <f ca="1">IF(LEFT(tblSales[[#This Row],[Category]],1)="A",RANDBETWEEN(1,4),RANDBETWEEN(2,7))</f>
        <v>6</v>
      </c>
      <c r="O84" s="61" t="str">
        <f>IF(COUNTIF($A$2:A84,A84)=1,SUMIFS(tblSales[Revenue],tblSales[Order ID],tblSales[[#This Row],[Order ID]]),"")</f>
        <v/>
      </c>
      <c r="P84" t="str">
        <f>TEXT(tblSales[[#This Row],[Date]],"ddd")</f>
        <v>Thu</v>
      </c>
      <c r="Q84">
        <f>1/COUNTIF(tblSales[Order ID],tblSales[[#This Row],[Order ID]])</f>
        <v>0.2</v>
      </c>
    </row>
    <row r="85" spans="1:17" x14ac:dyDescent="0.3">
      <c r="A85">
        <v>201930</v>
      </c>
      <c r="B85" s="15">
        <v>45484</v>
      </c>
      <c r="C85">
        <v>106328</v>
      </c>
      <c r="D85">
        <v>100250</v>
      </c>
      <c r="E85" t="s">
        <v>1046</v>
      </c>
      <c r="F85" t="s">
        <v>202</v>
      </c>
      <c r="G85">
        <v>1</v>
      </c>
      <c r="H85" s="59">
        <v>189</v>
      </c>
      <c r="I85" t="s">
        <v>1041</v>
      </c>
      <c r="J85" t="s">
        <v>14</v>
      </c>
      <c r="K85" s="60" t="s">
        <v>14</v>
      </c>
      <c r="L85" s="59">
        <v>0</v>
      </c>
      <c r="M85" s="61">
        <v>189</v>
      </c>
      <c r="N85">
        <f ca="1">IF(LEFT(tblSales[[#This Row],[Category]],1)="A",RANDBETWEEN(1,4),RANDBETWEEN(2,7))</f>
        <v>3</v>
      </c>
      <c r="O85" s="61" t="str">
        <f>IF(COUNTIF($A$2:A85,A85)=1,SUMIFS(tblSales[Revenue],tblSales[Order ID],tblSales[[#This Row],[Order ID]]),"")</f>
        <v/>
      </c>
      <c r="P85" t="str">
        <f>TEXT(tblSales[[#This Row],[Date]],"ddd")</f>
        <v>Thu</v>
      </c>
      <c r="Q85">
        <f>1/COUNTIF(tblSales[Order ID],tblSales[[#This Row],[Order ID]])</f>
        <v>0.2</v>
      </c>
    </row>
    <row r="86" spans="1:17" x14ac:dyDescent="0.3">
      <c r="A86">
        <v>201930</v>
      </c>
      <c r="B86" s="15">
        <v>45484</v>
      </c>
      <c r="C86">
        <v>106328</v>
      </c>
      <c r="D86">
        <v>300185</v>
      </c>
      <c r="E86" t="s">
        <v>1040</v>
      </c>
      <c r="F86" t="s">
        <v>1049</v>
      </c>
      <c r="G86">
        <v>1</v>
      </c>
      <c r="H86" s="59">
        <v>29.99</v>
      </c>
      <c r="I86" t="s">
        <v>1041</v>
      </c>
      <c r="J86" t="s">
        <v>14</v>
      </c>
      <c r="K86" s="60" t="s">
        <v>14</v>
      </c>
      <c r="L86" s="59">
        <v>0</v>
      </c>
      <c r="M86" s="61">
        <v>29.99</v>
      </c>
      <c r="N86">
        <f ca="1">IF(LEFT(tblSales[[#This Row],[Category]],1)="A",RANDBETWEEN(1,4),RANDBETWEEN(2,7))</f>
        <v>1</v>
      </c>
      <c r="O86" s="61" t="str">
        <f>IF(COUNTIF($A$2:A86,A86)=1,SUMIFS(tblSales[Revenue],tblSales[Order ID],tblSales[[#This Row],[Order ID]]),"")</f>
        <v/>
      </c>
      <c r="P86" t="str">
        <f>TEXT(tblSales[[#This Row],[Date]],"ddd")</f>
        <v>Thu</v>
      </c>
      <c r="Q86">
        <f>1/COUNTIF(tblSales[Order ID],tblSales[[#This Row],[Order ID]])</f>
        <v>0.2</v>
      </c>
    </row>
    <row r="87" spans="1:17" x14ac:dyDescent="0.3">
      <c r="A87">
        <v>201930</v>
      </c>
      <c r="B87" s="15">
        <v>45484</v>
      </c>
      <c r="C87">
        <v>106328</v>
      </c>
      <c r="D87">
        <v>300185</v>
      </c>
      <c r="E87" t="s">
        <v>1040</v>
      </c>
      <c r="F87" t="s">
        <v>1049</v>
      </c>
      <c r="G87">
        <v>1</v>
      </c>
      <c r="H87" s="59">
        <v>29.99</v>
      </c>
      <c r="I87" t="s">
        <v>1041</v>
      </c>
      <c r="J87" t="s">
        <v>14</v>
      </c>
      <c r="K87" s="60" t="s">
        <v>14</v>
      </c>
      <c r="L87" s="59">
        <v>0</v>
      </c>
      <c r="M87" s="61">
        <v>29.99</v>
      </c>
      <c r="N87">
        <f ca="1">IF(LEFT(tblSales[[#This Row],[Category]],1)="A",RANDBETWEEN(1,4),RANDBETWEEN(2,7))</f>
        <v>2</v>
      </c>
      <c r="O87" s="61" t="str">
        <f>IF(COUNTIF($A$2:A87,A87)=1,SUMIFS(tblSales[Revenue],tblSales[Order ID],tblSales[[#This Row],[Order ID]]),"")</f>
        <v/>
      </c>
      <c r="P87" t="str">
        <f>TEXT(tblSales[[#This Row],[Date]],"ddd")</f>
        <v>Thu</v>
      </c>
      <c r="Q87">
        <f>1/COUNTIF(tblSales[Order ID],tblSales[[#This Row],[Order ID]])</f>
        <v>0.2</v>
      </c>
    </row>
    <row r="88" spans="1:17" x14ac:dyDescent="0.3">
      <c r="A88">
        <v>201931</v>
      </c>
      <c r="B88" s="15">
        <v>45483</v>
      </c>
      <c r="C88">
        <v>116801</v>
      </c>
      <c r="D88">
        <v>200559</v>
      </c>
      <c r="E88" t="s">
        <v>1043</v>
      </c>
      <c r="F88" t="s">
        <v>1045</v>
      </c>
      <c r="G88">
        <v>1</v>
      </c>
      <c r="H88" s="59">
        <v>59.99</v>
      </c>
      <c r="I88" t="s">
        <v>1041</v>
      </c>
      <c r="J88" t="s">
        <v>14</v>
      </c>
      <c r="K88" s="60" t="s">
        <v>14</v>
      </c>
      <c r="L88" s="59">
        <v>0</v>
      </c>
      <c r="M88" s="61">
        <v>59.99</v>
      </c>
      <c r="N88">
        <f ca="1">IF(LEFT(tblSales[[#This Row],[Category]],1)="A",RANDBETWEEN(1,4),RANDBETWEEN(2,7))</f>
        <v>4</v>
      </c>
      <c r="O88" s="61">
        <f>IF(COUNTIF($A$2:A88,A88)=1,SUMIFS(tblSales[Revenue],tblSales[Order ID],tblSales[[#This Row],[Order ID]]),"")</f>
        <v>228.93</v>
      </c>
      <c r="P88" t="str">
        <f>TEXT(tblSales[[#This Row],[Date]],"ddd")</f>
        <v>Wed</v>
      </c>
      <c r="Q88">
        <f>1/COUNTIF(tblSales[Order ID],tblSales[[#This Row],[Order ID]])</f>
        <v>0.25</v>
      </c>
    </row>
    <row r="89" spans="1:17" x14ac:dyDescent="0.3">
      <c r="A89">
        <v>201931</v>
      </c>
      <c r="B89" s="15">
        <v>45483</v>
      </c>
      <c r="C89">
        <v>116801</v>
      </c>
      <c r="D89">
        <v>200549</v>
      </c>
      <c r="E89" t="s">
        <v>1043</v>
      </c>
      <c r="F89" t="s">
        <v>1042</v>
      </c>
      <c r="G89">
        <v>1</v>
      </c>
      <c r="H89" s="59">
        <v>18.989999999999998</v>
      </c>
      <c r="I89" t="s">
        <v>1041</v>
      </c>
      <c r="J89" t="s">
        <v>14</v>
      </c>
      <c r="K89" s="60" t="s">
        <v>14</v>
      </c>
      <c r="L89" s="59">
        <v>0</v>
      </c>
      <c r="M89" s="61">
        <v>18.989999999999998</v>
      </c>
      <c r="N89">
        <f ca="1">IF(LEFT(tblSales[[#This Row],[Category]],1)="A",RANDBETWEEN(1,4),RANDBETWEEN(2,7))</f>
        <v>3</v>
      </c>
      <c r="O89" s="61" t="str">
        <f>IF(COUNTIF($A$2:A89,A89)=1,SUMIFS(tblSales[Revenue],tblSales[Order ID],tblSales[[#This Row],[Order ID]]),"")</f>
        <v/>
      </c>
      <c r="P89" t="str">
        <f>TEXT(tblSales[[#This Row],[Date]],"ddd")</f>
        <v>Wed</v>
      </c>
      <c r="Q89">
        <f>1/COUNTIF(tblSales[Order ID],tblSales[[#This Row],[Order ID]])</f>
        <v>0.25</v>
      </c>
    </row>
    <row r="90" spans="1:17" x14ac:dyDescent="0.3">
      <c r="A90">
        <v>201931</v>
      </c>
      <c r="B90" s="15">
        <v>45483</v>
      </c>
      <c r="C90">
        <v>116801</v>
      </c>
      <c r="D90">
        <v>200548</v>
      </c>
      <c r="E90" t="s">
        <v>1043</v>
      </c>
      <c r="F90" t="s">
        <v>1059</v>
      </c>
      <c r="G90">
        <v>1</v>
      </c>
      <c r="H90" s="59">
        <v>29.99</v>
      </c>
      <c r="I90" t="s">
        <v>1041</v>
      </c>
      <c r="J90" t="s">
        <v>14</v>
      </c>
      <c r="K90" s="60" t="s">
        <v>14</v>
      </c>
      <c r="L90" s="59">
        <v>0</v>
      </c>
      <c r="M90" s="61">
        <v>29.99</v>
      </c>
      <c r="N90">
        <f ca="1">IF(LEFT(tblSales[[#This Row],[Category]],1)="A",RANDBETWEEN(1,4),RANDBETWEEN(2,7))</f>
        <v>2</v>
      </c>
      <c r="O90" s="61" t="str">
        <f>IF(COUNTIF($A$2:A90,A90)=1,SUMIFS(tblSales[Revenue],tblSales[Order ID],tblSales[[#This Row],[Order ID]]),"")</f>
        <v/>
      </c>
      <c r="P90" t="str">
        <f>TEXT(tblSales[[#This Row],[Date]],"ddd")</f>
        <v>Wed</v>
      </c>
      <c r="Q90">
        <f>1/COUNTIF(tblSales[Order ID],tblSales[[#This Row],[Order ID]])</f>
        <v>0.25</v>
      </c>
    </row>
    <row r="91" spans="1:17" x14ac:dyDescent="0.3">
      <c r="A91">
        <v>201931</v>
      </c>
      <c r="B91" s="15">
        <v>45483</v>
      </c>
      <c r="C91">
        <v>116801</v>
      </c>
      <c r="D91">
        <v>300185</v>
      </c>
      <c r="E91" t="s">
        <v>1040</v>
      </c>
      <c r="F91" t="s">
        <v>1049</v>
      </c>
      <c r="G91">
        <v>4</v>
      </c>
      <c r="H91" s="59">
        <v>29.99</v>
      </c>
      <c r="I91" t="s">
        <v>1041</v>
      </c>
      <c r="J91" t="s">
        <v>14</v>
      </c>
      <c r="K91" s="60" t="s">
        <v>14</v>
      </c>
      <c r="L91" s="59">
        <v>0</v>
      </c>
      <c r="M91" s="61">
        <v>119.96</v>
      </c>
      <c r="N91">
        <f ca="1">IF(LEFT(tblSales[[#This Row],[Category]],1)="A",RANDBETWEEN(1,4),RANDBETWEEN(2,7))</f>
        <v>2</v>
      </c>
      <c r="O91" s="61" t="str">
        <f>IF(COUNTIF($A$2:A91,A91)=1,SUMIFS(tblSales[Revenue],tblSales[Order ID],tblSales[[#This Row],[Order ID]]),"")</f>
        <v/>
      </c>
      <c r="P91" t="str">
        <f>TEXT(tblSales[[#This Row],[Date]],"ddd")</f>
        <v>Wed</v>
      </c>
      <c r="Q91">
        <f>1/COUNTIF(tblSales[Order ID],tblSales[[#This Row],[Order ID]])</f>
        <v>0.25</v>
      </c>
    </row>
    <row r="92" spans="1:17" x14ac:dyDescent="0.3">
      <c r="A92">
        <v>201932</v>
      </c>
      <c r="B92" s="15">
        <v>45486</v>
      </c>
      <c r="C92">
        <v>130928</v>
      </c>
      <c r="D92">
        <v>100255</v>
      </c>
      <c r="E92" t="s">
        <v>1046</v>
      </c>
      <c r="F92" t="s">
        <v>172</v>
      </c>
      <c r="G92">
        <v>1</v>
      </c>
      <c r="H92" s="59">
        <v>1299</v>
      </c>
      <c r="I92" t="s">
        <v>120</v>
      </c>
      <c r="J92" t="s">
        <v>1047</v>
      </c>
      <c r="K92" s="60">
        <v>0.1</v>
      </c>
      <c r="L92" s="59">
        <v>129.9</v>
      </c>
      <c r="M92" s="61">
        <v>1169.0999999999999</v>
      </c>
      <c r="N92">
        <f ca="1">IF(LEFT(tblSales[[#This Row],[Category]],1)="A",RANDBETWEEN(1,4),RANDBETWEEN(2,7))</f>
        <v>5</v>
      </c>
      <c r="O92" s="61">
        <f>IF(COUNTIF($A$2:A92,A92)=1,SUMIFS(tblSales[Revenue],tblSales[Order ID],tblSales[[#This Row],[Order ID]]),"")</f>
        <v>2231.9549999999999</v>
      </c>
      <c r="P92" t="str">
        <f>TEXT(tblSales[[#This Row],[Date]],"ddd")</f>
        <v>Sat</v>
      </c>
      <c r="Q92">
        <f>1/COUNTIF(tblSales[Order ID],tblSales[[#This Row],[Order ID]])</f>
        <v>0.2</v>
      </c>
    </row>
    <row r="93" spans="1:17" x14ac:dyDescent="0.3">
      <c r="A93">
        <v>201932</v>
      </c>
      <c r="B93" s="15">
        <v>45486</v>
      </c>
      <c r="C93">
        <v>130928</v>
      </c>
      <c r="D93">
        <v>300185</v>
      </c>
      <c r="E93" t="s">
        <v>1040</v>
      </c>
      <c r="F93" t="s">
        <v>1049</v>
      </c>
      <c r="G93">
        <v>4</v>
      </c>
      <c r="H93" s="59">
        <v>29.99</v>
      </c>
      <c r="I93" t="s">
        <v>120</v>
      </c>
      <c r="J93" t="s">
        <v>1047</v>
      </c>
      <c r="K93" s="60">
        <v>0.1</v>
      </c>
      <c r="L93" s="59">
        <v>11.996</v>
      </c>
      <c r="M93" s="61">
        <v>107.964</v>
      </c>
      <c r="N93">
        <f ca="1">IF(LEFT(tblSales[[#This Row],[Category]],1)="A",RANDBETWEEN(1,4),RANDBETWEEN(2,7))</f>
        <v>1</v>
      </c>
      <c r="O93" s="61" t="str">
        <f>IF(COUNTIF($A$2:A93,A93)=1,SUMIFS(tblSales[Revenue],tblSales[Order ID],tblSales[[#This Row],[Order ID]]),"")</f>
        <v/>
      </c>
      <c r="P93" t="str">
        <f>TEXT(tblSales[[#This Row],[Date]],"ddd")</f>
        <v>Sat</v>
      </c>
      <c r="Q93">
        <f>1/COUNTIF(tblSales[Order ID],tblSales[[#This Row],[Order ID]])</f>
        <v>0.2</v>
      </c>
    </row>
    <row r="94" spans="1:17" x14ac:dyDescent="0.3">
      <c r="A94">
        <v>201932</v>
      </c>
      <c r="B94" s="15">
        <v>45486</v>
      </c>
      <c r="C94">
        <v>130928</v>
      </c>
      <c r="D94">
        <v>100251</v>
      </c>
      <c r="E94" t="s">
        <v>1046</v>
      </c>
      <c r="F94" t="s">
        <v>150</v>
      </c>
      <c r="G94">
        <v>1</v>
      </c>
      <c r="H94" s="59">
        <v>399</v>
      </c>
      <c r="I94" t="s">
        <v>120</v>
      </c>
      <c r="J94" t="s">
        <v>1047</v>
      </c>
      <c r="K94" s="60">
        <v>0.1</v>
      </c>
      <c r="L94" s="59">
        <v>39.900000000000006</v>
      </c>
      <c r="M94" s="61">
        <v>359.1</v>
      </c>
      <c r="N94">
        <f ca="1">IF(LEFT(tblSales[[#This Row],[Category]],1)="A",RANDBETWEEN(1,4),RANDBETWEEN(2,7))</f>
        <v>7</v>
      </c>
      <c r="O94" s="61" t="str">
        <f>IF(COUNTIF($A$2:A94,A94)=1,SUMIFS(tblSales[Revenue],tblSales[Order ID],tblSales[[#This Row],[Order ID]]),"")</f>
        <v/>
      </c>
      <c r="P94" t="str">
        <f>TEXT(tblSales[[#This Row],[Date]],"ddd")</f>
        <v>Sat</v>
      </c>
      <c r="Q94">
        <f>1/COUNTIF(tblSales[Order ID],tblSales[[#This Row],[Order ID]])</f>
        <v>0.2</v>
      </c>
    </row>
    <row r="95" spans="1:17" x14ac:dyDescent="0.3">
      <c r="A95">
        <v>201932</v>
      </c>
      <c r="B95" s="15">
        <v>45486</v>
      </c>
      <c r="C95">
        <v>130928</v>
      </c>
      <c r="D95">
        <v>300188</v>
      </c>
      <c r="E95" t="s">
        <v>1040</v>
      </c>
      <c r="F95" t="s">
        <v>1060</v>
      </c>
      <c r="G95">
        <v>1</v>
      </c>
      <c r="H95" s="59">
        <v>64.989999999999995</v>
      </c>
      <c r="I95" t="s">
        <v>120</v>
      </c>
      <c r="J95" t="s">
        <v>1047</v>
      </c>
      <c r="K95" s="60">
        <v>0.1</v>
      </c>
      <c r="L95" s="59">
        <v>6.4989999999999997</v>
      </c>
      <c r="M95" s="61">
        <v>58.490999999999993</v>
      </c>
      <c r="N95">
        <f ca="1">IF(LEFT(tblSales[[#This Row],[Category]],1)="A",RANDBETWEEN(1,4),RANDBETWEEN(2,7))</f>
        <v>4</v>
      </c>
      <c r="O95" s="61" t="str">
        <f>IF(COUNTIF($A$2:A95,A95)=1,SUMIFS(tblSales[Revenue],tblSales[Order ID],tblSales[[#This Row],[Order ID]]),"")</f>
        <v/>
      </c>
      <c r="P95" t="str">
        <f>TEXT(tblSales[[#This Row],[Date]],"ddd")</f>
        <v>Sat</v>
      </c>
      <c r="Q95">
        <f>1/COUNTIF(tblSales[Order ID],tblSales[[#This Row],[Order ID]])</f>
        <v>0.2</v>
      </c>
    </row>
    <row r="96" spans="1:17" x14ac:dyDescent="0.3">
      <c r="A96">
        <v>201932</v>
      </c>
      <c r="B96" s="15">
        <v>45486</v>
      </c>
      <c r="C96">
        <v>130928</v>
      </c>
      <c r="D96">
        <v>100248</v>
      </c>
      <c r="E96" t="s">
        <v>1046</v>
      </c>
      <c r="F96" t="s">
        <v>168</v>
      </c>
      <c r="G96">
        <v>3</v>
      </c>
      <c r="H96" s="59">
        <v>199</v>
      </c>
      <c r="I96" t="s">
        <v>120</v>
      </c>
      <c r="J96" t="s">
        <v>1047</v>
      </c>
      <c r="K96" s="60">
        <v>0.1</v>
      </c>
      <c r="L96" s="59">
        <v>59.7</v>
      </c>
      <c r="M96" s="61">
        <v>537.29999999999995</v>
      </c>
      <c r="N96">
        <f ca="1">IF(LEFT(tblSales[[#This Row],[Category]],1)="A",RANDBETWEEN(1,4),RANDBETWEEN(2,7))</f>
        <v>5</v>
      </c>
      <c r="O96" s="61" t="str">
        <f>IF(COUNTIF($A$2:A96,A96)=1,SUMIFS(tblSales[Revenue],tblSales[Order ID],tblSales[[#This Row],[Order ID]]),"")</f>
        <v/>
      </c>
      <c r="P96" t="str">
        <f>TEXT(tblSales[[#This Row],[Date]],"ddd")</f>
        <v>Sat</v>
      </c>
      <c r="Q96">
        <f>1/COUNTIF(tblSales[Order ID],tblSales[[#This Row],[Order ID]])</f>
        <v>0.2</v>
      </c>
    </row>
    <row r="97" spans="1:17" x14ac:dyDescent="0.3">
      <c r="A97">
        <v>201933</v>
      </c>
      <c r="B97" s="15">
        <v>45491</v>
      </c>
      <c r="C97">
        <v>129549</v>
      </c>
      <c r="D97">
        <v>200552</v>
      </c>
      <c r="E97" t="s">
        <v>1043</v>
      </c>
      <c r="F97" t="s">
        <v>1056</v>
      </c>
      <c r="G97">
        <v>1</v>
      </c>
      <c r="H97" s="59">
        <v>49.99</v>
      </c>
      <c r="I97" t="s">
        <v>1041</v>
      </c>
      <c r="J97" t="s">
        <v>14</v>
      </c>
      <c r="K97" s="60" t="s">
        <v>14</v>
      </c>
      <c r="L97" s="59">
        <v>0</v>
      </c>
      <c r="M97" s="61">
        <v>49.99</v>
      </c>
      <c r="N97">
        <f ca="1">IF(LEFT(tblSales[[#This Row],[Category]],1)="A",RANDBETWEEN(1,4),RANDBETWEEN(2,7))</f>
        <v>3</v>
      </c>
      <c r="O97" s="61">
        <f>IF(COUNTIF($A$2:A97,A97)=1,SUMIFS(tblSales[Revenue],tblSales[Order ID],tblSales[[#This Row],[Order ID]]),"")</f>
        <v>699.97</v>
      </c>
      <c r="P97" t="str">
        <f>TEXT(tblSales[[#This Row],[Date]],"ddd")</f>
        <v>Thu</v>
      </c>
      <c r="Q97">
        <f>1/COUNTIF(tblSales[Order ID],tblSales[[#This Row],[Order ID]])</f>
        <v>0.2</v>
      </c>
    </row>
    <row r="98" spans="1:17" x14ac:dyDescent="0.3">
      <c r="A98">
        <v>201933</v>
      </c>
      <c r="B98" s="15">
        <v>45491</v>
      </c>
      <c r="C98">
        <v>129549</v>
      </c>
      <c r="D98">
        <v>300191</v>
      </c>
      <c r="E98" t="s">
        <v>1040</v>
      </c>
      <c r="F98" t="s">
        <v>1051</v>
      </c>
      <c r="G98">
        <v>1</v>
      </c>
      <c r="H98" s="59">
        <v>21.99</v>
      </c>
      <c r="I98" t="s">
        <v>1041</v>
      </c>
      <c r="J98" t="s">
        <v>14</v>
      </c>
      <c r="K98" s="60" t="s">
        <v>14</v>
      </c>
      <c r="L98" s="59">
        <v>0</v>
      </c>
      <c r="M98" s="61">
        <v>21.99</v>
      </c>
      <c r="N98">
        <f ca="1">IF(LEFT(tblSales[[#This Row],[Category]],1)="A",RANDBETWEEN(1,4),RANDBETWEEN(2,7))</f>
        <v>2</v>
      </c>
      <c r="O98" s="61" t="str">
        <f>IF(COUNTIF($A$2:A98,A98)=1,SUMIFS(tblSales[Revenue],tblSales[Order ID],tblSales[[#This Row],[Order ID]]),"")</f>
        <v/>
      </c>
      <c r="P98" t="str">
        <f>TEXT(tblSales[[#This Row],[Date]],"ddd")</f>
        <v>Thu</v>
      </c>
      <c r="Q98">
        <f>1/COUNTIF(tblSales[Order ID],tblSales[[#This Row],[Order ID]])</f>
        <v>0.2</v>
      </c>
    </row>
    <row r="99" spans="1:17" x14ac:dyDescent="0.3">
      <c r="A99">
        <v>201933</v>
      </c>
      <c r="B99" s="15">
        <v>45491</v>
      </c>
      <c r="C99">
        <v>129549</v>
      </c>
      <c r="D99">
        <v>100257</v>
      </c>
      <c r="E99" t="s">
        <v>1046</v>
      </c>
      <c r="F99" t="s">
        <v>180</v>
      </c>
      <c r="G99">
        <v>1</v>
      </c>
      <c r="H99" s="59">
        <v>379</v>
      </c>
      <c r="I99" t="s">
        <v>1041</v>
      </c>
      <c r="J99" t="s">
        <v>14</v>
      </c>
      <c r="K99" s="60" t="s">
        <v>14</v>
      </c>
      <c r="L99" s="59">
        <v>0</v>
      </c>
      <c r="M99" s="61">
        <v>379</v>
      </c>
      <c r="N99">
        <f ca="1">IF(LEFT(tblSales[[#This Row],[Category]],1)="A",RANDBETWEEN(1,4),RANDBETWEEN(2,7))</f>
        <v>2</v>
      </c>
      <c r="O99" s="61" t="str">
        <f>IF(COUNTIF($A$2:A99,A99)=1,SUMIFS(tblSales[Revenue],tblSales[Order ID],tblSales[[#This Row],[Order ID]]),"")</f>
        <v/>
      </c>
      <c r="P99" t="str">
        <f>TEXT(tblSales[[#This Row],[Date]],"ddd")</f>
        <v>Thu</v>
      </c>
      <c r="Q99">
        <f>1/COUNTIF(tblSales[Order ID],tblSales[[#This Row],[Order ID]])</f>
        <v>0.2</v>
      </c>
    </row>
    <row r="100" spans="1:17" x14ac:dyDescent="0.3">
      <c r="A100">
        <v>201933</v>
      </c>
      <c r="B100" s="15">
        <v>45491</v>
      </c>
      <c r="C100">
        <v>129549</v>
      </c>
      <c r="D100">
        <v>100248</v>
      </c>
      <c r="E100" t="s">
        <v>1046</v>
      </c>
      <c r="F100" t="s">
        <v>168</v>
      </c>
      <c r="G100">
        <v>1</v>
      </c>
      <c r="H100" s="59">
        <v>199</v>
      </c>
      <c r="I100" t="s">
        <v>1041</v>
      </c>
      <c r="J100" t="s">
        <v>14</v>
      </c>
      <c r="K100" s="60" t="s">
        <v>14</v>
      </c>
      <c r="L100" s="59">
        <v>0</v>
      </c>
      <c r="M100" s="61">
        <v>199</v>
      </c>
      <c r="N100">
        <f ca="1">IF(LEFT(tblSales[[#This Row],[Category]],1)="A",RANDBETWEEN(1,4),RANDBETWEEN(2,7))</f>
        <v>5</v>
      </c>
      <c r="O100" s="61" t="str">
        <f>IF(COUNTIF($A$2:A100,A100)=1,SUMIFS(tblSales[Revenue],tblSales[Order ID],tblSales[[#This Row],[Order ID]]),"")</f>
        <v/>
      </c>
      <c r="P100" t="str">
        <f>TEXT(tblSales[[#This Row],[Date]],"ddd")</f>
        <v>Thu</v>
      </c>
      <c r="Q100">
        <f>1/COUNTIF(tblSales[Order ID],tblSales[[#This Row],[Order ID]])</f>
        <v>0.2</v>
      </c>
    </row>
    <row r="101" spans="1:17" x14ac:dyDescent="0.3">
      <c r="A101">
        <v>201933</v>
      </c>
      <c r="B101" s="15">
        <v>45491</v>
      </c>
      <c r="C101">
        <v>129549</v>
      </c>
      <c r="D101">
        <v>300186</v>
      </c>
      <c r="E101" t="s">
        <v>1040</v>
      </c>
      <c r="F101" t="s">
        <v>1061</v>
      </c>
      <c r="G101">
        <v>1</v>
      </c>
      <c r="H101" s="59">
        <v>49.99</v>
      </c>
      <c r="I101" t="s">
        <v>1041</v>
      </c>
      <c r="J101" t="s">
        <v>14</v>
      </c>
      <c r="K101" s="60" t="s">
        <v>14</v>
      </c>
      <c r="L101" s="59">
        <v>0</v>
      </c>
      <c r="M101" s="61">
        <v>49.99</v>
      </c>
      <c r="N101">
        <f ca="1">IF(LEFT(tblSales[[#This Row],[Category]],1)="A",RANDBETWEEN(1,4),RANDBETWEEN(2,7))</f>
        <v>1</v>
      </c>
      <c r="O101" s="61" t="str">
        <f>IF(COUNTIF($A$2:A101,A101)=1,SUMIFS(tblSales[Revenue],tblSales[Order ID],tblSales[[#This Row],[Order ID]]),"")</f>
        <v/>
      </c>
      <c r="P101" t="str">
        <f>TEXT(tblSales[[#This Row],[Date]],"ddd")</f>
        <v>Thu</v>
      </c>
      <c r="Q101">
        <f>1/COUNTIF(tblSales[Order ID],tblSales[[#This Row],[Order ID]])</f>
        <v>0.2</v>
      </c>
    </row>
    <row r="102" spans="1:17" x14ac:dyDescent="0.3">
      <c r="A102">
        <v>201934</v>
      </c>
      <c r="B102" s="15">
        <v>45491</v>
      </c>
      <c r="C102">
        <v>115057</v>
      </c>
      <c r="D102">
        <v>300185</v>
      </c>
      <c r="E102" t="s">
        <v>1040</v>
      </c>
      <c r="F102" t="s">
        <v>1049</v>
      </c>
      <c r="G102">
        <v>1</v>
      </c>
      <c r="H102" s="59">
        <v>29.99</v>
      </c>
      <c r="I102" t="s">
        <v>1041</v>
      </c>
      <c r="J102" t="s">
        <v>14</v>
      </c>
      <c r="K102" s="60" t="s">
        <v>14</v>
      </c>
      <c r="L102" s="59">
        <v>0</v>
      </c>
      <c r="M102" s="61">
        <v>29.99</v>
      </c>
      <c r="N102">
        <f ca="1">IF(LEFT(tblSales[[#This Row],[Category]],1)="A",RANDBETWEEN(1,4),RANDBETWEEN(2,7))</f>
        <v>4</v>
      </c>
      <c r="O102" s="61">
        <f>IF(COUNTIF($A$2:A102,A102)=1,SUMIFS(tblSales[Revenue],tblSales[Order ID],tblSales[[#This Row],[Order ID]]),"")</f>
        <v>29.99</v>
      </c>
      <c r="P102" t="str">
        <f>TEXT(tblSales[[#This Row],[Date]],"ddd")</f>
        <v>Thu</v>
      </c>
      <c r="Q102">
        <f>1/COUNTIF(tblSales[Order ID],tblSales[[#This Row],[Order ID]])</f>
        <v>1</v>
      </c>
    </row>
    <row r="103" spans="1:17" x14ac:dyDescent="0.3">
      <c r="A103">
        <v>201935</v>
      </c>
      <c r="B103" s="15">
        <v>45488</v>
      </c>
      <c r="C103">
        <v>118115</v>
      </c>
      <c r="D103">
        <v>100252</v>
      </c>
      <c r="E103" t="s">
        <v>1046</v>
      </c>
      <c r="F103" t="s">
        <v>158</v>
      </c>
      <c r="G103">
        <v>2</v>
      </c>
      <c r="H103" s="59">
        <v>449</v>
      </c>
      <c r="I103" t="s">
        <v>1041</v>
      </c>
      <c r="J103" t="s">
        <v>14</v>
      </c>
      <c r="K103" s="60" t="s">
        <v>14</v>
      </c>
      <c r="L103" s="59">
        <v>0</v>
      </c>
      <c r="M103" s="61">
        <v>898</v>
      </c>
      <c r="N103">
        <f ca="1">IF(LEFT(tblSales[[#This Row],[Category]],1)="A",RANDBETWEEN(1,4),RANDBETWEEN(2,7))</f>
        <v>7</v>
      </c>
      <c r="O103" s="61">
        <f>IF(COUNTIF($A$2:A103,A103)=1,SUMIFS(tblSales[Revenue],tblSales[Order ID],tblSales[[#This Row],[Order ID]]),"")</f>
        <v>935.98</v>
      </c>
      <c r="P103" t="str">
        <f>TEXT(tblSales[[#This Row],[Date]],"ddd")</f>
        <v>Mon</v>
      </c>
      <c r="Q103">
        <f>1/COUNTIF(tblSales[Order ID],tblSales[[#This Row],[Order ID]])</f>
        <v>0.5</v>
      </c>
    </row>
    <row r="104" spans="1:17" x14ac:dyDescent="0.3">
      <c r="A104">
        <v>201935</v>
      </c>
      <c r="B104" s="15">
        <v>45488</v>
      </c>
      <c r="C104">
        <v>118115</v>
      </c>
      <c r="D104">
        <v>200549</v>
      </c>
      <c r="E104" t="s">
        <v>1043</v>
      </c>
      <c r="F104" t="s">
        <v>1042</v>
      </c>
      <c r="G104">
        <v>2</v>
      </c>
      <c r="H104" s="59">
        <v>18.989999999999998</v>
      </c>
      <c r="I104" t="s">
        <v>1041</v>
      </c>
      <c r="J104" t="s">
        <v>14</v>
      </c>
      <c r="K104" s="60" t="s">
        <v>14</v>
      </c>
      <c r="L104" s="59">
        <v>0</v>
      </c>
      <c r="M104" s="61">
        <v>37.979999999999997</v>
      </c>
      <c r="N104">
        <f ca="1">IF(LEFT(tblSales[[#This Row],[Category]],1)="A",RANDBETWEEN(1,4),RANDBETWEEN(2,7))</f>
        <v>1</v>
      </c>
      <c r="O104" s="61" t="str">
        <f>IF(COUNTIF($A$2:A104,A104)=1,SUMIFS(tblSales[Revenue],tblSales[Order ID],tblSales[[#This Row],[Order ID]]),"")</f>
        <v/>
      </c>
      <c r="P104" t="str">
        <f>TEXT(tblSales[[#This Row],[Date]],"ddd")</f>
        <v>Mon</v>
      </c>
      <c r="Q104">
        <f>1/COUNTIF(tblSales[Order ID],tblSales[[#This Row],[Order ID]])</f>
        <v>0.5</v>
      </c>
    </row>
    <row r="105" spans="1:17" x14ac:dyDescent="0.3">
      <c r="A105">
        <v>201936</v>
      </c>
      <c r="B105" s="15">
        <v>45487</v>
      </c>
      <c r="C105">
        <v>116550</v>
      </c>
      <c r="D105">
        <v>300185</v>
      </c>
      <c r="E105" t="s">
        <v>1040</v>
      </c>
      <c r="F105" t="s">
        <v>1049</v>
      </c>
      <c r="G105">
        <v>1</v>
      </c>
      <c r="H105" s="59">
        <v>29.99</v>
      </c>
      <c r="I105" t="s">
        <v>120</v>
      </c>
      <c r="J105" t="s">
        <v>1047</v>
      </c>
      <c r="K105" s="60">
        <v>0.1</v>
      </c>
      <c r="L105" s="59">
        <v>2.9990000000000001</v>
      </c>
      <c r="M105" s="61">
        <v>26.991</v>
      </c>
      <c r="N105">
        <f ca="1">IF(LEFT(tblSales[[#This Row],[Category]],1)="A",RANDBETWEEN(1,4),RANDBETWEEN(2,7))</f>
        <v>3</v>
      </c>
      <c r="O105" s="61">
        <f>IF(COUNTIF($A$2:A105,A105)=1,SUMIFS(tblSales[Revenue],tblSales[Order ID],tblSales[[#This Row],[Order ID]]),"")</f>
        <v>379.71899999999999</v>
      </c>
      <c r="P105" t="str">
        <f>TEXT(tblSales[[#This Row],[Date]],"ddd")</f>
        <v>Sun</v>
      </c>
      <c r="Q105">
        <f>1/COUNTIF(tblSales[Order ID],tblSales[[#This Row],[Order ID]])</f>
        <v>0.25</v>
      </c>
    </row>
    <row r="106" spans="1:17" x14ac:dyDescent="0.3">
      <c r="A106">
        <v>201936</v>
      </c>
      <c r="B106" s="15">
        <v>45487</v>
      </c>
      <c r="C106">
        <v>116550</v>
      </c>
      <c r="D106">
        <v>200559</v>
      </c>
      <c r="E106" t="s">
        <v>1043</v>
      </c>
      <c r="F106" t="s">
        <v>1045</v>
      </c>
      <c r="G106">
        <v>1</v>
      </c>
      <c r="H106" s="59">
        <v>59.99</v>
      </c>
      <c r="I106" t="s">
        <v>120</v>
      </c>
      <c r="J106" t="s">
        <v>1047</v>
      </c>
      <c r="K106" s="60">
        <v>0.1</v>
      </c>
      <c r="L106" s="59">
        <v>5.9990000000000006</v>
      </c>
      <c r="M106" s="61">
        <v>53.991</v>
      </c>
      <c r="N106">
        <f ca="1">IF(LEFT(tblSales[[#This Row],[Category]],1)="A",RANDBETWEEN(1,4),RANDBETWEEN(2,7))</f>
        <v>2</v>
      </c>
      <c r="O106" s="61" t="str">
        <f>IF(COUNTIF($A$2:A106,A106)=1,SUMIFS(tblSales[Revenue],tblSales[Order ID],tblSales[[#This Row],[Order ID]]),"")</f>
        <v/>
      </c>
      <c r="P106" t="str">
        <f>TEXT(tblSales[[#This Row],[Date]],"ddd")</f>
        <v>Sun</v>
      </c>
      <c r="Q106">
        <f>1/COUNTIF(tblSales[Order ID],tblSales[[#This Row],[Order ID]])</f>
        <v>0.25</v>
      </c>
    </row>
    <row r="107" spans="1:17" x14ac:dyDescent="0.3">
      <c r="A107">
        <v>201936</v>
      </c>
      <c r="B107" s="15">
        <v>45487</v>
      </c>
      <c r="C107">
        <v>116550</v>
      </c>
      <c r="D107">
        <v>200550</v>
      </c>
      <c r="E107" t="s">
        <v>1043</v>
      </c>
      <c r="F107" t="s">
        <v>1057</v>
      </c>
      <c r="G107">
        <v>2</v>
      </c>
      <c r="H107" s="59">
        <v>15.99</v>
      </c>
      <c r="I107" t="s">
        <v>120</v>
      </c>
      <c r="J107" t="s">
        <v>1047</v>
      </c>
      <c r="K107" s="60">
        <v>0.1</v>
      </c>
      <c r="L107" s="59">
        <v>3.1980000000000004</v>
      </c>
      <c r="M107" s="61">
        <v>28.782</v>
      </c>
      <c r="N107">
        <f ca="1">IF(LEFT(tblSales[[#This Row],[Category]],1)="A",RANDBETWEEN(1,4),RANDBETWEEN(2,7))</f>
        <v>3</v>
      </c>
      <c r="O107" s="61" t="str">
        <f>IF(COUNTIF($A$2:A107,A107)=1,SUMIFS(tblSales[Revenue],tblSales[Order ID],tblSales[[#This Row],[Order ID]]),"")</f>
        <v/>
      </c>
      <c r="P107" t="str">
        <f>TEXT(tblSales[[#This Row],[Date]],"ddd")</f>
        <v>Sun</v>
      </c>
      <c r="Q107">
        <f>1/COUNTIF(tblSales[Order ID],tblSales[[#This Row],[Order ID]])</f>
        <v>0.25</v>
      </c>
    </row>
    <row r="108" spans="1:17" x14ac:dyDescent="0.3">
      <c r="A108">
        <v>201936</v>
      </c>
      <c r="B108" s="15">
        <v>45487</v>
      </c>
      <c r="C108">
        <v>116550</v>
      </c>
      <c r="D108">
        <v>200559</v>
      </c>
      <c r="E108" t="s">
        <v>1043</v>
      </c>
      <c r="F108" t="s">
        <v>1045</v>
      </c>
      <c r="G108">
        <v>5</v>
      </c>
      <c r="H108" s="59">
        <v>59.99</v>
      </c>
      <c r="I108" t="s">
        <v>120</v>
      </c>
      <c r="J108" t="s">
        <v>1047</v>
      </c>
      <c r="K108" s="60">
        <v>0.1</v>
      </c>
      <c r="L108" s="59">
        <v>29.995000000000001</v>
      </c>
      <c r="M108" s="61">
        <v>269.95499999999998</v>
      </c>
      <c r="N108">
        <f ca="1">IF(LEFT(tblSales[[#This Row],[Category]],1)="A",RANDBETWEEN(1,4),RANDBETWEEN(2,7))</f>
        <v>3</v>
      </c>
      <c r="O108" s="61" t="str">
        <f>IF(COUNTIF($A$2:A108,A108)=1,SUMIFS(tblSales[Revenue],tblSales[Order ID],tblSales[[#This Row],[Order ID]]),"")</f>
        <v/>
      </c>
      <c r="P108" t="str">
        <f>TEXT(tblSales[[#This Row],[Date]],"ddd")</f>
        <v>Sun</v>
      </c>
      <c r="Q108">
        <f>1/COUNTIF(tblSales[Order ID],tblSales[[#This Row],[Order ID]])</f>
        <v>0.25</v>
      </c>
    </row>
    <row r="109" spans="1:17" x14ac:dyDescent="0.3">
      <c r="A109">
        <v>201937</v>
      </c>
      <c r="B109" s="15">
        <v>45485</v>
      </c>
      <c r="C109">
        <v>114108</v>
      </c>
      <c r="D109">
        <v>200559</v>
      </c>
      <c r="E109" t="s">
        <v>1043</v>
      </c>
      <c r="F109" t="s">
        <v>1045</v>
      </c>
      <c r="G109">
        <v>1</v>
      </c>
      <c r="H109" s="59">
        <v>59.99</v>
      </c>
      <c r="I109" t="s">
        <v>1041</v>
      </c>
      <c r="J109" t="s">
        <v>14</v>
      </c>
      <c r="K109" s="60" t="s">
        <v>14</v>
      </c>
      <c r="L109" s="59">
        <v>0</v>
      </c>
      <c r="M109" s="61">
        <v>59.99</v>
      </c>
      <c r="N109">
        <f ca="1">IF(LEFT(tblSales[[#This Row],[Category]],1)="A",RANDBETWEEN(1,4),RANDBETWEEN(2,7))</f>
        <v>2</v>
      </c>
      <c r="O109" s="61">
        <f>IF(COUNTIF($A$2:A109,A109)=1,SUMIFS(tblSales[Revenue],tblSales[Order ID],tblSales[[#This Row],[Order ID]]),"")</f>
        <v>508.92</v>
      </c>
      <c r="P109" t="str">
        <f>TEXT(tblSales[[#This Row],[Date]],"ddd")</f>
        <v>Fri</v>
      </c>
      <c r="Q109">
        <f>1/COUNTIF(tblSales[Order ID],tblSales[[#This Row],[Order ID]])</f>
        <v>0.25</v>
      </c>
    </row>
    <row r="110" spans="1:17" x14ac:dyDescent="0.3">
      <c r="A110">
        <v>201937</v>
      </c>
      <c r="B110" s="15">
        <v>45485</v>
      </c>
      <c r="C110">
        <v>114108</v>
      </c>
      <c r="D110">
        <v>200549</v>
      </c>
      <c r="E110" t="s">
        <v>1043</v>
      </c>
      <c r="F110" t="s">
        <v>1042</v>
      </c>
      <c r="G110">
        <v>1</v>
      </c>
      <c r="H110" s="59">
        <v>18.989999999999998</v>
      </c>
      <c r="I110" t="s">
        <v>1041</v>
      </c>
      <c r="J110" t="s">
        <v>14</v>
      </c>
      <c r="K110" s="60" t="s">
        <v>14</v>
      </c>
      <c r="L110" s="59">
        <v>0</v>
      </c>
      <c r="M110" s="61">
        <v>18.989999999999998</v>
      </c>
      <c r="N110">
        <f ca="1">IF(LEFT(tblSales[[#This Row],[Category]],1)="A",RANDBETWEEN(1,4),RANDBETWEEN(2,7))</f>
        <v>3</v>
      </c>
      <c r="O110" s="61" t="str">
        <f>IF(COUNTIF($A$2:A110,A110)=1,SUMIFS(tblSales[Revenue],tblSales[Order ID],tblSales[[#This Row],[Order ID]]),"")</f>
        <v/>
      </c>
      <c r="P110" t="str">
        <f>TEXT(tblSales[[#This Row],[Date]],"ddd")</f>
        <v>Fri</v>
      </c>
      <c r="Q110">
        <f>1/COUNTIF(tblSales[Order ID],tblSales[[#This Row],[Order ID]])</f>
        <v>0.25</v>
      </c>
    </row>
    <row r="111" spans="1:17" x14ac:dyDescent="0.3">
      <c r="A111">
        <v>201937</v>
      </c>
      <c r="B111" s="15">
        <v>45485</v>
      </c>
      <c r="C111">
        <v>114108</v>
      </c>
      <c r="D111">
        <v>200551</v>
      </c>
      <c r="E111" t="s">
        <v>1043</v>
      </c>
      <c r="F111" t="s">
        <v>1062</v>
      </c>
      <c r="G111">
        <v>5</v>
      </c>
      <c r="H111" s="59">
        <v>79.989999999999995</v>
      </c>
      <c r="I111" t="s">
        <v>1041</v>
      </c>
      <c r="J111" t="s">
        <v>14</v>
      </c>
      <c r="K111" s="60" t="s">
        <v>14</v>
      </c>
      <c r="L111" s="59">
        <v>0</v>
      </c>
      <c r="M111" s="61">
        <v>399.95</v>
      </c>
      <c r="N111">
        <f ca="1">IF(LEFT(tblSales[[#This Row],[Category]],1)="A",RANDBETWEEN(1,4),RANDBETWEEN(2,7))</f>
        <v>3</v>
      </c>
      <c r="O111" s="61" t="str">
        <f>IF(COUNTIF($A$2:A111,A111)=1,SUMIFS(tblSales[Revenue],tblSales[Order ID],tblSales[[#This Row],[Order ID]]),"")</f>
        <v/>
      </c>
      <c r="P111" t="str">
        <f>TEXT(tblSales[[#This Row],[Date]],"ddd")</f>
        <v>Fri</v>
      </c>
      <c r="Q111">
        <f>1/COUNTIF(tblSales[Order ID],tblSales[[#This Row],[Order ID]])</f>
        <v>0.25</v>
      </c>
    </row>
    <row r="112" spans="1:17" x14ac:dyDescent="0.3">
      <c r="A112">
        <v>201937</v>
      </c>
      <c r="B112" s="15">
        <v>45485</v>
      </c>
      <c r="C112">
        <v>114108</v>
      </c>
      <c r="D112">
        <v>200548</v>
      </c>
      <c r="E112" t="s">
        <v>1043</v>
      </c>
      <c r="F112" t="s">
        <v>1059</v>
      </c>
      <c r="G112">
        <v>1</v>
      </c>
      <c r="H112" s="59">
        <v>29.99</v>
      </c>
      <c r="I112" t="s">
        <v>1041</v>
      </c>
      <c r="J112" t="s">
        <v>14</v>
      </c>
      <c r="K112" s="60" t="s">
        <v>14</v>
      </c>
      <c r="L112" s="59">
        <v>0</v>
      </c>
      <c r="M112" s="61">
        <v>29.99</v>
      </c>
      <c r="N112">
        <f ca="1">IF(LEFT(tblSales[[#This Row],[Category]],1)="A",RANDBETWEEN(1,4),RANDBETWEEN(2,7))</f>
        <v>4</v>
      </c>
      <c r="O112" s="61" t="str">
        <f>IF(COUNTIF($A$2:A112,A112)=1,SUMIFS(tblSales[Revenue],tblSales[Order ID],tblSales[[#This Row],[Order ID]]),"")</f>
        <v/>
      </c>
      <c r="P112" t="str">
        <f>TEXT(tblSales[[#This Row],[Date]],"ddd")</f>
        <v>Fri</v>
      </c>
      <c r="Q112">
        <f>1/COUNTIF(tblSales[Order ID],tblSales[[#This Row],[Order ID]])</f>
        <v>0.25</v>
      </c>
    </row>
    <row r="113" spans="1:17" x14ac:dyDescent="0.3">
      <c r="A113">
        <v>201938</v>
      </c>
      <c r="B113" s="15">
        <v>45494</v>
      </c>
      <c r="C113">
        <v>124837</v>
      </c>
      <c r="D113">
        <v>200554</v>
      </c>
      <c r="E113" t="s">
        <v>1043</v>
      </c>
      <c r="F113" t="s">
        <v>1048</v>
      </c>
      <c r="G113">
        <v>3</v>
      </c>
      <c r="H113" s="59">
        <v>67.989999999999995</v>
      </c>
      <c r="I113" t="s">
        <v>1041</v>
      </c>
      <c r="J113" t="s">
        <v>14</v>
      </c>
      <c r="K113" s="60" t="s">
        <v>14</v>
      </c>
      <c r="L113" s="59">
        <v>0</v>
      </c>
      <c r="M113" s="61">
        <v>203.96999999999997</v>
      </c>
      <c r="N113">
        <f ca="1">IF(LEFT(tblSales[[#This Row],[Category]],1)="A",RANDBETWEEN(1,4),RANDBETWEEN(2,7))</f>
        <v>2</v>
      </c>
      <c r="O113" s="61">
        <f>IF(COUNTIF($A$2:A113,A113)=1,SUMIFS(tblSales[Revenue],tblSales[Order ID],tblSales[[#This Row],[Order ID]]),"")</f>
        <v>203.96999999999997</v>
      </c>
      <c r="P113" t="str">
        <f>TEXT(tblSales[[#This Row],[Date]],"ddd")</f>
        <v>Sun</v>
      </c>
      <c r="Q113">
        <f>1/COUNTIF(tblSales[Order ID],tblSales[[#This Row],[Order ID]])</f>
        <v>1</v>
      </c>
    </row>
    <row r="114" spans="1:17" x14ac:dyDescent="0.3">
      <c r="A114">
        <v>201939</v>
      </c>
      <c r="B114" s="15">
        <v>45486</v>
      </c>
      <c r="C114">
        <v>124132</v>
      </c>
      <c r="D114">
        <v>200559</v>
      </c>
      <c r="E114" t="s">
        <v>1043</v>
      </c>
      <c r="F114" t="s">
        <v>1045</v>
      </c>
      <c r="G114">
        <v>1</v>
      </c>
      <c r="H114" s="59">
        <v>59.99</v>
      </c>
      <c r="I114" t="s">
        <v>1041</v>
      </c>
      <c r="J114" t="s">
        <v>14</v>
      </c>
      <c r="K114" s="60" t="s">
        <v>14</v>
      </c>
      <c r="L114" s="59">
        <v>0</v>
      </c>
      <c r="M114" s="61">
        <v>59.99</v>
      </c>
      <c r="N114">
        <f ca="1">IF(LEFT(tblSales[[#This Row],[Category]],1)="A",RANDBETWEEN(1,4),RANDBETWEEN(2,7))</f>
        <v>3</v>
      </c>
      <c r="O114" s="61">
        <f>IF(COUNTIF($A$2:A114,A114)=1,SUMIFS(tblSales[Revenue],tblSales[Order ID],tblSales[[#This Row],[Order ID]]),"")</f>
        <v>59.99</v>
      </c>
      <c r="P114" t="str">
        <f>TEXT(tblSales[[#This Row],[Date]],"ddd")</f>
        <v>Sat</v>
      </c>
      <c r="Q114">
        <f>1/COUNTIF(tblSales[Order ID],tblSales[[#This Row],[Order ID]])</f>
        <v>1</v>
      </c>
    </row>
    <row r="115" spans="1:17" x14ac:dyDescent="0.3">
      <c r="A115">
        <v>201940</v>
      </c>
      <c r="B115" s="15">
        <v>45484</v>
      </c>
      <c r="C115">
        <v>111174</v>
      </c>
      <c r="D115">
        <v>200559</v>
      </c>
      <c r="E115" t="s">
        <v>1043</v>
      </c>
      <c r="F115" t="s">
        <v>1045</v>
      </c>
      <c r="G115">
        <v>1</v>
      </c>
      <c r="H115" s="59">
        <v>59.99</v>
      </c>
      <c r="I115" t="s">
        <v>1041</v>
      </c>
      <c r="J115" t="s">
        <v>14</v>
      </c>
      <c r="K115" s="60" t="s">
        <v>14</v>
      </c>
      <c r="L115" s="59">
        <v>0</v>
      </c>
      <c r="M115" s="61">
        <v>59.99</v>
      </c>
      <c r="N115">
        <f ca="1">IF(LEFT(tblSales[[#This Row],[Category]],1)="A",RANDBETWEEN(1,4),RANDBETWEEN(2,7))</f>
        <v>1</v>
      </c>
      <c r="O115" s="61">
        <f>IF(COUNTIF($A$2:A115,A115)=1,SUMIFS(tblSales[Revenue],tblSales[Order ID],tblSales[[#This Row],[Order ID]]),"")</f>
        <v>59.99</v>
      </c>
      <c r="P115" t="str">
        <f>TEXT(tblSales[[#This Row],[Date]],"ddd")</f>
        <v>Thu</v>
      </c>
      <c r="Q115">
        <f>1/COUNTIF(tblSales[Order ID],tblSales[[#This Row],[Order ID]])</f>
        <v>1</v>
      </c>
    </row>
    <row r="116" spans="1:17" x14ac:dyDescent="0.3">
      <c r="A116">
        <v>201941</v>
      </c>
      <c r="B116" s="15">
        <v>45481</v>
      </c>
      <c r="C116">
        <v>121247</v>
      </c>
      <c r="D116">
        <v>200549</v>
      </c>
      <c r="E116" t="s">
        <v>1043</v>
      </c>
      <c r="F116" t="s">
        <v>1042</v>
      </c>
      <c r="G116">
        <v>1</v>
      </c>
      <c r="H116" s="59">
        <v>18.989999999999998</v>
      </c>
      <c r="I116" t="s">
        <v>1041</v>
      </c>
      <c r="J116" t="s">
        <v>14</v>
      </c>
      <c r="K116" s="60" t="s">
        <v>14</v>
      </c>
      <c r="L116" s="59">
        <v>0</v>
      </c>
      <c r="M116" s="61">
        <v>18.989999999999998</v>
      </c>
      <c r="N116">
        <f ca="1">IF(LEFT(tblSales[[#This Row],[Category]],1)="A",RANDBETWEEN(1,4),RANDBETWEEN(2,7))</f>
        <v>4</v>
      </c>
      <c r="O116" s="61">
        <f>IF(COUNTIF($A$2:A116,A116)=1,SUMIFS(tblSales[Revenue],tblSales[Order ID],tblSales[[#This Row],[Order ID]]),"")</f>
        <v>18.989999999999998</v>
      </c>
      <c r="P116" t="str">
        <f>TEXT(tblSales[[#This Row],[Date]],"ddd")</f>
        <v>Mon</v>
      </c>
      <c r="Q116">
        <f>1/COUNTIF(tblSales[Order ID],tblSales[[#This Row],[Order ID]])</f>
        <v>1</v>
      </c>
    </row>
    <row r="117" spans="1:17" x14ac:dyDescent="0.3">
      <c r="A117">
        <v>201942</v>
      </c>
      <c r="B117" s="15">
        <v>45483</v>
      </c>
      <c r="C117">
        <v>129825</v>
      </c>
      <c r="D117">
        <v>200551</v>
      </c>
      <c r="E117" t="s">
        <v>1043</v>
      </c>
      <c r="F117" t="s">
        <v>1062</v>
      </c>
      <c r="G117">
        <v>5</v>
      </c>
      <c r="H117" s="59">
        <v>79.989999999999995</v>
      </c>
      <c r="I117" t="s">
        <v>1041</v>
      </c>
      <c r="J117" t="s">
        <v>14</v>
      </c>
      <c r="K117" s="60" t="s">
        <v>14</v>
      </c>
      <c r="L117" s="59">
        <v>0</v>
      </c>
      <c r="M117" s="61">
        <v>399.95</v>
      </c>
      <c r="N117">
        <f ca="1">IF(LEFT(tblSales[[#This Row],[Category]],1)="A",RANDBETWEEN(1,4),RANDBETWEEN(2,7))</f>
        <v>3</v>
      </c>
      <c r="O117" s="61">
        <f>IF(COUNTIF($A$2:A117,A117)=1,SUMIFS(tblSales[Revenue],tblSales[Order ID],tblSales[[#This Row],[Order ID]]),"")</f>
        <v>576.9</v>
      </c>
      <c r="P117" t="str">
        <f>TEXT(tblSales[[#This Row],[Date]],"ddd")</f>
        <v>Wed</v>
      </c>
      <c r="Q117">
        <f>1/COUNTIF(tblSales[Order ID],tblSales[[#This Row],[Order ID]])</f>
        <v>0.33333333333333331</v>
      </c>
    </row>
    <row r="118" spans="1:17" x14ac:dyDescent="0.3">
      <c r="A118">
        <v>201942</v>
      </c>
      <c r="B118" s="15">
        <v>45483</v>
      </c>
      <c r="C118">
        <v>129825</v>
      </c>
      <c r="D118">
        <v>200559</v>
      </c>
      <c r="E118" t="s">
        <v>1043</v>
      </c>
      <c r="F118" t="s">
        <v>1045</v>
      </c>
      <c r="G118">
        <v>2</v>
      </c>
      <c r="H118" s="59">
        <v>59.99</v>
      </c>
      <c r="I118" t="s">
        <v>1041</v>
      </c>
      <c r="J118" t="s">
        <v>14</v>
      </c>
      <c r="K118" s="60" t="s">
        <v>14</v>
      </c>
      <c r="L118" s="59">
        <v>0</v>
      </c>
      <c r="M118" s="61">
        <v>119.98</v>
      </c>
      <c r="N118">
        <f ca="1">IF(LEFT(tblSales[[#This Row],[Category]],1)="A",RANDBETWEEN(1,4),RANDBETWEEN(2,7))</f>
        <v>1</v>
      </c>
      <c r="O118" s="61" t="str">
        <f>IF(COUNTIF($A$2:A118,A118)=1,SUMIFS(tblSales[Revenue],tblSales[Order ID],tblSales[[#This Row],[Order ID]]),"")</f>
        <v/>
      </c>
      <c r="P118" t="str">
        <f>TEXT(tblSales[[#This Row],[Date]],"ddd")</f>
        <v>Wed</v>
      </c>
      <c r="Q118">
        <f>1/COUNTIF(tblSales[Order ID],tblSales[[#This Row],[Order ID]])</f>
        <v>0.33333333333333331</v>
      </c>
    </row>
    <row r="119" spans="1:17" x14ac:dyDescent="0.3">
      <c r="A119">
        <v>201942</v>
      </c>
      <c r="B119" s="15">
        <v>45483</v>
      </c>
      <c r="C119">
        <v>129825</v>
      </c>
      <c r="D119">
        <v>200549</v>
      </c>
      <c r="E119" t="s">
        <v>1043</v>
      </c>
      <c r="F119" t="s">
        <v>1042</v>
      </c>
      <c r="G119">
        <v>3</v>
      </c>
      <c r="H119" s="59">
        <v>18.989999999999998</v>
      </c>
      <c r="I119" t="s">
        <v>1041</v>
      </c>
      <c r="J119" t="s">
        <v>14</v>
      </c>
      <c r="K119" s="60" t="s">
        <v>14</v>
      </c>
      <c r="L119" s="59">
        <v>0</v>
      </c>
      <c r="M119" s="61">
        <v>56.97</v>
      </c>
      <c r="N119">
        <f ca="1">IF(LEFT(tblSales[[#This Row],[Category]],1)="A",RANDBETWEEN(1,4),RANDBETWEEN(2,7))</f>
        <v>3</v>
      </c>
      <c r="O119" s="61" t="str">
        <f>IF(COUNTIF($A$2:A119,A119)=1,SUMIFS(tblSales[Revenue],tblSales[Order ID],tblSales[[#This Row],[Order ID]]),"")</f>
        <v/>
      </c>
      <c r="P119" t="str">
        <f>TEXT(tblSales[[#This Row],[Date]],"ddd")</f>
        <v>Wed</v>
      </c>
      <c r="Q119">
        <f>1/COUNTIF(tblSales[Order ID],tblSales[[#This Row],[Order ID]])</f>
        <v>0.33333333333333331</v>
      </c>
    </row>
    <row r="120" spans="1:17" x14ac:dyDescent="0.3">
      <c r="A120">
        <v>201943</v>
      </c>
      <c r="B120" s="15">
        <v>45488</v>
      </c>
      <c r="C120">
        <v>129503</v>
      </c>
      <c r="D120">
        <v>100257</v>
      </c>
      <c r="E120" t="s">
        <v>1046</v>
      </c>
      <c r="F120" t="s">
        <v>180</v>
      </c>
      <c r="G120">
        <v>5</v>
      </c>
      <c r="H120" s="59">
        <v>379</v>
      </c>
      <c r="I120" t="s">
        <v>1041</v>
      </c>
      <c r="J120" t="s">
        <v>14</v>
      </c>
      <c r="K120" s="60" t="s">
        <v>14</v>
      </c>
      <c r="L120" s="59">
        <v>0</v>
      </c>
      <c r="M120" s="61">
        <v>1895</v>
      </c>
      <c r="N120">
        <f ca="1">IF(LEFT(tblSales[[#This Row],[Category]],1)="A",RANDBETWEEN(1,4),RANDBETWEEN(2,7))</f>
        <v>5</v>
      </c>
      <c r="O120" s="61">
        <f>IF(COUNTIF($A$2:A120,A120)=1,SUMIFS(tblSales[Revenue],tblSales[Order ID],tblSales[[#This Row],[Order ID]]),"")</f>
        <v>3286.9799999999996</v>
      </c>
      <c r="P120" t="str">
        <f>TEXT(tblSales[[#This Row],[Date]],"ddd")</f>
        <v>Mon</v>
      </c>
      <c r="Q120">
        <f>1/COUNTIF(tblSales[Order ID],tblSales[[#This Row],[Order ID]])</f>
        <v>0.25</v>
      </c>
    </row>
    <row r="121" spans="1:17" x14ac:dyDescent="0.3">
      <c r="A121">
        <v>201943</v>
      </c>
      <c r="B121" s="15">
        <v>45488</v>
      </c>
      <c r="C121">
        <v>129503</v>
      </c>
      <c r="D121">
        <v>100255</v>
      </c>
      <c r="E121" t="s">
        <v>1046</v>
      </c>
      <c r="F121" t="s">
        <v>172</v>
      </c>
      <c r="G121">
        <v>1</v>
      </c>
      <c r="H121" s="59">
        <v>1299</v>
      </c>
      <c r="I121" t="s">
        <v>1041</v>
      </c>
      <c r="J121" t="s">
        <v>14</v>
      </c>
      <c r="K121" s="60" t="s">
        <v>14</v>
      </c>
      <c r="L121" s="59">
        <v>0</v>
      </c>
      <c r="M121" s="61">
        <v>1299</v>
      </c>
      <c r="N121">
        <f ca="1">IF(LEFT(tblSales[[#This Row],[Category]],1)="A",RANDBETWEEN(1,4),RANDBETWEEN(2,7))</f>
        <v>3</v>
      </c>
      <c r="O121" s="61" t="str">
        <f>IF(COUNTIF($A$2:A121,A121)=1,SUMIFS(tblSales[Revenue],tblSales[Order ID],tblSales[[#This Row],[Order ID]]),"")</f>
        <v/>
      </c>
      <c r="P121" t="str">
        <f>TEXT(tblSales[[#This Row],[Date]],"ddd")</f>
        <v>Mon</v>
      </c>
      <c r="Q121">
        <f>1/COUNTIF(tblSales[Order ID],tblSales[[#This Row],[Order ID]])</f>
        <v>0.25</v>
      </c>
    </row>
    <row r="122" spans="1:17" x14ac:dyDescent="0.3">
      <c r="A122">
        <v>201943</v>
      </c>
      <c r="B122" s="15">
        <v>45488</v>
      </c>
      <c r="C122">
        <v>129503</v>
      </c>
      <c r="D122">
        <v>200554</v>
      </c>
      <c r="E122" t="s">
        <v>1043</v>
      </c>
      <c r="F122" t="s">
        <v>1048</v>
      </c>
      <c r="G122">
        <v>1</v>
      </c>
      <c r="H122" s="59">
        <v>67.989999999999995</v>
      </c>
      <c r="I122" t="s">
        <v>1041</v>
      </c>
      <c r="J122" t="s">
        <v>14</v>
      </c>
      <c r="K122" s="60" t="s">
        <v>14</v>
      </c>
      <c r="L122" s="59">
        <v>0</v>
      </c>
      <c r="M122" s="61">
        <v>67.989999999999995</v>
      </c>
      <c r="N122">
        <f ca="1">IF(LEFT(tblSales[[#This Row],[Category]],1)="A",RANDBETWEEN(1,4),RANDBETWEEN(2,7))</f>
        <v>3</v>
      </c>
      <c r="O122" s="61" t="str">
        <f>IF(COUNTIF($A$2:A122,A122)=1,SUMIFS(tblSales[Revenue],tblSales[Order ID],tblSales[[#This Row],[Order ID]]),"")</f>
        <v/>
      </c>
      <c r="P122" t="str">
        <f>TEXT(tblSales[[#This Row],[Date]],"ddd")</f>
        <v>Mon</v>
      </c>
      <c r="Q122">
        <f>1/COUNTIF(tblSales[Order ID],tblSales[[#This Row],[Order ID]])</f>
        <v>0.25</v>
      </c>
    </row>
    <row r="123" spans="1:17" x14ac:dyDescent="0.3">
      <c r="A123">
        <v>201943</v>
      </c>
      <c r="B123" s="15">
        <v>45488</v>
      </c>
      <c r="C123">
        <v>129503</v>
      </c>
      <c r="D123">
        <v>300189</v>
      </c>
      <c r="E123" t="s">
        <v>1040</v>
      </c>
      <c r="F123" t="s">
        <v>1050</v>
      </c>
      <c r="G123">
        <v>1</v>
      </c>
      <c r="H123" s="59">
        <v>24.99</v>
      </c>
      <c r="I123" t="s">
        <v>1041</v>
      </c>
      <c r="J123" t="s">
        <v>14</v>
      </c>
      <c r="K123" s="60" t="s">
        <v>14</v>
      </c>
      <c r="L123" s="59">
        <v>0</v>
      </c>
      <c r="M123" s="61">
        <v>24.99</v>
      </c>
      <c r="N123">
        <f ca="1">IF(LEFT(tblSales[[#This Row],[Category]],1)="A",RANDBETWEEN(1,4),RANDBETWEEN(2,7))</f>
        <v>4</v>
      </c>
      <c r="O123" s="61" t="str">
        <f>IF(COUNTIF($A$2:A123,A123)=1,SUMIFS(tblSales[Revenue],tblSales[Order ID],tblSales[[#This Row],[Order ID]]),"")</f>
        <v/>
      </c>
      <c r="P123" t="str">
        <f>TEXT(tblSales[[#This Row],[Date]],"ddd")</f>
        <v>Mon</v>
      </c>
      <c r="Q123">
        <f>1/COUNTIF(tblSales[Order ID],tblSales[[#This Row],[Order ID]])</f>
        <v>0.25</v>
      </c>
    </row>
    <row r="124" spans="1:17" x14ac:dyDescent="0.3">
      <c r="A124">
        <v>201944</v>
      </c>
      <c r="B124" s="15">
        <v>45485</v>
      </c>
      <c r="C124">
        <v>127801</v>
      </c>
      <c r="D124">
        <v>100254</v>
      </c>
      <c r="E124" t="s">
        <v>1046</v>
      </c>
      <c r="F124" t="s">
        <v>164</v>
      </c>
      <c r="G124">
        <v>1</v>
      </c>
      <c r="H124" s="59">
        <v>799</v>
      </c>
      <c r="I124" t="s">
        <v>1041</v>
      </c>
      <c r="J124" t="s">
        <v>14</v>
      </c>
      <c r="K124" s="60" t="s">
        <v>14</v>
      </c>
      <c r="L124" s="59">
        <v>0</v>
      </c>
      <c r="M124" s="61">
        <v>799</v>
      </c>
      <c r="N124">
        <f ca="1">IF(LEFT(tblSales[[#This Row],[Category]],1)="A",RANDBETWEEN(1,4),RANDBETWEEN(2,7))</f>
        <v>2</v>
      </c>
      <c r="O124" s="61">
        <f>IF(COUNTIF($A$2:A124,A124)=1,SUMIFS(tblSales[Revenue],tblSales[Order ID],tblSales[[#This Row],[Order ID]]),"")</f>
        <v>1598</v>
      </c>
      <c r="P124" t="str">
        <f>TEXT(tblSales[[#This Row],[Date]],"ddd")</f>
        <v>Fri</v>
      </c>
      <c r="Q124">
        <f>1/COUNTIF(tblSales[Order ID],tblSales[[#This Row],[Order ID]])</f>
        <v>0.5</v>
      </c>
    </row>
    <row r="125" spans="1:17" x14ac:dyDescent="0.3">
      <c r="A125">
        <v>201944</v>
      </c>
      <c r="B125" s="15">
        <v>45485</v>
      </c>
      <c r="C125">
        <v>127801</v>
      </c>
      <c r="D125">
        <v>100254</v>
      </c>
      <c r="E125" t="s">
        <v>1046</v>
      </c>
      <c r="F125" t="s">
        <v>164</v>
      </c>
      <c r="G125">
        <v>1</v>
      </c>
      <c r="H125" s="59">
        <v>799</v>
      </c>
      <c r="I125" t="s">
        <v>1041</v>
      </c>
      <c r="J125" t="s">
        <v>14</v>
      </c>
      <c r="K125" s="60" t="s">
        <v>14</v>
      </c>
      <c r="L125" s="59">
        <v>0</v>
      </c>
      <c r="M125" s="61">
        <v>799</v>
      </c>
      <c r="N125">
        <f ca="1">IF(LEFT(tblSales[[#This Row],[Category]],1)="A",RANDBETWEEN(1,4),RANDBETWEEN(2,7))</f>
        <v>7</v>
      </c>
      <c r="O125" s="61" t="str">
        <f>IF(COUNTIF($A$2:A125,A125)=1,SUMIFS(tblSales[Revenue],tblSales[Order ID],tblSales[[#This Row],[Order ID]]),"")</f>
        <v/>
      </c>
      <c r="P125" t="str">
        <f>TEXT(tblSales[[#This Row],[Date]],"ddd")</f>
        <v>Fri</v>
      </c>
      <c r="Q125">
        <f>1/COUNTIF(tblSales[Order ID],tblSales[[#This Row],[Order ID]])</f>
        <v>0.5</v>
      </c>
    </row>
    <row r="126" spans="1:17" x14ac:dyDescent="0.3">
      <c r="A126">
        <v>201945</v>
      </c>
      <c r="B126" s="15">
        <v>45484</v>
      </c>
      <c r="C126">
        <v>118065</v>
      </c>
      <c r="D126">
        <v>100249</v>
      </c>
      <c r="E126" t="s">
        <v>1046</v>
      </c>
      <c r="F126" t="s">
        <v>190</v>
      </c>
      <c r="G126">
        <v>1</v>
      </c>
      <c r="H126" s="59">
        <v>249</v>
      </c>
      <c r="I126" t="s">
        <v>1041</v>
      </c>
      <c r="J126" t="s">
        <v>14</v>
      </c>
      <c r="K126" s="60" t="s">
        <v>14</v>
      </c>
      <c r="L126" s="59">
        <v>0</v>
      </c>
      <c r="M126" s="61">
        <v>249</v>
      </c>
      <c r="N126">
        <f ca="1">IF(LEFT(tblSales[[#This Row],[Category]],1)="A",RANDBETWEEN(1,4),RANDBETWEEN(2,7))</f>
        <v>6</v>
      </c>
      <c r="O126" s="61">
        <f>IF(COUNTIF($A$2:A126,A126)=1,SUMIFS(tblSales[Revenue],tblSales[Order ID],tblSales[[#This Row],[Order ID]]),"")</f>
        <v>540.92000000000007</v>
      </c>
      <c r="P126" t="str">
        <f>TEXT(tblSales[[#This Row],[Date]],"ddd")</f>
        <v>Thu</v>
      </c>
      <c r="Q126">
        <f>1/COUNTIF(tblSales[Order ID],tblSales[[#This Row],[Order ID]])</f>
        <v>0.25</v>
      </c>
    </row>
    <row r="127" spans="1:17" x14ac:dyDescent="0.3">
      <c r="A127">
        <v>201945</v>
      </c>
      <c r="B127" s="15">
        <v>45484</v>
      </c>
      <c r="C127">
        <v>118065</v>
      </c>
      <c r="D127">
        <v>300190</v>
      </c>
      <c r="E127" t="s">
        <v>1040</v>
      </c>
      <c r="F127" t="s">
        <v>1039</v>
      </c>
      <c r="G127">
        <v>1</v>
      </c>
      <c r="H127" s="59">
        <v>35.99</v>
      </c>
      <c r="I127" t="s">
        <v>1041</v>
      </c>
      <c r="J127" t="s">
        <v>14</v>
      </c>
      <c r="K127" s="60" t="s">
        <v>14</v>
      </c>
      <c r="L127" s="59">
        <v>0</v>
      </c>
      <c r="M127" s="61">
        <v>35.99</v>
      </c>
      <c r="N127">
        <f ca="1">IF(LEFT(tblSales[[#This Row],[Category]],1)="A",RANDBETWEEN(1,4),RANDBETWEEN(2,7))</f>
        <v>1</v>
      </c>
      <c r="O127" s="61" t="str">
        <f>IF(COUNTIF($A$2:A127,A127)=1,SUMIFS(tblSales[Revenue],tblSales[Order ID],tblSales[[#This Row],[Order ID]]),"")</f>
        <v/>
      </c>
      <c r="P127" t="str">
        <f>TEXT(tblSales[[#This Row],[Date]],"ddd")</f>
        <v>Thu</v>
      </c>
      <c r="Q127">
        <f>1/COUNTIF(tblSales[Order ID],tblSales[[#This Row],[Order ID]])</f>
        <v>0.25</v>
      </c>
    </row>
    <row r="128" spans="1:17" x14ac:dyDescent="0.3">
      <c r="A128">
        <v>201945</v>
      </c>
      <c r="B128" s="15">
        <v>45484</v>
      </c>
      <c r="C128">
        <v>118065</v>
      </c>
      <c r="D128">
        <v>200559</v>
      </c>
      <c r="E128" t="s">
        <v>1043</v>
      </c>
      <c r="F128" t="s">
        <v>1045</v>
      </c>
      <c r="G128">
        <v>3</v>
      </c>
      <c r="H128" s="59">
        <v>59.99</v>
      </c>
      <c r="I128" t="s">
        <v>1041</v>
      </c>
      <c r="J128" t="s">
        <v>14</v>
      </c>
      <c r="K128" s="60" t="s">
        <v>14</v>
      </c>
      <c r="L128" s="59">
        <v>0</v>
      </c>
      <c r="M128" s="61">
        <v>179.97</v>
      </c>
      <c r="N128">
        <f ca="1">IF(LEFT(tblSales[[#This Row],[Category]],1)="A",RANDBETWEEN(1,4),RANDBETWEEN(2,7))</f>
        <v>3</v>
      </c>
      <c r="O128" s="61" t="str">
        <f>IF(COUNTIF($A$2:A128,A128)=1,SUMIFS(tblSales[Revenue],tblSales[Order ID],tblSales[[#This Row],[Order ID]]),"")</f>
        <v/>
      </c>
      <c r="P128" t="str">
        <f>TEXT(tblSales[[#This Row],[Date]],"ddd")</f>
        <v>Thu</v>
      </c>
      <c r="Q128">
        <f>1/COUNTIF(tblSales[Order ID],tblSales[[#This Row],[Order ID]])</f>
        <v>0.25</v>
      </c>
    </row>
    <row r="129" spans="1:17" x14ac:dyDescent="0.3">
      <c r="A129">
        <v>201945</v>
      </c>
      <c r="B129" s="15">
        <v>45484</v>
      </c>
      <c r="C129">
        <v>118065</v>
      </c>
      <c r="D129">
        <v>200549</v>
      </c>
      <c r="E129" t="s">
        <v>1043</v>
      </c>
      <c r="F129" t="s">
        <v>1042</v>
      </c>
      <c r="G129">
        <v>4</v>
      </c>
      <c r="H129" s="59">
        <v>18.989999999999998</v>
      </c>
      <c r="I129" t="s">
        <v>1041</v>
      </c>
      <c r="J129" t="s">
        <v>14</v>
      </c>
      <c r="K129" s="60" t="s">
        <v>14</v>
      </c>
      <c r="L129" s="59">
        <v>0</v>
      </c>
      <c r="M129" s="61">
        <v>75.959999999999994</v>
      </c>
      <c r="N129">
        <f ca="1">IF(LEFT(tblSales[[#This Row],[Category]],1)="A",RANDBETWEEN(1,4),RANDBETWEEN(2,7))</f>
        <v>1</v>
      </c>
      <c r="O129" s="61" t="str">
        <f>IF(COUNTIF($A$2:A129,A129)=1,SUMIFS(tblSales[Revenue],tblSales[Order ID],tblSales[[#This Row],[Order ID]]),"")</f>
        <v/>
      </c>
      <c r="P129" t="str">
        <f>TEXT(tblSales[[#This Row],[Date]],"ddd")</f>
        <v>Thu</v>
      </c>
      <c r="Q129">
        <f>1/COUNTIF(tblSales[Order ID],tblSales[[#This Row],[Order ID]])</f>
        <v>0.25</v>
      </c>
    </row>
    <row r="130" spans="1:17" x14ac:dyDescent="0.3">
      <c r="A130">
        <v>201946</v>
      </c>
      <c r="B130" s="15">
        <v>45484</v>
      </c>
      <c r="C130">
        <v>104487</v>
      </c>
      <c r="D130">
        <v>100250</v>
      </c>
      <c r="E130" t="s">
        <v>1046</v>
      </c>
      <c r="F130" t="s">
        <v>202</v>
      </c>
      <c r="G130">
        <v>3</v>
      </c>
      <c r="H130" s="59">
        <v>189</v>
      </c>
      <c r="I130" t="s">
        <v>1041</v>
      </c>
      <c r="J130" t="s">
        <v>14</v>
      </c>
      <c r="K130" s="60" t="s">
        <v>14</v>
      </c>
      <c r="L130" s="59">
        <v>0</v>
      </c>
      <c r="M130" s="61">
        <v>567</v>
      </c>
      <c r="N130">
        <f ca="1">IF(LEFT(tblSales[[#This Row],[Category]],1)="A",RANDBETWEEN(1,4),RANDBETWEEN(2,7))</f>
        <v>2</v>
      </c>
      <c r="O130" s="61">
        <f>IF(COUNTIF($A$2:A130,A130)=1,SUMIFS(tblSales[Revenue],tblSales[Order ID],tblSales[[#This Row],[Order ID]]),"")</f>
        <v>567</v>
      </c>
      <c r="P130" t="str">
        <f>TEXT(tblSales[[#This Row],[Date]],"ddd")</f>
        <v>Thu</v>
      </c>
      <c r="Q130">
        <f>1/COUNTIF(tblSales[Order ID],tblSales[[#This Row],[Order ID]])</f>
        <v>1</v>
      </c>
    </row>
    <row r="131" spans="1:17" x14ac:dyDescent="0.3">
      <c r="A131">
        <v>201947</v>
      </c>
      <c r="B131" s="15">
        <v>45493</v>
      </c>
      <c r="C131">
        <v>114530</v>
      </c>
      <c r="D131">
        <v>200555</v>
      </c>
      <c r="E131" t="s">
        <v>1043</v>
      </c>
      <c r="F131" t="s">
        <v>1063</v>
      </c>
      <c r="G131">
        <v>1</v>
      </c>
      <c r="H131" s="59">
        <v>39.99</v>
      </c>
      <c r="I131" t="s">
        <v>120</v>
      </c>
      <c r="J131" t="s">
        <v>1064</v>
      </c>
      <c r="K131" s="60">
        <v>0.1</v>
      </c>
      <c r="L131" s="59">
        <v>3.9990000000000006</v>
      </c>
      <c r="M131" s="61">
        <v>35.991</v>
      </c>
      <c r="N131">
        <f ca="1">IF(LEFT(tblSales[[#This Row],[Category]],1)="A",RANDBETWEEN(1,4),RANDBETWEEN(2,7))</f>
        <v>1</v>
      </c>
      <c r="O131" s="61">
        <f>IF(COUNTIF($A$2:A131,A131)=1,SUMIFS(tblSales[Revenue],tblSales[Order ID],tblSales[[#This Row],[Order ID]]),"")</f>
        <v>35.991</v>
      </c>
      <c r="P131" t="str">
        <f>TEXT(tblSales[[#This Row],[Date]],"ddd")</f>
        <v>Sat</v>
      </c>
      <c r="Q131">
        <f>1/COUNTIF(tblSales[Order ID],tblSales[[#This Row],[Order ID]])</f>
        <v>1</v>
      </c>
    </row>
    <row r="132" spans="1:17" x14ac:dyDescent="0.3">
      <c r="A132">
        <v>201948</v>
      </c>
      <c r="B132" s="15">
        <v>45486</v>
      </c>
      <c r="C132">
        <v>103089</v>
      </c>
      <c r="D132">
        <v>300185</v>
      </c>
      <c r="E132" t="s">
        <v>1040</v>
      </c>
      <c r="F132" t="s">
        <v>1049</v>
      </c>
      <c r="G132">
        <v>1</v>
      </c>
      <c r="H132" s="59">
        <v>29.99</v>
      </c>
      <c r="I132" t="s">
        <v>1041</v>
      </c>
      <c r="J132" t="s">
        <v>14</v>
      </c>
      <c r="K132" s="60" t="s">
        <v>14</v>
      </c>
      <c r="L132" s="59">
        <v>0</v>
      </c>
      <c r="M132" s="61">
        <v>29.99</v>
      </c>
      <c r="N132">
        <f ca="1">IF(LEFT(tblSales[[#This Row],[Category]],1)="A",RANDBETWEEN(1,4),RANDBETWEEN(2,7))</f>
        <v>4</v>
      </c>
      <c r="O132" s="61">
        <f>IF(COUNTIF($A$2:A132,A132)=1,SUMIFS(tblSales[Revenue],tblSales[Order ID],tblSales[[#This Row],[Order ID]]),"")</f>
        <v>265.94</v>
      </c>
      <c r="P132" t="str">
        <f>TEXT(tblSales[[#This Row],[Date]],"ddd")</f>
        <v>Sat</v>
      </c>
      <c r="Q132">
        <f>1/COUNTIF(tblSales[Order ID],tblSales[[#This Row],[Order ID]])</f>
        <v>0.2</v>
      </c>
    </row>
    <row r="133" spans="1:17" x14ac:dyDescent="0.3">
      <c r="A133">
        <v>201948</v>
      </c>
      <c r="B133" s="15">
        <v>45486</v>
      </c>
      <c r="C133">
        <v>103089</v>
      </c>
      <c r="D133">
        <v>200550</v>
      </c>
      <c r="E133" t="s">
        <v>1043</v>
      </c>
      <c r="F133" t="s">
        <v>1057</v>
      </c>
      <c r="G133">
        <v>1</v>
      </c>
      <c r="H133" s="59">
        <v>15.99</v>
      </c>
      <c r="I133" t="s">
        <v>1041</v>
      </c>
      <c r="J133" t="s">
        <v>14</v>
      </c>
      <c r="K133" s="60" t="s">
        <v>14</v>
      </c>
      <c r="L133" s="59">
        <v>0</v>
      </c>
      <c r="M133" s="61">
        <v>15.99</v>
      </c>
      <c r="N133">
        <f ca="1">IF(LEFT(tblSales[[#This Row],[Category]],1)="A",RANDBETWEEN(1,4),RANDBETWEEN(2,7))</f>
        <v>4</v>
      </c>
      <c r="O133" s="61" t="str">
        <f>IF(COUNTIF($A$2:A133,A133)=1,SUMIFS(tblSales[Revenue],tblSales[Order ID],tblSales[[#This Row],[Order ID]]),"")</f>
        <v/>
      </c>
      <c r="P133" t="str">
        <f>TEXT(tblSales[[#This Row],[Date]],"ddd")</f>
        <v>Sat</v>
      </c>
      <c r="Q133">
        <f>1/COUNTIF(tblSales[Order ID],tblSales[[#This Row],[Order ID]])</f>
        <v>0.2</v>
      </c>
    </row>
    <row r="134" spans="1:17" x14ac:dyDescent="0.3">
      <c r="A134">
        <v>201948</v>
      </c>
      <c r="B134" s="15">
        <v>45486</v>
      </c>
      <c r="C134">
        <v>103089</v>
      </c>
      <c r="D134">
        <v>300191</v>
      </c>
      <c r="E134" t="s">
        <v>1040</v>
      </c>
      <c r="F134" t="s">
        <v>1051</v>
      </c>
      <c r="G134">
        <v>1</v>
      </c>
      <c r="H134" s="59">
        <v>21.99</v>
      </c>
      <c r="I134" t="s">
        <v>1041</v>
      </c>
      <c r="J134" t="s">
        <v>14</v>
      </c>
      <c r="K134" s="60" t="s">
        <v>14</v>
      </c>
      <c r="L134" s="59">
        <v>0</v>
      </c>
      <c r="M134" s="61">
        <v>21.99</v>
      </c>
      <c r="N134">
        <f ca="1">IF(LEFT(tblSales[[#This Row],[Category]],1)="A",RANDBETWEEN(1,4),RANDBETWEEN(2,7))</f>
        <v>2</v>
      </c>
      <c r="O134" s="61" t="str">
        <f>IF(COUNTIF($A$2:A134,A134)=1,SUMIFS(tblSales[Revenue],tblSales[Order ID],tblSales[[#This Row],[Order ID]]),"")</f>
        <v/>
      </c>
      <c r="P134" t="str">
        <f>TEXT(tblSales[[#This Row],[Date]],"ddd")</f>
        <v>Sat</v>
      </c>
      <c r="Q134">
        <f>1/COUNTIF(tblSales[Order ID],tblSales[[#This Row],[Order ID]])</f>
        <v>0.2</v>
      </c>
    </row>
    <row r="135" spans="1:17" x14ac:dyDescent="0.3">
      <c r="A135">
        <v>201948</v>
      </c>
      <c r="B135" s="15">
        <v>45486</v>
      </c>
      <c r="C135">
        <v>103089</v>
      </c>
      <c r="D135">
        <v>200556</v>
      </c>
      <c r="E135" t="s">
        <v>1043</v>
      </c>
      <c r="F135" t="s">
        <v>1044</v>
      </c>
      <c r="G135">
        <v>2</v>
      </c>
      <c r="H135" s="59">
        <v>64.989999999999995</v>
      </c>
      <c r="I135" t="s">
        <v>1041</v>
      </c>
      <c r="J135" t="s">
        <v>14</v>
      </c>
      <c r="K135" s="60" t="s">
        <v>14</v>
      </c>
      <c r="L135" s="59">
        <v>0</v>
      </c>
      <c r="M135" s="61">
        <v>129.97999999999999</v>
      </c>
      <c r="N135">
        <f ca="1">IF(LEFT(tblSales[[#This Row],[Category]],1)="A",RANDBETWEEN(1,4),RANDBETWEEN(2,7))</f>
        <v>4</v>
      </c>
      <c r="O135" s="61" t="str">
        <f>IF(COUNTIF($A$2:A135,A135)=1,SUMIFS(tblSales[Revenue],tblSales[Order ID],tblSales[[#This Row],[Order ID]]),"")</f>
        <v/>
      </c>
      <c r="P135" t="str">
        <f>TEXT(tblSales[[#This Row],[Date]],"ddd")</f>
        <v>Sat</v>
      </c>
      <c r="Q135">
        <f>1/COUNTIF(tblSales[Order ID],tblSales[[#This Row],[Order ID]])</f>
        <v>0.2</v>
      </c>
    </row>
    <row r="136" spans="1:17" x14ac:dyDescent="0.3">
      <c r="A136">
        <v>201948</v>
      </c>
      <c r="B136" s="15">
        <v>45486</v>
      </c>
      <c r="C136">
        <v>103089</v>
      </c>
      <c r="D136">
        <v>200554</v>
      </c>
      <c r="E136" t="s">
        <v>1043</v>
      </c>
      <c r="F136" t="s">
        <v>1048</v>
      </c>
      <c r="G136">
        <v>1</v>
      </c>
      <c r="H136" s="59">
        <v>67.989999999999995</v>
      </c>
      <c r="I136" t="s">
        <v>1041</v>
      </c>
      <c r="J136" t="s">
        <v>14</v>
      </c>
      <c r="K136" s="60" t="s">
        <v>14</v>
      </c>
      <c r="L136" s="59">
        <v>0</v>
      </c>
      <c r="M136" s="61">
        <v>67.989999999999995</v>
      </c>
      <c r="N136">
        <f ca="1">IF(LEFT(tblSales[[#This Row],[Category]],1)="A",RANDBETWEEN(1,4),RANDBETWEEN(2,7))</f>
        <v>4</v>
      </c>
      <c r="O136" s="61" t="str">
        <f>IF(COUNTIF($A$2:A136,A136)=1,SUMIFS(tblSales[Revenue],tblSales[Order ID],tblSales[[#This Row],[Order ID]]),"")</f>
        <v/>
      </c>
      <c r="P136" t="str">
        <f>TEXT(tblSales[[#This Row],[Date]],"ddd")</f>
        <v>Sat</v>
      </c>
      <c r="Q136">
        <f>1/COUNTIF(tblSales[Order ID],tblSales[[#This Row],[Order ID]])</f>
        <v>0.2</v>
      </c>
    </row>
    <row r="137" spans="1:17" x14ac:dyDescent="0.3">
      <c r="A137">
        <v>201949</v>
      </c>
      <c r="B137" s="15">
        <v>45493</v>
      </c>
      <c r="C137">
        <v>120778</v>
      </c>
      <c r="D137">
        <v>100256</v>
      </c>
      <c r="E137" t="s">
        <v>1046</v>
      </c>
      <c r="F137" t="s">
        <v>216</v>
      </c>
      <c r="G137">
        <v>3</v>
      </c>
      <c r="H137" s="59">
        <v>1499</v>
      </c>
      <c r="I137" t="s">
        <v>1041</v>
      </c>
      <c r="J137" t="s">
        <v>14</v>
      </c>
      <c r="K137" s="60" t="s">
        <v>14</v>
      </c>
      <c r="L137" s="59">
        <v>0</v>
      </c>
      <c r="M137" s="61">
        <v>4497</v>
      </c>
      <c r="N137">
        <f ca="1">IF(LEFT(tblSales[[#This Row],[Category]],1)="A",RANDBETWEEN(1,4),RANDBETWEEN(2,7))</f>
        <v>2</v>
      </c>
      <c r="O137" s="61">
        <f>IF(COUNTIF($A$2:A137,A137)=1,SUMIFS(tblSales[Revenue],tblSales[Order ID],tblSales[[#This Row],[Order ID]]),"")</f>
        <v>4497</v>
      </c>
      <c r="P137" t="str">
        <f>TEXT(tblSales[[#This Row],[Date]],"ddd")</f>
        <v>Sat</v>
      </c>
      <c r="Q137">
        <f>1/COUNTIF(tblSales[Order ID],tblSales[[#This Row],[Order ID]])</f>
        <v>1</v>
      </c>
    </row>
    <row r="138" spans="1:17" x14ac:dyDescent="0.3">
      <c r="A138">
        <v>201950</v>
      </c>
      <c r="B138" s="15">
        <v>45491</v>
      </c>
      <c r="C138">
        <v>120035</v>
      </c>
      <c r="D138">
        <v>200556</v>
      </c>
      <c r="E138" t="s">
        <v>1043</v>
      </c>
      <c r="F138" t="s">
        <v>1044</v>
      </c>
      <c r="G138">
        <v>1</v>
      </c>
      <c r="H138" s="59">
        <v>64.989999999999995</v>
      </c>
      <c r="I138" t="s">
        <v>1041</v>
      </c>
      <c r="J138" t="s">
        <v>14</v>
      </c>
      <c r="K138" s="60" t="s">
        <v>14</v>
      </c>
      <c r="L138" s="59">
        <v>0</v>
      </c>
      <c r="M138" s="61">
        <v>64.989999999999995</v>
      </c>
      <c r="N138">
        <f ca="1">IF(LEFT(tblSales[[#This Row],[Category]],1)="A",RANDBETWEEN(1,4),RANDBETWEEN(2,7))</f>
        <v>4</v>
      </c>
      <c r="O138" s="61">
        <f>IF(COUNTIF($A$2:A138,A138)=1,SUMIFS(tblSales[Revenue],tblSales[Order ID],tblSales[[#This Row],[Order ID]]),"")</f>
        <v>136.97</v>
      </c>
      <c r="P138" t="str">
        <f>TEXT(tblSales[[#This Row],[Date]],"ddd")</f>
        <v>Thu</v>
      </c>
      <c r="Q138">
        <f>1/COUNTIF(tblSales[Order ID],tblSales[[#This Row],[Order ID]])</f>
        <v>0.5</v>
      </c>
    </row>
    <row r="139" spans="1:17" x14ac:dyDescent="0.3">
      <c r="A139">
        <v>201950</v>
      </c>
      <c r="B139" s="15">
        <v>45491</v>
      </c>
      <c r="C139">
        <v>120035</v>
      </c>
      <c r="D139">
        <v>300190</v>
      </c>
      <c r="E139" t="s">
        <v>1040</v>
      </c>
      <c r="F139" t="s">
        <v>1039</v>
      </c>
      <c r="G139">
        <v>2</v>
      </c>
      <c r="H139" s="59">
        <v>35.99</v>
      </c>
      <c r="I139" t="s">
        <v>1041</v>
      </c>
      <c r="J139" t="s">
        <v>14</v>
      </c>
      <c r="K139" s="60" t="s">
        <v>14</v>
      </c>
      <c r="L139" s="59">
        <v>0</v>
      </c>
      <c r="M139" s="61">
        <v>71.98</v>
      </c>
      <c r="N139">
        <f ca="1">IF(LEFT(tblSales[[#This Row],[Category]],1)="A",RANDBETWEEN(1,4),RANDBETWEEN(2,7))</f>
        <v>2</v>
      </c>
      <c r="O139" s="61" t="str">
        <f>IF(COUNTIF($A$2:A139,A139)=1,SUMIFS(tblSales[Revenue],tblSales[Order ID],tblSales[[#This Row],[Order ID]]),"")</f>
        <v/>
      </c>
      <c r="P139" t="str">
        <f>TEXT(tblSales[[#This Row],[Date]],"ddd")</f>
        <v>Thu</v>
      </c>
      <c r="Q139">
        <f>1/COUNTIF(tblSales[Order ID],tblSales[[#This Row],[Order ID]])</f>
        <v>0.5</v>
      </c>
    </row>
    <row r="140" spans="1:17" x14ac:dyDescent="0.3">
      <c r="A140">
        <v>201951</v>
      </c>
      <c r="B140" s="15">
        <v>45492</v>
      </c>
      <c r="C140">
        <v>124378</v>
      </c>
      <c r="D140">
        <v>300191</v>
      </c>
      <c r="E140" t="s">
        <v>1040</v>
      </c>
      <c r="F140" t="s">
        <v>1051</v>
      </c>
      <c r="G140">
        <v>1</v>
      </c>
      <c r="H140" s="59">
        <v>21.99</v>
      </c>
      <c r="I140" t="s">
        <v>1041</v>
      </c>
      <c r="J140" t="s">
        <v>14</v>
      </c>
      <c r="K140" s="60" t="s">
        <v>14</v>
      </c>
      <c r="L140" s="59">
        <v>0</v>
      </c>
      <c r="M140" s="61">
        <v>21.99</v>
      </c>
      <c r="N140">
        <f ca="1">IF(LEFT(tblSales[[#This Row],[Category]],1)="A",RANDBETWEEN(1,4),RANDBETWEEN(2,7))</f>
        <v>3</v>
      </c>
      <c r="O140" s="61">
        <f>IF(COUNTIF($A$2:A140,A140)=1,SUMIFS(tblSales[Revenue],tblSales[Order ID],tblSales[[#This Row],[Order ID]]),"")</f>
        <v>21.99</v>
      </c>
      <c r="P140" t="str">
        <f>TEXT(tblSales[[#This Row],[Date]],"ddd")</f>
        <v>Fri</v>
      </c>
      <c r="Q140">
        <f>1/COUNTIF(tblSales[Order ID],tblSales[[#This Row],[Order ID]])</f>
        <v>1</v>
      </c>
    </row>
    <row r="141" spans="1:17" x14ac:dyDescent="0.3">
      <c r="A141">
        <v>201952</v>
      </c>
      <c r="B141" s="15">
        <v>45493</v>
      </c>
      <c r="C141">
        <v>107889</v>
      </c>
      <c r="D141">
        <v>300185</v>
      </c>
      <c r="E141" t="s">
        <v>1040</v>
      </c>
      <c r="F141" t="s">
        <v>1049</v>
      </c>
      <c r="G141">
        <v>5</v>
      </c>
      <c r="H141" s="59">
        <v>29.99</v>
      </c>
      <c r="I141" t="s">
        <v>1041</v>
      </c>
      <c r="J141" t="s">
        <v>14</v>
      </c>
      <c r="K141" s="60" t="s">
        <v>14</v>
      </c>
      <c r="L141" s="59">
        <v>0</v>
      </c>
      <c r="M141" s="61">
        <v>149.94999999999999</v>
      </c>
      <c r="N141">
        <f ca="1">IF(LEFT(tblSales[[#This Row],[Category]],1)="A",RANDBETWEEN(1,4),RANDBETWEEN(2,7))</f>
        <v>2</v>
      </c>
      <c r="O141" s="61">
        <f>IF(COUNTIF($A$2:A141,A141)=1,SUMIFS(tblSales[Revenue],tblSales[Order ID],tblSales[[#This Row],[Order ID]]),"")</f>
        <v>338.95</v>
      </c>
      <c r="P141" t="str">
        <f>TEXT(tblSales[[#This Row],[Date]],"ddd")</f>
        <v>Sat</v>
      </c>
      <c r="Q141">
        <f>1/COUNTIF(tblSales[Order ID],tblSales[[#This Row],[Order ID]])</f>
        <v>0.5</v>
      </c>
    </row>
    <row r="142" spans="1:17" x14ac:dyDescent="0.3">
      <c r="A142">
        <v>201952</v>
      </c>
      <c r="B142" s="15">
        <v>45493</v>
      </c>
      <c r="C142">
        <v>107889</v>
      </c>
      <c r="D142">
        <v>100250</v>
      </c>
      <c r="E142" t="s">
        <v>1046</v>
      </c>
      <c r="F142" t="s">
        <v>202</v>
      </c>
      <c r="G142">
        <v>1</v>
      </c>
      <c r="H142" s="59">
        <v>189</v>
      </c>
      <c r="I142" t="s">
        <v>1041</v>
      </c>
      <c r="J142" t="s">
        <v>14</v>
      </c>
      <c r="K142" s="60" t="s">
        <v>14</v>
      </c>
      <c r="L142" s="59">
        <v>0</v>
      </c>
      <c r="M142" s="61">
        <v>189</v>
      </c>
      <c r="N142">
        <f ca="1">IF(LEFT(tblSales[[#This Row],[Category]],1)="A",RANDBETWEEN(1,4),RANDBETWEEN(2,7))</f>
        <v>6</v>
      </c>
      <c r="O142" s="61" t="str">
        <f>IF(COUNTIF($A$2:A142,A142)=1,SUMIFS(tblSales[Revenue],tblSales[Order ID],tblSales[[#This Row],[Order ID]]),"")</f>
        <v/>
      </c>
      <c r="P142" t="str">
        <f>TEXT(tblSales[[#This Row],[Date]],"ddd")</f>
        <v>Sat</v>
      </c>
      <c r="Q142">
        <f>1/COUNTIF(tblSales[Order ID],tblSales[[#This Row],[Order ID]])</f>
        <v>0.5</v>
      </c>
    </row>
    <row r="143" spans="1:17" x14ac:dyDescent="0.3">
      <c r="A143">
        <v>201953</v>
      </c>
      <c r="B143" s="15">
        <v>45484</v>
      </c>
      <c r="C143">
        <v>119169</v>
      </c>
      <c r="D143">
        <v>100254</v>
      </c>
      <c r="E143" t="s">
        <v>1046</v>
      </c>
      <c r="F143" t="s">
        <v>164</v>
      </c>
      <c r="G143">
        <v>1</v>
      </c>
      <c r="H143" s="59">
        <v>799</v>
      </c>
      <c r="I143" t="s">
        <v>1041</v>
      </c>
      <c r="J143" t="s">
        <v>14</v>
      </c>
      <c r="K143" s="60" t="s">
        <v>14</v>
      </c>
      <c r="L143" s="59">
        <v>0</v>
      </c>
      <c r="M143" s="61">
        <v>799</v>
      </c>
      <c r="N143">
        <f ca="1">IF(LEFT(tblSales[[#This Row],[Category]],1)="A",RANDBETWEEN(1,4),RANDBETWEEN(2,7))</f>
        <v>3</v>
      </c>
      <c r="O143" s="61">
        <f>IF(COUNTIF($A$2:A143,A143)=1,SUMIFS(tblSales[Revenue],tblSales[Order ID],tblSales[[#This Row],[Order ID]]),"")</f>
        <v>2512.94</v>
      </c>
      <c r="P143" t="str">
        <f>TEXT(tblSales[[#This Row],[Date]],"ddd")</f>
        <v>Thu</v>
      </c>
      <c r="Q143">
        <f>1/COUNTIF(tblSales[Order ID],tblSales[[#This Row],[Order ID]])</f>
        <v>0.25</v>
      </c>
    </row>
    <row r="144" spans="1:17" x14ac:dyDescent="0.3">
      <c r="A144">
        <v>201953</v>
      </c>
      <c r="B144" s="15">
        <v>45484</v>
      </c>
      <c r="C144">
        <v>119169</v>
      </c>
      <c r="D144">
        <v>300185</v>
      </c>
      <c r="E144" t="s">
        <v>1040</v>
      </c>
      <c r="F144" t="s">
        <v>1049</v>
      </c>
      <c r="G144">
        <v>5</v>
      </c>
      <c r="H144" s="59">
        <v>29.99</v>
      </c>
      <c r="I144" t="s">
        <v>1041</v>
      </c>
      <c r="J144" t="s">
        <v>14</v>
      </c>
      <c r="K144" s="60" t="s">
        <v>14</v>
      </c>
      <c r="L144" s="59">
        <v>0</v>
      </c>
      <c r="M144" s="61">
        <v>149.94999999999999</v>
      </c>
      <c r="N144">
        <f ca="1">IF(LEFT(tblSales[[#This Row],[Category]],1)="A",RANDBETWEEN(1,4),RANDBETWEEN(2,7))</f>
        <v>4</v>
      </c>
      <c r="O144" s="61" t="str">
        <f>IF(COUNTIF($A$2:A144,A144)=1,SUMIFS(tblSales[Revenue],tblSales[Order ID],tblSales[[#This Row],[Order ID]]),"")</f>
        <v/>
      </c>
      <c r="P144" t="str">
        <f>TEXT(tblSales[[#This Row],[Date]],"ddd")</f>
        <v>Thu</v>
      </c>
      <c r="Q144">
        <f>1/COUNTIF(tblSales[Order ID],tblSales[[#This Row],[Order ID]])</f>
        <v>0.25</v>
      </c>
    </row>
    <row r="145" spans="1:17" x14ac:dyDescent="0.3">
      <c r="A145">
        <v>201953</v>
      </c>
      <c r="B145" s="15">
        <v>45484</v>
      </c>
      <c r="C145">
        <v>119169</v>
      </c>
      <c r="D145">
        <v>200556</v>
      </c>
      <c r="E145" t="s">
        <v>1043</v>
      </c>
      <c r="F145" t="s">
        <v>1044</v>
      </c>
      <c r="G145">
        <v>1</v>
      </c>
      <c r="H145" s="59">
        <v>64.989999999999995</v>
      </c>
      <c r="I145" t="s">
        <v>1041</v>
      </c>
      <c r="J145" t="s">
        <v>14</v>
      </c>
      <c r="K145" s="60" t="s">
        <v>14</v>
      </c>
      <c r="L145" s="59">
        <v>0</v>
      </c>
      <c r="M145" s="61">
        <v>64.989999999999995</v>
      </c>
      <c r="N145">
        <f ca="1">IF(LEFT(tblSales[[#This Row],[Category]],1)="A",RANDBETWEEN(1,4),RANDBETWEEN(2,7))</f>
        <v>4</v>
      </c>
      <c r="O145" s="61" t="str">
        <f>IF(COUNTIF($A$2:A145,A145)=1,SUMIFS(tblSales[Revenue],tblSales[Order ID],tblSales[[#This Row],[Order ID]]),"")</f>
        <v/>
      </c>
      <c r="P145" t="str">
        <f>TEXT(tblSales[[#This Row],[Date]],"ddd")</f>
        <v>Thu</v>
      </c>
      <c r="Q145">
        <f>1/COUNTIF(tblSales[Order ID],tblSales[[#This Row],[Order ID]])</f>
        <v>0.25</v>
      </c>
    </row>
    <row r="146" spans="1:17" x14ac:dyDescent="0.3">
      <c r="A146">
        <v>201953</v>
      </c>
      <c r="B146" s="15">
        <v>45484</v>
      </c>
      <c r="C146">
        <v>119169</v>
      </c>
      <c r="D146">
        <v>100256</v>
      </c>
      <c r="E146" t="s">
        <v>1046</v>
      </c>
      <c r="F146" t="s">
        <v>216</v>
      </c>
      <c r="G146">
        <v>1</v>
      </c>
      <c r="H146" s="59">
        <v>1499</v>
      </c>
      <c r="I146" t="s">
        <v>1041</v>
      </c>
      <c r="J146" t="s">
        <v>14</v>
      </c>
      <c r="K146" s="60" t="s">
        <v>14</v>
      </c>
      <c r="L146" s="59">
        <v>0</v>
      </c>
      <c r="M146" s="61">
        <v>1499</v>
      </c>
      <c r="N146">
        <f ca="1">IF(LEFT(tblSales[[#This Row],[Category]],1)="A",RANDBETWEEN(1,4),RANDBETWEEN(2,7))</f>
        <v>5</v>
      </c>
      <c r="O146" s="61" t="str">
        <f>IF(COUNTIF($A$2:A146,A146)=1,SUMIFS(tblSales[Revenue],tblSales[Order ID],tblSales[[#This Row],[Order ID]]),"")</f>
        <v/>
      </c>
      <c r="P146" t="str">
        <f>TEXT(tblSales[[#This Row],[Date]],"ddd")</f>
        <v>Thu</v>
      </c>
      <c r="Q146">
        <f>1/COUNTIF(tblSales[Order ID],tblSales[[#This Row],[Order ID]])</f>
        <v>0.25</v>
      </c>
    </row>
    <row r="147" spans="1:17" x14ac:dyDescent="0.3">
      <c r="A147">
        <v>201954</v>
      </c>
      <c r="B147" s="15">
        <v>45482</v>
      </c>
      <c r="C147">
        <v>114724</v>
      </c>
      <c r="D147">
        <v>200549</v>
      </c>
      <c r="E147" t="s">
        <v>1043</v>
      </c>
      <c r="F147" t="s">
        <v>1042</v>
      </c>
      <c r="G147">
        <v>2</v>
      </c>
      <c r="H147" s="59">
        <v>18.989999999999998</v>
      </c>
      <c r="I147" t="s">
        <v>1041</v>
      </c>
      <c r="J147" t="s">
        <v>14</v>
      </c>
      <c r="K147" s="60" t="s">
        <v>14</v>
      </c>
      <c r="L147" s="59">
        <v>0</v>
      </c>
      <c r="M147" s="61">
        <v>37.979999999999997</v>
      </c>
      <c r="N147">
        <f ca="1">IF(LEFT(tblSales[[#This Row],[Category]],1)="A",RANDBETWEEN(1,4),RANDBETWEEN(2,7))</f>
        <v>2</v>
      </c>
      <c r="O147" s="61">
        <f>IF(COUNTIF($A$2:A147,A147)=1,SUMIFS(tblSales[Revenue],tblSales[Order ID],tblSales[[#This Row],[Order ID]]),"")</f>
        <v>37.979999999999997</v>
      </c>
      <c r="P147" t="str">
        <f>TEXT(tblSales[[#This Row],[Date]],"ddd")</f>
        <v>Tue</v>
      </c>
      <c r="Q147">
        <f>1/COUNTIF(tblSales[Order ID],tblSales[[#This Row],[Order ID]])</f>
        <v>1</v>
      </c>
    </row>
    <row r="148" spans="1:17" x14ac:dyDescent="0.3">
      <c r="A148">
        <v>201955</v>
      </c>
      <c r="B148" s="15">
        <v>45483</v>
      </c>
      <c r="C148">
        <v>130645</v>
      </c>
      <c r="D148">
        <v>200559</v>
      </c>
      <c r="E148" t="s">
        <v>1043</v>
      </c>
      <c r="F148" t="s">
        <v>1045</v>
      </c>
      <c r="G148">
        <v>1</v>
      </c>
      <c r="H148" s="59">
        <v>59.99</v>
      </c>
      <c r="I148" t="s">
        <v>1041</v>
      </c>
      <c r="J148" t="s">
        <v>14</v>
      </c>
      <c r="K148" s="60" t="s">
        <v>14</v>
      </c>
      <c r="L148" s="59">
        <v>0</v>
      </c>
      <c r="M148" s="61">
        <v>59.99</v>
      </c>
      <c r="N148">
        <f ca="1">IF(LEFT(tblSales[[#This Row],[Category]],1)="A",RANDBETWEEN(1,4),RANDBETWEEN(2,7))</f>
        <v>1</v>
      </c>
      <c r="O148" s="61">
        <f>IF(COUNTIF($A$2:A148,A148)=1,SUMIFS(tblSales[Revenue],tblSales[Order ID],tblSales[[#This Row],[Order ID]]),"")</f>
        <v>59.99</v>
      </c>
      <c r="P148" t="str">
        <f>TEXT(tblSales[[#This Row],[Date]],"ddd")</f>
        <v>Wed</v>
      </c>
      <c r="Q148">
        <f>1/COUNTIF(tblSales[Order ID],tblSales[[#This Row],[Order ID]])</f>
        <v>1</v>
      </c>
    </row>
    <row r="149" spans="1:17" x14ac:dyDescent="0.3">
      <c r="A149">
        <v>201956</v>
      </c>
      <c r="B149" s="15">
        <v>45484</v>
      </c>
      <c r="C149">
        <v>118310</v>
      </c>
      <c r="D149">
        <v>200549</v>
      </c>
      <c r="E149" t="s">
        <v>1043</v>
      </c>
      <c r="F149" t="s">
        <v>1042</v>
      </c>
      <c r="G149">
        <v>1</v>
      </c>
      <c r="H149" s="59">
        <v>18.989999999999998</v>
      </c>
      <c r="I149" t="s">
        <v>1041</v>
      </c>
      <c r="J149" t="s">
        <v>14</v>
      </c>
      <c r="K149" s="60" t="s">
        <v>14</v>
      </c>
      <c r="L149" s="59">
        <v>0</v>
      </c>
      <c r="M149" s="61">
        <v>18.989999999999998</v>
      </c>
      <c r="N149">
        <f ca="1">IF(LEFT(tblSales[[#This Row],[Category]],1)="A",RANDBETWEEN(1,4),RANDBETWEEN(2,7))</f>
        <v>1</v>
      </c>
      <c r="O149" s="61">
        <f>IF(COUNTIF($A$2:A149,A149)=1,SUMIFS(tblSales[Revenue],tblSales[Order ID],tblSales[[#This Row],[Order ID]]),"")</f>
        <v>78.98</v>
      </c>
      <c r="P149" t="str">
        <f>TEXT(tblSales[[#This Row],[Date]],"ddd")</f>
        <v>Thu</v>
      </c>
      <c r="Q149">
        <f>1/COUNTIF(tblSales[Order ID],tblSales[[#This Row],[Order ID]])</f>
        <v>0.5</v>
      </c>
    </row>
    <row r="150" spans="1:17" x14ac:dyDescent="0.3">
      <c r="A150">
        <v>201956</v>
      </c>
      <c r="B150" s="15">
        <v>45484</v>
      </c>
      <c r="C150">
        <v>118310</v>
      </c>
      <c r="D150">
        <v>200559</v>
      </c>
      <c r="E150" t="s">
        <v>1043</v>
      </c>
      <c r="F150" t="s">
        <v>1045</v>
      </c>
      <c r="G150">
        <v>1</v>
      </c>
      <c r="H150" s="59">
        <v>59.99</v>
      </c>
      <c r="I150" t="s">
        <v>1041</v>
      </c>
      <c r="J150" t="s">
        <v>14</v>
      </c>
      <c r="K150" s="60" t="s">
        <v>14</v>
      </c>
      <c r="L150" s="59">
        <v>0</v>
      </c>
      <c r="M150" s="61">
        <v>59.99</v>
      </c>
      <c r="N150">
        <f ca="1">IF(LEFT(tblSales[[#This Row],[Category]],1)="A",RANDBETWEEN(1,4),RANDBETWEEN(2,7))</f>
        <v>2</v>
      </c>
      <c r="O150" s="61" t="str">
        <f>IF(COUNTIF($A$2:A150,A150)=1,SUMIFS(tblSales[Revenue],tblSales[Order ID],tblSales[[#This Row],[Order ID]]),"")</f>
        <v/>
      </c>
      <c r="P150" t="str">
        <f>TEXT(tblSales[[#This Row],[Date]],"ddd")</f>
        <v>Thu</v>
      </c>
      <c r="Q150">
        <f>1/COUNTIF(tblSales[Order ID],tblSales[[#This Row],[Order ID]])</f>
        <v>0.5</v>
      </c>
    </row>
    <row r="151" spans="1:17" x14ac:dyDescent="0.3">
      <c r="A151">
        <v>201957</v>
      </c>
      <c r="B151" s="15">
        <v>45493</v>
      </c>
      <c r="C151">
        <v>131933</v>
      </c>
      <c r="D151">
        <v>100252</v>
      </c>
      <c r="E151" t="s">
        <v>1046</v>
      </c>
      <c r="F151" t="s">
        <v>158</v>
      </c>
      <c r="G151">
        <v>4</v>
      </c>
      <c r="H151" s="59">
        <v>449</v>
      </c>
      <c r="I151" t="s">
        <v>1041</v>
      </c>
      <c r="J151" t="s">
        <v>14</v>
      </c>
      <c r="K151" s="60" t="s">
        <v>14</v>
      </c>
      <c r="L151" s="59">
        <v>0</v>
      </c>
      <c r="M151" s="61">
        <v>1796</v>
      </c>
      <c r="N151">
        <f ca="1">IF(LEFT(tblSales[[#This Row],[Category]],1)="A",RANDBETWEEN(1,4),RANDBETWEEN(2,7))</f>
        <v>4</v>
      </c>
      <c r="O151" s="61">
        <f>IF(COUNTIF($A$2:A151,A151)=1,SUMIFS(tblSales[Revenue],tblSales[Order ID],tblSales[[#This Row],[Order ID]]),"")</f>
        <v>1796</v>
      </c>
      <c r="P151" t="str">
        <f>TEXT(tblSales[[#This Row],[Date]],"ddd")</f>
        <v>Sat</v>
      </c>
      <c r="Q151">
        <f>1/COUNTIF(tblSales[Order ID],tblSales[[#This Row],[Order ID]])</f>
        <v>1</v>
      </c>
    </row>
    <row r="152" spans="1:17" x14ac:dyDescent="0.3">
      <c r="A152">
        <v>201958</v>
      </c>
      <c r="B152" s="15">
        <v>45486</v>
      </c>
      <c r="C152">
        <v>108499</v>
      </c>
      <c r="D152">
        <v>200549</v>
      </c>
      <c r="E152" t="s">
        <v>1043</v>
      </c>
      <c r="F152" t="s">
        <v>1042</v>
      </c>
      <c r="G152">
        <v>3</v>
      </c>
      <c r="H152" s="59">
        <v>18.989999999999998</v>
      </c>
      <c r="I152" t="s">
        <v>1041</v>
      </c>
      <c r="J152" t="s">
        <v>14</v>
      </c>
      <c r="K152" s="60" t="s">
        <v>14</v>
      </c>
      <c r="L152" s="59">
        <v>0</v>
      </c>
      <c r="M152" s="61">
        <v>56.97</v>
      </c>
      <c r="N152">
        <f ca="1">IF(LEFT(tblSales[[#This Row],[Category]],1)="A",RANDBETWEEN(1,4),RANDBETWEEN(2,7))</f>
        <v>3</v>
      </c>
      <c r="O152" s="61">
        <f>IF(COUNTIF($A$2:A152,A152)=1,SUMIFS(tblSales[Revenue],tblSales[Order ID],tblSales[[#This Row],[Order ID]]),"")</f>
        <v>133.95000000000002</v>
      </c>
      <c r="P152" t="str">
        <f>TEXT(tblSales[[#This Row],[Date]],"ddd")</f>
        <v>Sat</v>
      </c>
      <c r="Q152">
        <f>1/COUNTIF(tblSales[Order ID],tblSales[[#This Row],[Order ID]])</f>
        <v>0.33333333333333331</v>
      </c>
    </row>
    <row r="153" spans="1:17" x14ac:dyDescent="0.3">
      <c r="A153">
        <v>201958</v>
      </c>
      <c r="B153" s="15">
        <v>45486</v>
      </c>
      <c r="C153">
        <v>108499</v>
      </c>
      <c r="D153">
        <v>300187</v>
      </c>
      <c r="E153" t="s">
        <v>1040</v>
      </c>
      <c r="F153" t="s">
        <v>1058</v>
      </c>
      <c r="G153">
        <v>1</v>
      </c>
      <c r="H153" s="59">
        <v>54.99</v>
      </c>
      <c r="I153" t="s">
        <v>1041</v>
      </c>
      <c r="J153" t="s">
        <v>14</v>
      </c>
      <c r="K153" s="60" t="s">
        <v>14</v>
      </c>
      <c r="L153" s="59">
        <v>0</v>
      </c>
      <c r="M153" s="61">
        <v>54.99</v>
      </c>
      <c r="N153">
        <f ca="1">IF(LEFT(tblSales[[#This Row],[Category]],1)="A",RANDBETWEEN(1,4),RANDBETWEEN(2,7))</f>
        <v>3</v>
      </c>
      <c r="O153" s="61" t="str">
        <f>IF(COUNTIF($A$2:A153,A153)=1,SUMIFS(tblSales[Revenue],tblSales[Order ID],tblSales[[#This Row],[Order ID]]),"")</f>
        <v/>
      </c>
      <c r="P153" t="str">
        <f>TEXT(tblSales[[#This Row],[Date]],"ddd")</f>
        <v>Sat</v>
      </c>
      <c r="Q153">
        <f>1/COUNTIF(tblSales[Order ID],tblSales[[#This Row],[Order ID]])</f>
        <v>0.33333333333333331</v>
      </c>
    </row>
    <row r="154" spans="1:17" x14ac:dyDescent="0.3">
      <c r="A154">
        <v>201958</v>
      </c>
      <c r="B154" s="15">
        <v>45486</v>
      </c>
      <c r="C154">
        <v>108499</v>
      </c>
      <c r="D154">
        <v>300191</v>
      </c>
      <c r="E154" t="s">
        <v>1040</v>
      </c>
      <c r="F154" t="s">
        <v>1051</v>
      </c>
      <c r="G154">
        <v>1</v>
      </c>
      <c r="H154" s="59">
        <v>21.99</v>
      </c>
      <c r="I154" t="s">
        <v>1041</v>
      </c>
      <c r="J154" t="s">
        <v>14</v>
      </c>
      <c r="K154" s="60" t="s">
        <v>14</v>
      </c>
      <c r="L154" s="59">
        <v>0</v>
      </c>
      <c r="M154" s="61">
        <v>21.99</v>
      </c>
      <c r="N154">
        <f ca="1">IF(LEFT(tblSales[[#This Row],[Category]],1)="A",RANDBETWEEN(1,4),RANDBETWEEN(2,7))</f>
        <v>1</v>
      </c>
      <c r="O154" s="61" t="str">
        <f>IF(COUNTIF($A$2:A154,A154)=1,SUMIFS(tblSales[Revenue],tblSales[Order ID],tblSales[[#This Row],[Order ID]]),"")</f>
        <v/>
      </c>
      <c r="P154" t="str">
        <f>TEXT(tblSales[[#This Row],[Date]],"ddd")</f>
        <v>Sat</v>
      </c>
      <c r="Q154">
        <f>1/COUNTIF(tblSales[Order ID],tblSales[[#This Row],[Order ID]])</f>
        <v>0.33333333333333331</v>
      </c>
    </row>
    <row r="155" spans="1:17" x14ac:dyDescent="0.3">
      <c r="A155">
        <v>201959</v>
      </c>
      <c r="B155" s="15">
        <v>45486</v>
      </c>
      <c r="C155">
        <v>128338</v>
      </c>
      <c r="D155">
        <v>100250</v>
      </c>
      <c r="E155" t="s">
        <v>1046</v>
      </c>
      <c r="F155" t="s">
        <v>202</v>
      </c>
      <c r="G155">
        <v>1</v>
      </c>
      <c r="H155" s="59">
        <v>189</v>
      </c>
      <c r="I155" t="s">
        <v>1041</v>
      </c>
      <c r="J155" t="s">
        <v>14</v>
      </c>
      <c r="K155" s="60" t="s">
        <v>14</v>
      </c>
      <c r="L155" s="59">
        <v>0</v>
      </c>
      <c r="M155" s="61">
        <v>189</v>
      </c>
      <c r="N155">
        <f ca="1">IF(LEFT(tblSales[[#This Row],[Category]],1)="A",RANDBETWEEN(1,4),RANDBETWEEN(2,7))</f>
        <v>3</v>
      </c>
      <c r="O155" s="61">
        <f>IF(COUNTIF($A$2:A155,A155)=1,SUMIFS(tblSales[Revenue],tblSales[Order ID],tblSales[[#This Row],[Order ID]]),"")</f>
        <v>189</v>
      </c>
      <c r="P155" t="str">
        <f>TEXT(tblSales[[#This Row],[Date]],"ddd")</f>
        <v>Sat</v>
      </c>
      <c r="Q155">
        <f>1/COUNTIF(tblSales[Order ID],tblSales[[#This Row],[Order ID]])</f>
        <v>1</v>
      </c>
    </row>
    <row r="156" spans="1:17" x14ac:dyDescent="0.3">
      <c r="A156">
        <v>201960</v>
      </c>
      <c r="B156" s="15">
        <v>45486</v>
      </c>
      <c r="C156">
        <v>120865</v>
      </c>
      <c r="D156">
        <v>200559</v>
      </c>
      <c r="E156" t="s">
        <v>1043</v>
      </c>
      <c r="F156" t="s">
        <v>1045</v>
      </c>
      <c r="G156">
        <v>1</v>
      </c>
      <c r="H156" s="59">
        <v>59.99</v>
      </c>
      <c r="I156" t="s">
        <v>1041</v>
      </c>
      <c r="J156" t="s">
        <v>14</v>
      </c>
      <c r="K156" s="60" t="s">
        <v>14</v>
      </c>
      <c r="L156" s="59">
        <v>0</v>
      </c>
      <c r="M156" s="61">
        <v>59.99</v>
      </c>
      <c r="N156">
        <f ca="1">IF(LEFT(tblSales[[#This Row],[Category]],1)="A",RANDBETWEEN(1,4),RANDBETWEEN(2,7))</f>
        <v>4</v>
      </c>
      <c r="O156" s="61">
        <f>IF(COUNTIF($A$2:A156,A156)=1,SUMIFS(tblSales[Revenue],tblSales[Order ID],tblSales[[#This Row],[Order ID]]),"")</f>
        <v>95.98</v>
      </c>
      <c r="P156" t="str">
        <f>TEXT(tblSales[[#This Row],[Date]],"ddd")</f>
        <v>Sat</v>
      </c>
      <c r="Q156">
        <f>1/COUNTIF(tblSales[Order ID],tblSales[[#This Row],[Order ID]])</f>
        <v>0.5</v>
      </c>
    </row>
    <row r="157" spans="1:17" x14ac:dyDescent="0.3">
      <c r="A157">
        <v>201960</v>
      </c>
      <c r="B157" s="15">
        <v>45486</v>
      </c>
      <c r="C157">
        <v>120865</v>
      </c>
      <c r="D157">
        <v>300190</v>
      </c>
      <c r="E157" t="s">
        <v>1040</v>
      </c>
      <c r="F157" t="s">
        <v>1039</v>
      </c>
      <c r="G157">
        <v>1</v>
      </c>
      <c r="H157" s="59">
        <v>35.99</v>
      </c>
      <c r="I157" t="s">
        <v>1041</v>
      </c>
      <c r="J157" t="s">
        <v>14</v>
      </c>
      <c r="K157" s="60" t="s">
        <v>14</v>
      </c>
      <c r="L157" s="59">
        <v>0</v>
      </c>
      <c r="M157" s="61">
        <v>35.99</v>
      </c>
      <c r="N157">
        <f ca="1">IF(LEFT(tblSales[[#This Row],[Category]],1)="A",RANDBETWEEN(1,4),RANDBETWEEN(2,7))</f>
        <v>1</v>
      </c>
      <c r="O157" s="61" t="str">
        <f>IF(COUNTIF($A$2:A157,A157)=1,SUMIFS(tblSales[Revenue],tblSales[Order ID],tblSales[[#This Row],[Order ID]]),"")</f>
        <v/>
      </c>
      <c r="P157" t="str">
        <f>TEXT(tblSales[[#This Row],[Date]],"ddd")</f>
        <v>Sat</v>
      </c>
      <c r="Q157">
        <f>1/COUNTIF(tblSales[Order ID],tblSales[[#This Row],[Order ID]])</f>
        <v>0.5</v>
      </c>
    </row>
    <row r="158" spans="1:17" x14ac:dyDescent="0.3">
      <c r="A158">
        <v>201961</v>
      </c>
      <c r="B158" s="15">
        <v>45485</v>
      </c>
      <c r="C158">
        <v>112865</v>
      </c>
      <c r="D158">
        <v>100252</v>
      </c>
      <c r="E158" t="s">
        <v>1046</v>
      </c>
      <c r="F158" t="s">
        <v>158</v>
      </c>
      <c r="G158">
        <v>4</v>
      </c>
      <c r="H158" s="59">
        <v>449</v>
      </c>
      <c r="I158" t="s">
        <v>120</v>
      </c>
      <c r="J158" t="s">
        <v>1047</v>
      </c>
      <c r="K158" s="60">
        <v>0.1</v>
      </c>
      <c r="L158" s="59">
        <v>179.60000000000002</v>
      </c>
      <c r="M158" s="61">
        <v>1616.4</v>
      </c>
      <c r="N158">
        <f ca="1">IF(LEFT(tblSales[[#This Row],[Category]],1)="A",RANDBETWEEN(1,4),RANDBETWEEN(2,7))</f>
        <v>6</v>
      </c>
      <c r="O158" s="61">
        <f>IF(COUNTIF($A$2:A158,A158)=1,SUMIFS(tblSales[Revenue],tblSales[Order ID],tblSales[[#This Row],[Order ID]]),"")</f>
        <v>1616.4</v>
      </c>
      <c r="P158" t="str">
        <f>TEXT(tblSales[[#This Row],[Date]],"ddd")</f>
        <v>Fri</v>
      </c>
      <c r="Q158">
        <f>1/COUNTIF(tblSales[Order ID],tblSales[[#This Row],[Order ID]])</f>
        <v>1</v>
      </c>
    </row>
    <row r="159" spans="1:17" x14ac:dyDescent="0.3">
      <c r="A159">
        <v>201962</v>
      </c>
      <c r="B159" s="15">
        <v>45494</v>
      </c>
      <c r="C159">
        <v>121163</v>
      </c>
      <c r="D159">
        <v>300185</v>
      </c>
      <c r="E159" t="s">
        <v>1040</v>
      </c>
      <c r="F159" t="s">
        <v>1049</v>
      </c>
      <c r="G159">
        <v>2</v>
      </c>
      <c r="H159" s="59">
        <v>29.99</v>
      </c>
      <c r="I159" t="s">
        <v>1041</v>
      </c>
      <c r="J159" t="s">
        <v>14</v>
      </c>
      <c r="K159" s="60" t="s">
        <v>14</v>
      </c>
      <c r="L159" s="59">
        <v>0</v>
      </c>
      <c r="M159" s="61">
        <v>59.98</v>
      </c>
      <c r="N159">
        <f ca="1">IF(LEFT(tblSales[[#This Row],[Category]],1)="A",RANDBETWEEN(1,4),RANDBETWEEN(2,7))</f>
        <v>2</v>
      </c>
      <c r="O159" s="61">
        <f>IF(COUNTIF($A$2:A159,A159)=1,SUMIFS(tblSales[Revenue],tblSales[Order ID],tblSales[[#This Row],[Order ID]]),"")</f>
        <v>59.98</v>
      </c>
      <c r="P159" t="str">
        <f>TEXT(tblSales[[#This Row],[Date]],"ddd")</f>
        <v>Sun</v>
      </c>
      <c r="Q159">
        <f>1/COUNTIF(tblSales[Order ID],tblSales[[#This Row],[Order ID]])</f>
        <v>1</v>
      </c>
    </row>
    <row r="160" spans="1:17" x14ac:dyDescent="0.3">
      <c r="A160">
        <v>201963</v>
      </c>
      <c r="B160" s="15">
        <v>45482</v>
      </c>
      <c r="C160">
        <v>113691</v>
      </c>
      <c r="D160">
        <v>200558</v>
      </c>
      <c r="E160" t="s">
        <v>1043</v>
      </c>
      <c r="F160" t="s">
        <v>1053</v>
      </c>
      <c r="G160">
        <v>4</v>
      </c>
      <c r="H160" s="59">
        <v>18.989999999999998</v>
      </c>
      <c r="I160" t="s">
        <v>1041</v>
      </c>
      <c r="J160" t="s">
        <v>14</v>
      </c>
      <c r="K160" s="60" t="s">
        <v>14</v>
      </c>
      <c r="L160" s="59">
        <v>0</v>
      </c>
      <c r="M160" s="61">
        <v>75.959999999999994</v>
      </c>
      <c r="N160">
        <f ca="1">IF(LEFT(tblSales[[#This Row],[Category]],1)="A",RANDBETWEEN(1,4),RANDBETWEEN(2,7))</f>
        <v>2</v>
      </c>
      <c r="O160" s="61">
        <f>IF(COUNTIF($A$2:A160,A160)=1,SUMIFS(tblSales[Revenue],tblSales[Order ID],tblSales[[#This Row],[Order ID]]),"")</f>
        <v>356.9</v>
      </c>
      <c r="P160" t="str">
        <f>TEXT(tblSales[[#This Row],[Date]],"ddd")</f>
        <v>Tue</v>
      </c>
      <c r="Q160">
        <f>1/COUNTIF(tblSales[Order ID],tblSales[[#This Row],[Order ID]])</f>
        <v>0.25</v>
      </c>
    </row>
    <row r="161" spans="1:17" x14ac:dyDescent="0.3">
      <c r="A161">
        <v>201963</v>
      </c>
      <c r="B161" s="15">
        <v>45482</v>
      </c>
      <c r="C161">
        <v>113691</v>
      </c>
      <c r="D161">
        <v>300191</v>
      </c>
      <c r="E161" t="s">
        <v>1040</v>
      </c>
      <c r="F161" t="s">
        <v>1051</v>
      </c>
      <c r="G161">
        <v>1</v>
      </c>
      <c r="H161" s="59">
        <v>21.99</v>
      </c>
      <c r="I161" t="s">
        <v>1041</v>
      </c>
      <c r="J161" t="s">
        <v>14</v>
      </c>
      <c r="K161" s="60" t="s">
        <v>14</v>
      </c>
      <c r="L161" s="59">
        <v>0</v>
      </c>
      <c r="M161" s="61">
        <v>21.99</v>
      </c>
      <c r="N161">
        <f ca="1">IF(LEFT(tblSales[[#This Row],[Category]],1)="A",RANDBETWEEN(1,4),RANDBETWEEN(2,7))</f>
        <v>3</v>
      </c>
      <c r="O161" s="61" t="str">
        <f>IF(COUNTIF($A$2:A161,A161)=1,SUMIFS(tblSales[Revenue],tblSales[Order ID],tblSales[[#This Row],[Order ID]]),"")</f>
        <v/>
      </c>
      <c r="P161" t="str">
        <f>TEXT(tblSales[[#This Row],[Date]],"ddd")</f>
        <v>Tue</v>
      </c>
      <c r="Q161">
        <f>1/COUNTIF(tblSales[Order ID],tblSales[[#This Row],[Order ID]])</f>
        <v>0.25</v>
      </c>
    </row>
    <row r="162" spans="1:17" x14ac:dyDescent="0.3">
      <c r="A162">
        <v>201963</v>
      </c>
      <c r="B162" s="15">
        <v>45482</v>
      </c>
      <c r="C162">
        <v>113691</v>
      </c>
      <c r="D162">
        <v>200549</v>
      </c>
      <c r="E162" t="s">
        <v>1043</v>
      </c>
      <c r="F162" t="s">
        <v>1042</v>
      </c>
      <c r="G162">
        <v>1</v>
      </c>
      <c r="H162" s="59">
        <v>18.989999999999998</v>
      </c>
      <c r="I162" t="s">
        <v>1041</v>
      </c>
      <c r="J162" t="s">
        <v>14</v>
      </c>
      <c r="K162" s="60" t="s">
        <v>14</v>
      </c>
      <c r="L162" s="59">
        <v>0</v>
      </c>
      <c r="M162" s="61">
        <v>18.989999999999998</v>
      </c>
      <c r="N162">
        <f ca="1">IF(LEFT(tblSales[[#This Row],[Category]],1)="A",RANDBETWEEN(1,4),RANDBETWEEN(2,7))</f>
        <v>3</v>
      </c>
      <c r="O162" s="61" t="str">
        <f>IF(COUNTIF($A$2:A162,A162)=1,SUMIFS(tblSales[Revenue],tblSales[Order ID],tblSales[[#This Row],[Order ID]]),"")</f>
        <v/>
      </c>
      <c r="P162" t="str">
        <f>TEXT(tblSales[[#This Row],[Date]],"ddd")</f>
        <v>Tue</v>
      </c>
      <c r="Q162">
        <f>1/COUNTIF(tblSales[Order ID],tblSales[[#This Row],[Order ID]])</f>
        <v>0.25</v>
      </c>
    </row>
    <row r="163" spans="1:17" x14ac:dyDescent="0.3">
      <c r="A163">
        <v>201963</v>
      </c>
      <c r="B163" s="15">
        <v>45482</v>
      </c>
      <c r="C163">
        <v>113691</v>
      </c>
      <c r="D163">
        <v>200559</v>
      </c>
      <c r="E163" t="s">
        <v>1043</v>
      </c>
      <c r="F163" t="s">
        <v>1045</v>
      </c>
      <c r="G163">
        <v>4</v>
      </c>
      <c r="H163" s="59">
        <v>59.99</v>
      </c>
      <c r="I163" t="s">
        <v>1041</v>
      </c>
      <c r="J163" t="s">
        <v>14</v>
      </c>
      <c r="K163" s="60" t="s">
        <v>14</v>
      </c>
      <c r="L163" s="59">
        <v>0</v>
      </c>
      <c r="M163" s="61">
        <v>239.96</v>
      </c>
      <c r="N163">
        <f ca="1">IF(LEFT(tblSales[[#This Row],[Category]],1)="A",RANDBETWEEN(1,4),RANDBETWEEN(2,7))</f>
        <v>2</v>
      </c>
      <c r="O163" s="61" t="str">
        <f>IF(COUNTIF($A$2:A163,A163)=1,SUMIFS(tblSales[Revenue],tblSales[Order ID],tblSales[[#This Row],[Order ID]]),"")</f>
        <v/>
      </c>
      <c r="P163" t="str">
        <f>TEXT(tblSales[[#This Row],[Date]],"ddd")</f>
        <v>Tue</v>
      </c>
      <c r="Q163">
        <f>1/COUNTIF(tblSales[Order ID],tblSales[[#This Row],[Order ID]])</f>
        <v>0.25</v>
      </c>
    </row>
    <row r="164" spans="1:17" x14ac:dyDescent="0.3">
      <c r="A164">
        <v>201964</v>
      </c>
      <c r="B164" s="15">
        <v>45492</v>
      </c>
      <c r="C164">
        <v>130931</v>
      </c>
      <c r="D164">
        <v>100252</v>
      </c>
      <c r="E164" t="s">
        <v>1046</v>
      </c>
      <c r="F164" t="s">
        <v>158</v>
      </c>
      <c r="G164">
        <v>3</v>
      </c>
      <c r="H164" s="59">
        <v>449</v>
      </c>
      <c r="I164" t="s">
        <v>1041</v>
      </c>
      <c r="J164" t="s">
        <v>14</v>
      </c>
      <c r="K164" s="60" t="s">
        <v>14</v>
      </c>
      <c r="L164" s="59">
        <v>0</v>
      </c>
      <c r="M164" s="61">
        <v>1347</v>
      </c>
      <c r="N164">
        <f ca="1">IF(LEFT(tblSales[[#This Row],[Category]],1)="A",RANDBETWEEN(1,4),RANDBETWEEN(2,7))</f>
        <v>5</v>
      </c>
      <c r="O164" s="61">
        <f>IF(COUNTIF($A$2:A164,A164)=1,SUMIFS(tblSales[Revenue],tblSales[Order ID],tblSales[[#This Row],[Order ID]]),"")</f>
        <v>1347</v>
      </c>
      <c r="P164" t="str">
        <f>TEXT(tblSales[[#This Row],[Date]],"ddd")</f>
        <v>Fri</v>
      </c>
      <c r="Q164">
        <f>1/COUNTIF(tblSales[Order ID],tblSales[[#This Row],[Order ID]])</f>
        <v>1</v>
      </c>
    </row>
    <row r="165" spans="1:17" x14ac:dyDescent="0.3">
      <c r="A165">
        <v>201965</v>
      </c>
      <c r="B165" s="15">
        <v>45487</v>
      </c>
      <c r="C165">
        <v>110179</v>
      </c>
      <c r="D165">
        <v>200549</v>
      </c>
      <c r="E165" t="s">
        <v>1043</v>
      </c>
      <c r="F165" t="s">
        <v>1042</v>
      </c>
      <c r="G165">
        <v>1</v>
      </c>
      <c r="H165" s="59">
        <v>18.989999999999998</v>
      </c>
      <c r="I165" t="s">
        <v>1041</v>
      </c>
      <c r="J165" t="s">
        <v>14</v>
      </c>
      <c r="K165" s="60" t="s">
        <v>14</v>
      </c>
      <c r="L165" s="59">
        <v>0</v>
      </c>
      <c r="M165" s="61">
        <v>18.989999999999998</v>
      </c>
      <c r="N165">
        <f ca="1">IF(LEFT(tblSales[[#This Row],[Category]],1)="A",RANDBETWEEN(1,4),RANDBETWEEN(2,7))</f>
        <v>4</v>
      </c>
      <c r="O165" s="61">
        <f>IF(COUNTIF($A$2:A165,A165)=1,SUMIFS(tblSales[Revenue],tblSales[Order ID],tblSales[[#This Row],[Order ID]]),"")</f>
        <v>362.93</v>
      </c>
      <c r="P165" t="str">
        <f>TEXT(tblSales[[#This Row],[Date]],"ddd")</f>
        <v>Sun</v>
      </c>
      <c r="Q165">
        <f>1/COUNTIF(tblSales[Order ID],tblSales[[#This Row],[Order ID]])</f>
        <v>0.25</v>
      </c>
    </row>
    <row r="166" spans="1:17" x14ac:dyDescent="0.3">
      <c r="A166">
        <v>201965</v>
      </c>
      <c r="B166" s="15">
        <v>45487</v>
      </c>
      <c r="C166">
        <v>110179</v>
      </c>
      <c r="D166">
        <v>200559</v>
      </c>
      <c r="E166" t="s">
        <v>1043</v>
      </c>
      <c r="F166" t="s">
        <v>1045</v>
      </c>
      <c r="G166">
        <v>1</v>
      </c>
      <c r="H166" s="59">
        <v>59.99</v>
      </c>
      <c r="I166" t="s">
        <v>1041</v>
      </c>
      <c r="J166" t="s">
        <v>14</v>
      </c>
      <c r="K166" s="60" t="s">
        <v>14</v>
      </c>
      <c r="L166" s="59">
        <v>0</v>
      </c>
      <c r="M166" s="61">
        <v>59.99</v>
      </c>
      <c r="N166">
        <f ca="1">IF(LEFT(tblSales[[#This Row],[Category]],1)="A",RANDBETWEEN(1,4),RANDBETWEEN(2,7))</f>
        <v>4</v>
      </c>
      <c r="O166" s="61" t="str">
        <f>IF(COUNTIF($A$2:A166,A166)=1,SUMIFS(tblSales[Revenue],tblSales[Order ID],tblSales[[#This Row],[Order ID]]),"")</f>
        <v/>
      </c>
      <c r="P166" t="str">
        <f>TEXT(tblSales[[#This Row],[Date]],"ddd")</f>
        <v>Sun</v>
      </c>
      <c r="Q166">
        <f>1/COUNTIF(tblSales[Order ID],tblSales[[#This Row],[Order ID]])</f>
        <v>0.25</v>
      </c>
    </row>
    <row r="167" spans="1:17" x14ac:dyDescent="0.3">
      <c r="A167">
        <v>201965</v>
      </c>
      <c r="B167" s="15">
        <v>45487</v>
      </c>
      <c r="C167">
        <v>110179</v>
      </c>
      <c r="D167">
        <v>200551</v>
      </c>
      <c r="E167" t="s">
        <v>1043</v>
      </c>
      <c r="F167" t="s">
        <v>1062</v>
      </c>
      <c r="G167">
        <v>3</v>
      </c>
      <c r="H167" s="59">
        <v>79.989999999999995</v>
      </c>
      <c r="I167" t="s">
        <v>1041</v>
      </c>
      <c r="J167" t="s">
        <v>14</v>
      </c>
      <c r="K167" s="60" t="s">
        <v>14</v>
      </c>
      <c r="L167" s="59">
        <v>0</v>
      </c>
      <c r="M167" s="61">
        <v>239.96999999999997</v>
      </c>
      <c r="N167">
        <f ca="1">IF(LEFT(tblSales[[#This Row],[Category]],1)="A",RANDBETWEEN(1,4),RANDBETWEEN(2,7))</f>
        <v>2</v>
      </c>
      <c r="O167" s="61" t="str">
        <f>IF(COUNTIF($A$2:A167,A167)=1,SUMIFS(tblSales[Revenue],tblSales[Order ID],tblSales[[#This Row],[Order ID]]),"")</f>
        <v/>
      </c>
      <c r="P167" t="str">
        <f>TEXT(tblSales[[#This Row],[Date]],"ddd")</f>
        <v>Sun</v>
      </c>
      <c r="Q167">
        <f>1/COUNTIF(tblSales[Order ID],tblSales[[#This Row],[Order ID]])</f>
        <v>0.25</v>
      </c>
    </row>
    <row r="168" spans="1:17" x14ac:dyDescent="0.3">
      <c r="A168">
        <v>201965</v>
      </c>
      <c r="B168" s="15">
        <v>45487</v>
      </c>
      <c r="C168">
        <v>110179</v>
      </c>
      <c r="D168">
        <v>300191</v>
      </c>
      <c r="E168" t="s">
        <v>1040</v>
      </c>
      <c r="F168" t="s">
        <v>1051</v>
      </c>
      <c r="G168">
        <v>2</v>
      </c>
      <c r="H168" s="59">
        <v>21.99</v>
      </c>
      <c r="I168" t="s">
        <v>1041</v>
      </c>
      <c r="J168" t="s">
        <v>14</v>
      </c>
      <c r="K168" s="60" t="s">
        <v>14</v>
      </c>
      <c r="L168" s="59">
        <v>0</v>
      </c>
      <c r="M168" s="61">
        <v>43.98</v>
      </c>
      <c r="N168">
        <f ca="1">IF(LEFT(tblSales[[#This Row],[Category]],1)="A",RANDBETWEEN(1,4),RANDBETWEEN(2,7))</f>
        <v>2</v>
      </c>
      <c r="O168" s="61" t="str">
        <f>IF(COUNTIF($A$2:A168,A168)=1,SUMIFS(tblSales[Revenue],tblSales[Order ID],tblSales[[#This Row],[Order ID]]),"")</f>
        <v/>
      </c>
      <c r="P168" t="str">
        <f>TEXT(tblSales[[#This Row],[Date]],"ddd")</f>
        <v>Sun</v>
      </c>
      <c r="Q168">
        <f>1/COUNTIF(tblSales[Order ID],tblSales[[#This Row],[Order ID]])</f>
        <v>0.25</v>
      </c>
    </row>
    <row r="169" spans="1:17" x14ac:dyDescent="0.3">
      <c r="A169">
        <v>201966</v>
      </c>
      <c r="B169" s="15">
        <v>45493</v>
      </c>
      <c r="C169">
        <v>112462</v>
      </c>
      <c r="D169">
        <v>200549</v>
      </c>
      <c r="E169" t="s">
        <v>1043</v>
      </c>
      <c r="F169" t="s">
        <v>1042</v>
      </c>
      <c r="G169">
        <v>4</v>
      </c>
      <c r="H169" s="59">
        <v>18.989999999999998</v>
      </c>
      <c r="I169" t="s">
        <v>120</v>
      </c>
      <c r="J169" t="s">
        <v>1047</v>
      </c>
      <c r="K169" s="60">
        <v>0.1</v>
      </c>
      <c r="L169" s="59">
        <v>7.5960000000000001</v>
      </c>
      <c r="M169" s="61">
        <v>68.36399999999999</v>
      </c>
      <c r="N169">
        <f ca="1">IF(LEFT(tblSales[[#This Row],[Category]],1)="A",RANDBETWEEN(1,4),RANDBETWEEN(2,7))</f>
        <v>4</v>
      </c>
      <c r="O169" s="61">
        <f>IF(COUNTIF($A$2:A169,A169)=1,SUMIFS(tblSales[Revenue],tblSales[Order ID],tblSales[[#This Row],[Order ID]]),"")</f>
        <v>323.94599999999997</v>
      </c>
      <c r="P169" t="str">
        <f>TEXT(tblSales[[#This Row],[Date]],"ddd")</f>
        <v>Sat</v>
      </c>
      <c r="Q169">
        <f>1/COUNTIF(tblSales[Order ID],tblSales[[#This Row],[Order ID]])</f>
        <v>0.25</v>
      </c>
    </row>
    <row r="170" spans="1:17" x14ac:dyDescent="0.3">
      <c r="A170">
        <v>201966</v>
      </c>
      <c r="B170" s="15">
        <v>45493</v>
      </c>
      <c r="C170">
        <v>112462</v>
      </c>
      <c r="D170">
        <v>300185</v>
      </c>
      <c r="E170" t="s">
        <v>1040</v>
      </c>
      <c r="F170" t="s">
        <v>1049</v>
      </c>
      <c r="G170">
        <v>1</v>
      </c>
      <c r="H170" s="59">
        <v>29.99</v>
      </c>
      <c r="I170" t="s">
        <v>120</v>
      </c>
      <c r="J170" t="s">
        <v>1047</v>
      </c>
      <c r="K170" s="60">
        <v>0.1</v>
      </c>
      <c r="L170" s="59">
        <v>2.9990000000000001</v>
      </c>
      <c r="M170" s="61">
        <v>26.991</v>
      </c>
      <c r="N170">
        <f ca="1">IF(LEFT(tblSales[[#This Row],[Category]],1)="A",RANDBETWEEN(1,4),RANDBETWEEN(2,7))</f>
        <v>2</v>
      </c>
      <c r="O170" s="61" t="str">
        <f>IF(COUNTIF($A$2:A170,A170)=1,SUMIFS(tblSales[Revenue],tblSales[Order ID],tblSales[[#This Row],[Order ID]]),"")</f>
        <v/>
      </c>
      <c r="P170" t="str">
        <f>TEXT(tblSales[[#This Row],[Date]],"ddd")</f>
        <v>Sat</v>
      </c>
      <c r="Q170">
        <f>1/COUNTIF(tblSales[Order ID],tblSales[[#This Row],[Order ID]])</f>
        <v>0.25</v>
      </c>
    </row>
    <row r="171" spans="1:17" x14ac:dyDescent="0.3">
      <c r="A171">
        <v>201966</v>
      </c>
      <c r="B171" s="15">
        <v>45493</v>
      </c>
      <c r="C171">
        <v>112462</v>
      </c>
      <c r="D171">
        <v>100250</v>
      </c>
      <c r="E171" t="s">
        <v>1046</v>
      </c>
      <c r="F171" t="s">
        <v>202</v>
      </c>
      <c r="G171">
        <v>1</v>
      </c>
      <c r="H171" s="59">
        <v>189</v>
      </c>
      <c r="I171" t="s">
        <v>120</v>
      </c>
      <c r="J171" t="s">
        <v>1047</v>
      </c>
      <c r="K171" s="60">
        <v>0.1</v>
      </c>
      <c r="L171" s="59">
        <v>18.900000000000002</v>
      </c>
      <c r="M171" s="61">
        <v>170.1</v>
      </c>
      <c r="N171">
        <f ca="1">IF(LEFT(tblSales[[#This Row],[Category]],1)="A",RANDBETWEEN(1,4),RANDBETWEEN(2,7))</f>
        <v>7</v>
      </c>
      <c r="O171" s="61" t="str">
        <f>IF(COUNTIF($A$2:A171,A171)=1,SUMIFS(tblSales[Revenue],tblSales[Order ID],tblSales[[#This Row],[Order ID]]),"")</f>
        <v/>
      </c>
      <c r="P171" t="str">
        <f>TEXT(tblSales[[#This Row],[Date]],"ddd")</f>
        <v>Sat</v>
      </c>
      <c r="Q171">
        <f>1/COUNTIF(tblSales[Order ID],tblSales[[#This Row],[Order ID]])</f>
        <v>0.25</v>
      </c>
    </row>
    <row r="172" spans="1:17" x14ac:dyDescent="0.3">
      <c r="A172">
        <v>201966</v>
      </c>
      <c r="B172" s="15">
        <v>45493</v>
      </c>
      <c r="C172">
        <v>112462</v>
      </c>
      <c r="D172">
        <v>200556</v>
      </c>
      <c r="E172" t="s">
        <v>1043</v>
      </c>
      <c r="F172" t="s">
        <v>1044</v>
      </c>
      <c r="G172">
        <v>1</v>
      </c>
      <c r="H172" s="59">
        <v>64.989999999999995</v>
      </c>
      <c r="I172" t="s">
        <v>120</v>
      </c>
      <c r="J172" t="s">
        <v>1047</v>
      </c>
      <c r="K172" s="60">
        <v>0.1</v>
      </c>
      <c r="L172" s="59">
        <v>6.4989999999999997</v>
      </c>
      <c r="M172" s="61">
        <v>58.490999999999993</v>
      </c>
      <c r="N172">
        <f ca="1">IF(LEFT(tblSales[[#This Row],[Category]],1)="A",RANDBETWEEN(1,4),RANDBETWEEN(2,7))</f>
        <v>1</v>
      </c>
      <c r="O172" s="61" t="str">
        <f>IF(COUNTIF($A$2:A172,A172)=1,SUMIFS(tblSales[Revenue],tblSales[Order ID],tblSales[[#This Row],[Order ID]]),"")</f>
        <v/>
      </c>
      <c r="P172" t="str">
        <f>TEXT(tblSales[[#This Row],[Date]],"ddd")</f>
        <v>Sat</v>
      </c>
      <c r="Q172">
        <f>1/COUNTIF(tblSales[Order ID],tblSales[[#This Row],[Order ID]])</f>
        <v>0.25</v>
      </c>
    </row>
    <row r="173" spans="1:17" x14ac:dyDescent="0.3">
      <c r="A173">
        <v>201967</v>
      </c>
      <c r="B173" s="15">
        <v>45492</v>
      </c>
      <c r="C173">
        <v>114107</v>
      </c>
      <c r="D173">
        <v>200556</v>
      </c>
      <c r="E173" t="s">
        <v>1043</v>
      </c>
      <c r="F173" t="s">
        <v>1044</v>
      </c>
      <c r="G173">
        <v>4</v>
      </c>
      <c r="H173" s="59">
        <v>64.989999999999995</v>
      </c>
      <c r="I173" t="s">
        <v>1041</v>
      </c>
      <c r="J173" t="s">
        <v>14</v>
      </c>
      <c r="K173" s="60" t="s">
        <v>14</v>
      </c>
      <c r="L173" s="59">
        <v>0</v>
      </c>
      <c r="M173" s="61">
        <v>259.95999999999998</v>
      </c>
      <c r="N173">
        <f ca="1">IF(LEFT(tblSales[[#This Row],[Category]],1)="A",RANDBETWEEN(1,4),RANDBETWEEN(2,7))</f>
        <v>1</v>
      </c>
      <c r="O173" s="61">
        <f>IF(COUNTIF($A$2:A173,A173)=1,SUMIFS(tblSales[Revenue],tblSales[Order ID],tblSales[[#This Row],[Order ID]]),"")</f>
        <v>4642.92</v>
      </c>
      <c r="P173" t="str">
        <f>TEXT(tblSales[[#This Row],[Date]],"ddd")</f>
        <v>Fri</v>
      </c>
      <c r="Q173">
        <f>1/COUNTIF(tblSales[Order ID],tblSales[[#This Row],[Order ID]])</f>
        <v>0.2</v>
      </c>
    </row>
    <row r="174" spans="1:17" x14ac:dyDescent="0.3">
      <c r="A174">
        <v>201967</v>
      </c>
      <c r="B174" s="15">
        <v>45492</v>
      </c>
      <c r="C174">
        <v>114107</v>
      </c>
      <c r="D174">
        <v>200549</v>
      </c>
      <c r="E174" t="s">
        <v>1043</v>
      </c>
      <c r="F174" t="s">
        <v>1042</v>
      </c>
      <c r="G174">
        <v>1</v>
      </c>
      <c r="H174" s="59">
        <v>18.989999999999998</v>
      </c>
      <c r="I174" t="s">
        <v>1041</v>
      </c>
      <c r="J174" t="s">
        <v>14</v>
      </c>
      <c r="K174" s="60" t="s">
        <v>14</v>
      </c>
      <c r="L174" s="59">
        <v>0</v>
      </c>
      <c r="M174" s="61">
        <v>18.989999999999998</v>
      </c>
      <c r="N174">
        <f ca="1">IF(LEFT(tblSales[[#This Row],[Category]],1)="A",RANDBETWEEN(1,4),RANDBETWEEN(2,7))</f>
        <v>3</v>
      </c>
      <c r="O174" s="61" t="str">
        <f>IF(COUNTIF($A$2:A174,A174)=1,SUMIFS(tblSales[Revenue],tblSales[Order ID],tblSales[[#This Row],[Order ID]]),"")</f>
        <v/>
      </c>
      <c r="P174" t="str">
        <f>TEXT(tblSales[[#This Row],[Date]],"ddd")</f>
        <v>Fri</v>
      </c>
      <c r="Q174">
        <f>1/COUNTIF(tblSales[Order ID],tblSales[[#This Row],[Order ID]])</f>
        <v>0.2</v>
      </c>
    </row>
    <row r="175" spans="1:17" x14ac:dyDescent="0.3">
      <c r="A175">
        <v>201967</v>
      </c>
      <c r="B175" s="15">
        <v>45492</v>
      </c>
      <c r="C175">
        <v>114107</v>
      </c>
      <c r="D175">
        <v>100254</v>
      </c>
      <c r="E175" t="s">
        <v>1046</v>
      </c>
      <c r="F175" t="s">
        <v>164</v>
      </c>
      <c r="G175">
        <v>5</v>
      </c>
      <c r="H175" s="59">
        <v>799</v>
      </c>
      <c r="I175" t="s">
        <v>1041</v>
      </c>
      <c r="J175" t="s">
        <v>14</v>
      </c>
      <c r="K175" s="60" t="s">
        <v>14</v>
      </c>
      <c r="L175" s="59">
        <v>0</v>
      </c>
      <c r="M175" s="61">
        <v>3995</v>
      </c>
      <c r="N175">
        <f ca="1">IF(LEFT(tblSales[[#This Row],[Category]],1)="A",RANDBETWEEN(1,4),RANDBETWEEN(2,7))</f>
        <v>6</v>
      </c>
      <c r="O175" s="61" t="str">
        <f>IF(COUNTIF($A$2:A175,A175)=1,SUMIFS(tblSales[Revenue],tblSales[Order ID],tblSales[[#This Row],[Order ID]]),"")</f>
        <v/>
      </c>
      <c r="P175" t="str">
        <f>TEXT(tblSales[[#This Row],[Date]],"ddd")</f>
        <v>Fri</v>
      </c>
      <c r="Q175">
        <f>1/COUNTIF(tblSales[Order ID],tblSales[[#This Row],[Order ID]])</f>
        <v>0.2</v>
      </c>
    </row>
    <row r="176" spans="1:17" x14ac:dyDescent="0.3">
      <c r="A176">
        <v>201967</v>
      </c>
      <c r="B176" s="15">
        <v>45492</v>
      </c>
      <c r="C176">
        <v>114107</v>
      </c>
      <c r="D176">
        <v>200559</v>
      </c>
      <c r="E176" t="s">
        <v>1043</v>
      </c>
      <c r="F176" t="s">
        <v>1045</v>
      </c>
      <c r="G176">
        <v>3</v>
      </c>
      <c r="H176" s="59">
        <v>59.99</v>
      </c>
      <c r="I176" t="s">
        <v>1041</v>
      </c>
      <c r="J176" t="s">
        <v>14</v>
      </c>
      <c r="K176" s="60" t="s">
        <v>14</v>
      </c>
      <c r="L176" s="59">
        <v>0</v>
      </c>
      <c r="M176" s="61">
        <v>179.97</v>
      </c>
      <c r="N176">
        <f ca="1">IF(LEFT(tblSales[[#This Row],[Category]],1)="A",RANDBETWEEN(1,4),RANDBETWEEN(2,7))</f>
        <v>1</v>
      </c>
      <c r="O176" s="61" t="str">
        <f>IF(COUNTIF($A$2:A176,A176)=1,SUMIFS(tblSales[Revenue],tblSales[Order ID],tblSales[[#This Row],[Order ID]]),"")</f>
        <v/>
      </c>
      <c r="P176" t="str">
        <f>TEXT(tblSales[[#This Row],[Date]],"ddd")</f>
        <v>Fri</v>
      </c>
      <c r="Q176">
        <f>1/COUNTIF(tblSales[Order ID],tblSales[[#This Row],[Order ID]])</f>
        <v>0.2</v>
      </c>
    </row>
    <row r="177" spans="1:17" x14ac:dyDescent="0.3">
      <c r="A177">
        <v>201967</v>
      </c>
      <c r="B177" s="15">
        <v>45492</v>
      </c>
      <c r="C177">
        <v>114107</v>
      </c>
      <c r="D177">
        <v>100250</v>
      </c>
      <c r="E177" t="s">
        <v>1046</v>
      </c>
      <c r="F177" t="s">
        <v>202</v>
      </c>
      <c r="G177">
        <v>1</v>
      </c>
      <c r="H177" s="59">
        <v>189</v>
      </c>
      <c r="I177" t="s">
        <v>1041</v>
      </c>
      <c r="J177" t="s">
        <v>14</v>
      </c>
      <c r="K177" s="60" t="s">
        <v>14</v>
      </c>
      <c r="L177" s="59">
        <v>0</v>
      </c>
      <c r="M177" s="61">
        <v>189</v>
      </c>
      <c r="N177">
        <f ca="1">IF(LEFT(tblSales[[#This Row],[Category]],1)="A",RANDBETWEEN(1,4),RANDBETWEEN(2,7))</f>
        <v>7</v>
      </c>
      <c r="O177" s="61" t="str">
        <f>IF(COUNTIF($A$2:A177,A177)=1,SUMIFS(tblSales[Revenue],tblSales[Order ID],tblSales[[#This Row],[Order ID]]),"")</f>
        <v/>
      </c>
      <c r="P177" t="str">
        <f>TEXT(tblSales[[#This Row],[Date]],"ddd")</f>
        <v>Fri</v>
      </c>
      <c r="Q177">
        <f>1/COUNTIF(tblSales[Order ID],tblSales[[#This Row],[Order ID]])</f>
        <v>0.2</v>
      </c>
    </row>
    <row r="178" spans="1:17" x14ac:dyDescent="0.3">
      <c r="A178">
        <v>201968</v>
      </c>
      <c r="B178" s="15">
        <v>45484</v>
      </c>
      <c r="C178">
        <v>115285</v>
      </c>
      <c r="D178">
        <v>300187</v>
      </c>
      <c r="E178" t="s">
        <v>1040</v>
      </c>
      <c r="F178" t="s">
        <v>1058</v>
      </c>
      <c r="G178">
        <v>1</v>
      </c>
      <c r="H178" s="59">
        <v>54.99</v>
      </c>
      <c r="I178" t="s">
        <v>120</v>
      </c>
      <c r="J178" t="s">
        <v>1047</v>
      </c>
      <c r="K178" s="60">
        <v>0.1</v>
      </c>
      <c r="L178" s="59">
        <v>5.4990000000000006</v>
      </c>
      <c r="M178" s="61">
        <v>49.491</v>
      </c>
      <c r="N178">
        <f ca="1">IF(LEFT(tblSales[[#This Row],[Category]],1)="A",RANDBETWEEN(1,4),RANDBETWEEN(2,7))</f>
        <v>4</v>
      </c>
      <c r="O178" s="61">
        <f>IF(COUNTIF($A$2:A178,A178)=1,SUMIFS(tblSales[Revenue],tblSales[Order ID],tblSales[[#This Row],[Order ID]]),"")</f>
        <v>69.281999999999996</v>
      </c>
      <c r="P178" t="str">
        <f>TEXT(tblSales[[#This Row],[Date]],"ddd")</f>
        <v>Thu</v>
      </c>
      <c r="Q178">
        <f>1/COUNTIF(tblSales[Order ID],tblSales[[#This Row],[Order ID]])</f>
        <v>0.5</v>
      </c>
    </row>
    <row r="179" spans="1:17" x14ac:dyDescent="0.3">
      <c r="A179">
        <v>201968</v>
      </c>
      <c r="B179" s="15">
        <v>45484</v>
      </c>
      <c r="C179">
        <v>115285</v>
      </c>
      <c r="D179">
        <v>300191</v>
      </c>
      <c r="E179" t="s">
        <v>1040</v>
      </c>
      <c r="F179" t="s">
        <v>1051</v>
      </c>
      <c r="G179">
        <v>1</v>
      </c>
      <c r="H179" s="59">
        <v>21.99</v>
      </c>
      <c r="I179" t="s">
        <v>120</v>
      </c>
      <c r="J179" t="s">
        <v>1047</v>
      </c>
      <c r="K179" s="60">
        <v>0.1</v>
      </c>
      <c r="L179" s="59">
        <v>2.1989999999999998</v>
      </c>
      <c r="M179" s="61">
        <v>19.790999999999997</v>
      </c>
      <c r="N179">
        <f ca="1">IF(LEFT(tblSales[[#This Row],[Category]],1)="A",RANDBETWEEN(1,4),RANDBETWEEN(2,7))</f>
        <v>2</v>
      </c>
      <c r="O179" s="61" t="str">
        <f>IF(COUNTIF($A$2:A179,A179)=1,SUMIFS(tblSales[Revenue],tblSales[Order ID],tblSales[[#This Row],[Order ID]]),"")</f>
        <v/>
      </c>
      <c r="P179" t="str">
        <f>TEXT(tblSales[[#This Row],[Date]],"ddd")</f>
        <v>Thu</v>
      </c>
      <c r="Q179">
        <f>1/COUNTIF(tblSales[Order ID],tblSales[[#This Row],[Order ID]])</f>
        <v>0.5</v>
      </c>
    </row>
    <row r="180" spans="1:17" x14ac:dyDescent="0.3">
      <c r="A180">
        <v>201969</v>
      </c>
      <c r="B180" s="15">
        <v>45492</v>
      </c>
      <c r="C180">
        <v>105656</v>
      </c>
      <c r="D180">
        <v>200559</v>
      </c>
      <c r="E180" t="s">
        <v>1043</v>
      </c>
      <c r="F180" t="s">
        <v>1045</v>
      </c>
      <c r="G180">
        <v>1</v>
      </c>
      <c r="H180" s="59">
        <v>59.99</v>
      </c>
      <c r="I180" t="s">
        <v>120</v>
      </c>
      <c r="J180" t="s">
        <v>1047</v>
      </c>
      <c r="K180" s="60">
        <v>0.1</v>
      </c>
      <c r="L180" s="59">
        <v>5.9990000000000006</v>
      </c>
      <c r="M180" s="61">
        <v>53.991</v>
      </c>
      <c r="N180">
        <f ca="1">IF(LEFT(tblSales[[#This Row],[Category]],1)="A",RANDBETWEEN(1,4),RANDBETWEEN(2,7))</f>
        <v>4</v>
      </c>
      <c r="O180" s="61">
        <f>IF(COUNTIF($A$2:A180,A180)=1,SUMIFS(tblSales[Revenue],tblSales[Order ID],tblSales[[#This Row],[Order ID]]),"")</f>
        <v>53.991</v>
      </c>
      <c r="P180" t="str">
        <f>TEXT(tblSales[[#This Row],[Date]],"ddd")</f>
        <v>Fri</v>
      </c>
      <c r="Q180">
        <f>1/COUNTIF(tblSales[Order ID],tblSales[[#This Row],[Order ID]])</f>
        <v>1</v>
      </c>
    </row>
    <row r="181" spans="1:17" x14ac:dyDescent="0.3">
      <c r="A181">
        <v>201970</v>
      </c>
      <c r="B181" s="15">
        <v>45482</v>
      </c>
      <c r="C181">
        <v>110391</v>
      </c>
      <c r="D181">
        <v>200556</v>
      </c>
      <c r="E181" t="s">
        <v>1043</v>
      </c>
      <c r="F181" t="s">
        <v>1044</v>
      </c>
      <c r="G181">
        <v>5</v>
      </c>
      <c r="H181" s="59">
        <v>64.989999999999995</v>
      </c>
      <c r="I181" t="s">
        <v>1041</v>
      </c>
      <c r="J181" t="s">
        <v>14</v>
      </c>
      <c r="K181" s="60" t="s">
        <v>14</v>
      </c>
      <c r="L181" s="59">
        <v>0</v>
      </c>
      <c r="M181" s="61">
        <v>324.95</v>
      </c>
      <c r="N181">
        <f ca="1">IF(LEFT(tblSales[[#This Row],[Category]],1)="A",RANDBETWEEN(1,4),RANDBETWEEN(2,7))</f>
        <v>4</v>
      </c>
      <c r="O181" s="61">
        <f>IF(COUNTIF($A$2:A181,A181)=1,SUMIFS(tblSales[Revenue],tblSales[Order ID],tblSales[[#This Row],[Order ID]]),"")</f>
        <v>324.95</v>
      </c>
      <c r="P181" t="str">
        <f>TEXT(tblSales[[#This Row],[Date]],"ddd")</f>
        <v>Tue</v>
      </c>
      <c r="Q181">
        <f>1/COUNTIF(tblSales[Order ID],tblSales[[#This Row],[Order ID]])</f>
        <v>1</v>
      </c>
    </row>
    <row r="182" spans="1:17" x14ac:dyDescent="0.3">
      <c r="A182">
        <v>201971</v>
      </c>
      <c r="B182" s="15">
        <v>45492</v>
      </c>
      <c r="C182">
        <v>129684</v>
      </c>
      <c r="D182">
        <v>200549</v>
      </c>
      <c r="E182" t="s">
        <v>1043</v>
      </c>
      <c r="F182" t="s">
        <v>1042</v>
      </c>
      <c r="G182">
        <v>1</v>
      </c>
      <c r="H182" s="59">
        <v>18.989999999999998</v>
      </c>
      <c r="I182" t="s">
        <v>120</v>
      </c>
      <c r="J182" t="s">
        <v>1047</v>
      </c>
      <c r="K182" s="60">
        <v>0.1</v>
      </c>
      <c r="L182" s="59">
        <v>1.899</v>
      </c>
      <c r="M182" s="61">
        <v>17.090999999999998</v>
      </c>
      <c r="N182">
        <f ca="1">IF(LEFT(tblSales[[#This Row],[Category]],1)="A",RANDBETWEEN(1,4),RANDBETWEEN(2,7))</f>
        <v>3</v>
      </c>
      <c r="O182" s="61">
        <f>IF(COUNTIF($A$2:A182,A182)=1,SUMIFS(tblSales[Revenue],tblSales[Order ID],tblSales[[#This Row],[Order ID]]),"")</f>
        <v>17.090999999999998</v>
      </c>
      <c r="P182" t="str">
        <f>TEXT(tblSales[[#This Row],[Date]],"ddd")</f>
        <v>Fri</v>
      </c>
      <c r="Q182">
        <f>1/COUNTIF(tblSales[Order ID],tblSales[[#This Row],[Order ID]])</f>
        <v>1</v>
      </c>
    </row>
    <row r="183" spans="1:17" x14ac:dyDescent="0.3">
      <c r="A183">
        <v>201972</v>
      </c>
      <c r="B183" s="15">
        <v>45482</v>
      </c>
      <c r="C183">
        <v>106326</v>
      </c>
      <c r="D183">
        <v>200549</v>
      </c>
      <c r="E183" t="s">
        <v>1043</v>
      </c>
      <c r="F183" t="s">
        <v>1042</v>
      </c>
      <c r="G183">
        <v>1</v>
      </c>
      <c r="H183" s="59">
        <v>18.989999999999998</v>
      </c>
      <c r="I183" t="s">
        <v>1041</v>
      </c>
      <c r="J183" t="s">
        <v>14</v>
      </c>
      <c r="K183" s="60" t="s">
        <v>14</v>
      </c>
      <c r="L183" s="59">
        <v>0</v>
      </c>
      <c r="M183" s="61">
        <v>18.989999999999998</v>
      </c>
      <c r="N183">
        <f ca="1">IF(LEFT(tblSales[[#This Row],[Category]],1)="A",RANDBETWEEN(1,4),RANDBETWEEN(2,7))</f>
        <v>1</v>
      </c>
      <c r="O183" s="61">
        <f>IF(COUNTIF($A$2:A183,A183)=1,SUMIFS(tblSales[Revenue],tblSales[Order ID],tblSales[[#This Row],[Order ID]]),"")</f>
        <v>18.989999999999998</v>
      </c>
      <c r="P183" t="str">
        <f>TEXT(tblSales[[#This Row],[Date]],"ddd")</f>
        <v>Tue</v>
      </c>
      <c r="Q183">
        <f>1/COUNTIF(tblSales[Order ID],tblSales[[#This Row],[Order ID]])</f>
        <v>1</v>
      </c>
    </row>
    <row r="184" spans="1:17" x14ac:dyDescent="0.3">
      <c r="A184">
        <v>201973</v>
      </c>
      <c r="B184" s="15">
        <v>45493</v>
      </c>
      <c r="C184">
        <v>120365</v>
      </c>
      <c r="D184">
        <v>300187</v>
      </c>
      <c r="E184" t="s">
        <v>1040</v>
      </c>
      <c r="F184" t="s">
        <v>1058</v>
      </c>
      <c r="G184">
        <v>5</v>
      </c>
      <c r="H184" s="59">
        <v>54.99</v>
      </c>
      <c r="I184" t="s">
        <v>120</v>
      </c>
      <c r="J184" t="s">
        <v>1047</v>
      </c>
      <c r="K184" s="60">
        <v>0.1</v>
      </c>
      <c r="L184" s="59">
        <v>27.495000000000001</v>
      </c>
      <c r="M184" s="61">
        <v>247.45499999999998</v>
      </c>
      <c r="N184">
        <f ca="1">IF(LEFT(tblSales[[#This Row],[Category]],1)="A",RANDBETWEEN(1,4),RANDBETWEEN(2,7))</f>
        <v>1</v>
      </c>
      <c r="O184" s="61">
        <f>IF(COUNTIF($A$2:A184,A184)=1,SUMIFS(tblSales[Revenue],tblSales[Order ID],tblSales[[#This Row],[Order ID]]),"")</f>
        <v>534.47399999999993</v>
      </c>
      <c r="P184" t="str">
        <f>TEXT(tblSales[[#This Row],[Date]],"ddd")</f>
        <v>Sat</v>
      </c>
      <c r="Q184">
        <f>1/COUNTIF(tblSales[Order ID],tblSales[[#This Row],[Order ID]])</f>
        <v>0.2</v>
      </c>
    </row>
    <row r="185" spans="1:17" x14ac:dyDescent="0.3">
      <c r="A185">
        <v>201973</v>
      </c>
      <c r="B185" s="15">
        <v>45493</v>
      </c>
      <c r="C185">
        <v>120365</v>
      </c>
      <c r="D185">
        <v>300191</v>
      </c>
      <c r="E185" t="s">
        <v>1040</v>
      </c>
      <c r="F185" t="s">
        <v>1051</v>
      </c>
      <c r="G185">
        <v>2</v>
      </c>
      <c r="H185" s="59">
        <v>21.99</v>
      </c>
      <c r="I185" t="s">
        <v>120</v>
      </c>
      <c r="J185" t="s">
        <v>1047</v>
      </c>
      <c r="K185" s="60">
        <v>0.1</v>
      </c>
      <c r="L185" s="59">
        <v>4.3979999999999997</v>
      </c>
      <c r="M185" s="61">
        <v>39.581999999999994</v>
      </c>
      <c r="N185">
        <f ca="1">IF(LEFT(tblSales[[#This Row],[Category]],1)="A",RANDBETWEEN(1,4),RANDBETWEEN(2,7))</f>
        <v>2</v>
      </c>
      <c r="O185" s="61" t="str">
        <f>IF(COUNTIF($A$2:A185,A185)=1,SUMIFS(tblSales[Revenue],tblSales[Order ID],tblSales[[#This Row],[Order ID]]),"")</f>
        <v/>
      </c>
      <c r="P185" t="str">
        <f>TEXT(tblSales[[#This Row],[Date]],"ddd")</f>
        <v>Sat</v>
      </c>
      <c r="Q185">
        <f>1/COUNTIF(tblSales[Order ID],tblSales[[#This Row],[Order ID]])</f>
        <v>0.2</v>
      </c>
    </row>
    <row r="186" spans="1:17" x14ac:dyDescent="0.3">
      <c r="A186">
        <v>201973</v>
      </c>
      <c r="B186" s="15">
        <v>45493</v>
      </c>
      <c r="C186">
        <v>120365</v>
      </c>
      <c r="D186">
        <v>300185</v>
      </c>
      <c r="E186" t="s">
        <v>1040</v>
      </c>
      <c r="F186" t="s">
        <v>1049</v>
      </c>
      <c r="G186">
        <v>5</v>
      </c>
      <c r="H186" s="59">
        <v>29.99</v>
      </c>
      <c r="I186" t="s">
        <v>120</v>
      </c>
      <c r="J186" t="s">
        <v>1047</v>
      </c>
      <c r="K186" s="60">
        <v>0.1</v>
      </c>
      <c r="L186" s="59">
        <v>14.994999999999999</v>
      </c>
      <c r="M186" s="61">
        <v>134.95499999999998</v>
      </c>
      <c r="N186">
        <f ca="1">IF(LEFT(tblSales[[#This Row],[Category]],1)="A",RANDBETWEEN(1,4),RANDBETWEEN(2,7))</f>
        <v>4</v>
      </c>
      <c r="O186" s="61" t="str">
        <f>IF(COUNTIF($A$2:A186,A186)=1,SUMIFS(tblSales[Revenue],tblSales[Order ID],tblSales[[#This Row],[Order ID]]),"")</f>
        <v/>
      </c>
      <c r="P186" t="str">
        <f>TEXT(tblSales[[#This Row],[Date]],"ddd")</f>
        <v>Sat</v>
      </c>
      <c r="Q186">
        <f>1/COUNTIF(tblSales[Order ID],tblSales[[#This Row],[Order ID]])</f>
        <v>0.2</v>
      </c>
    </row>
    <row r="187" spans="1:17" x14ac:dyDescent="0.3">
      <c r="A187">
        <v>201973</v>
      </c>
      <c r="B187" s="15">
        <v>45493</v>
      </c>
      <c r="C187">
        <v>120365</v>
      </c>
      <c r="D187">
        <v>200559</v>
      </c>
      <c r="E187" t="s">
        <v>1043</v>
      </c>
      <c r="F187" t="s">
        <v>1045</v>
      </c>
      <c r="G187">
        <v>1</v>
      </c>
      <c r="H187" s="59">
        <v>59.99</v>
      </c>
      <c r="I187" t="s">
        <v>120</v>
      </c>
      <c r="J187" t="s">
        <v>1047</v>
      </c>
      <c r="K187" s="60">
        <v>0.1</v>
      </c>
      <c r="L187" s="59">
        <v>5.9990000000000006</v>
      </c>
      <c r="M187" s="61">
        <v>53.991</v>
      </c>
      <c r="N187">
        <f ca="1">IF(LEFT(tblSales[[#This Row],[Category]],1)="A",RANDBETWEEN(1,4),RANDBETWEEN(2,7))</f>
        <v>1</v>
      </c>
      <c r="O187" s="61" t="str">
        <f>IF(COUNTIF($A$2:A187,A187)=1,SUMIFS(tblSales[Revenue],tblSales[Order ID],tblSales[[#This Row],[Order ID]]),"")</f>
        <v/>
      </c>
      <c r="P187" t="str">
        <f>TEXT(tblSales[[#This Row],[Date]],"ddd")</f>
        <v>Sat</v>
      </c>
      <c r="Q187">
        <f>1/COUNTIF(tblSales[Order ID],tblSales[[#This Row],[Order ID]])</f>
        <v>0.2</v>
      </c>
    </row>
    <row r="188" spans="1:17" x14ac:dyDescent="0.3">
      <c r="A188">
        <v>201973</v>
      </c>
      <c r="B188" s="15">
        <v>45493</v>
      </c>
      <c r="C188">
        <v>120365</v>
      </c>
      <c r="D188">
        <v>200556</v>
      </c>
      <c r="E188" t="s">
        <v>1043</v>
      </c>
      <c r="F188" t="s">
        <v>1044</v>
      </c>
      <c r="G188">
        <v>1</v>
      </c>
      <c r="H188" s="59">
        <v>64.989999999999995</v>
      </c>
      <c r="I188" t="s">
        <v>120</v>
      </c>
      <c r="J188" t="s">
        <v>1047</v>
      </c>
      <c r="K188" s="60">
        <v>0.1</v>
      </c>
      <c r="L188" s="59">
        <v>6.4989999999999997</v>
      </c>
      <c r="M188" s="61">
        <v>58.490999999999993</v>
      </c>
      <c r="N188">
        <f ca="1">IF(LEFT(tblSales[[#This Row],[Category]],1)="A",RANDBETWEEN(1,4),RANDBETWEEN(2,7))</f>
        <v>3</v>
      </c>
      <c r="O188" s="61" t="str">
        <f>IF(COUNTIF($A$2:A188,A188)=1,SUMIFS(tblSales[Revenue],tblSales[Order ID],tblSales[[#This Row],[Order ID]]),"")</f>
        <v/>
      </c>
      <c r="P188" t="str">
        <f>TEXT(tblSales[[#This Row],[Date]],"ddd")</f>
        <v>Sat</v>
      </c>
      <c r="Q188">
        <f>1/COUNTIF(tblSales[Order ID],tblSales[[#This Row],[Order ID]])</f>
        <v>0.2</v>
      </c>
    </row>
    <row r="189" spans="1:17" x14ac:dyDescent="0.3">
      <c r="A189">
        <v>201974</v>
      </c>
      <c r="B189" s="15">
        <v>45481</v>
      </c>
      <c r="C189">
        <v>111269</v>
      </c>
      <c r="D189">
        <v>200559</v>
      </c>
      <c r="E189" t="s">
        <v>1043</v>
      </c>
      <c r="F189" t="s">
        <v>1045</v>
      </c>
      <c r="G189">
        <v>1</v>
      </c>
      <c r="H189" s="59">
        <v>59.99</v>
      </c>
      <c r="I189" t="s">
        <v>1041</v>
      </c>
      <c r="J189" t="s">
        <v>14</v>
      </c>
      <c r="K189" s="60" t="s">
        <v>14</v>
      </c>
      <c r="L189" s="59">
        <v>0</v>
      </c>
      <c r="M189" s="61">
        <v>59.99</v>
      </c>
      <c r="N189">
        <f ca="1">IF(LEFT(tblSales[[#This Row],[Category]],1)="A",RANDBETWEEN(1,4),RANDBETWEEN(2,7))</f>
        <v>3</v>
      </c>
      <c r="O189" s="61">
        <f>IF(COUNTIF($A$2:A189,A189)=1,SUMIFS(tblSales[Revenue],tblSales[Order ID],tblSales[[#This Row],[Order ID]]),"")</f>
        <v>858.99</v>
      </c>
      <c r="P189" t="str">
        <f>TEXT(tblSales[[#This Row],[Date]],"ddd")</f>
        <v>Mon</v>
      </c>
      <c r="Q189">
        <f>1/COUNTIF(tblSales[Order ID],tblSales[[#This Row],[Order ID]])</f>
        <v>0.5</v>
      </c>
    </row>
    <row r="190" spans="1:17" x14ac:dyDescent="0.3">
      <c r="A190">
        <v>201974</v>
      </c>
      <c r="B190" s="15">
        <v>45481</v>
      </c>
      <c r="C190">
        <v>111269</v>
      </c>
      <c r="D190">
        <v>100254</v>
      </c>
      <c r="E190" t="s">
        <v>1046</v>
      </c>
      <c r="F190" t="s">
        <v>164</v>
      </c>
      <c r="G190">
        <v>1</v>
      </c>
      <c r="H190" s="59">
        <v>799</v>
      </c>
      <c r="I190" t="s">
        <v>1041</v>
      </c>
      <c r="J190" t="s">
        <v>14</v>
      </c>
      <c r="K190" s="60" t="s">
        <v>14</v>
      </c>
      <c r="L190" s="59">
        <v>0</v>
      </c>
      <c r="M190" s="61">
        <v>799</v>
      </c>
      <c r="N190">
        <f ca="1">IF(LEFT(tblSales[[#This Row],[Category]],1)="A",RANDBETWEEN(1,4),RANDBETWEEN(2,7))</f>
        <v>5</v>
      </c>
      <c r="O190" s="61" t="str">
        <f>IF(COUNTIF($A$2:A190,A190)=1,SUMIFS(tblSales[Revenue],tblSales[Order ID],tblSales[[#This Row],[Order ID]]),"")</f>
        <v/>
      </c>
      <c r="P190" t="str">
        <f>TEXT(tblSales[[#This Row],[Date]],"ddd")</f>
        <v>Mon</v>
      </c>
      <c r="Q190">
        <f>1/COUNTIF(tblSales[Order ID],tblSales[[#This Row],[Order ID]])</f>
        <v>0.5</v>
      </c>
    </row>
    <row r="191" spans="1:17" x14ac:dyDescent="0.3">
      <c r="A191">
        <v>201975</v>
      </c>
      <c r="B191" s="15">
        <v>45483</v>
      </c>
      <c r="C191">
        <v>107671</v>
      </c>
      <c r="D191">
        <v>100250</v>
      </c>
      <c r="E191" t="s">
        <v>1046</v>
      </c>
      <c r="F191" t="s">
        <v>202</v>
      </c>
      <c r="G191">
        <v>4</v>
      </c>
      <c r="H191" s="59">
        <v>189</v>
      </c>
      <c r="I191" t="s">
        <v>120</v>
      </c>
      <c r="J191" t="s">
        <v>1047</v>
      </c>
      <c r="K191" s="60">
        <v>0.1</v>
      </c>
      <c r="L191" s="59">
        <v>75.600000000000009</v>
      </c>
      <c r="M191" s="61">
        <v>680.4</v>
      </c>
      <c r="N191">
        <f ca="1">IF(LEFT(tblSales[[#This Row],[Category]],1)="A",RANDBETWEEN(1,4),RANDBETWEEN(2,7))</f>
        <v>6</v>
      </c>
      <c r="O191" s="61">
        <f>IF(COUNTIF($A$2:A191,A191)=1,SUMIFS(tblSales[Revenue],tblSales[Order ID],tblSales[[#This Row],[Order ID]]),"")</f>
        <v>680.4</v>
      </c>
      <c r="P191" t="str">
        <f>TEXT(tblSales[[#This Row],[Date]],"ddd")</f>
        <v>Wed</v>
      </c>
      <c r="Q191">
        <f>1/COUNTIF(tblSales[Order ID],tblSales[[#This Row],[Order ID]])</f>
        <v>1</v>
      </c>
    </row>
    <row r="192" spans="1:17" x14ac:dyDescent="0.3">
      <c r="A192">
        <v>201976</v>
      </c>
      <c r="B192" s="15">
        <v>45485</v>
      </c>
      <c r="C192">
        <v>129686</v>
      </c>
      <c r="D192">
        <v>100254</v>
      </c>
      <c r="E192" t="s">
        <v>1046</v>
      </c>
      <c r="F192" t="s">
        <v>164</v>
      </c>
      <c r="G192">
        <v>1</v>
      </c>
      <c r="H192" s="59">
        <v>799</v>
      </c>
      <c r="I192" t="s">
        <v>1041</v>
      </c>
      <c r="J192" t="s">
        <v>14</v>
      </c>
      <c r="K192" s="60" t="s">
        <v>14</v>
      </c>
      <c r="L192" s="59">
        <v>0</v>
      </c>
      <c r="M192" s="61">
        <v>799</v>
      </c>
      <c r="N192">
        <f ca="1">IF(LEFT(tblSales[[#This Row],[Category]],1)="A",RANDBETWEEN(1,4),RANDBETWEEN(2,7))</f>
        <v>4</v>
      </c>
      <c r="O192" s="61">
        <f>IF(COUNTIF($A$2:A192,A192)=1,SUMIFS(tblSales[Revenue],tblSales[Order ID],tblSales[[#This Row],[Order ID]]),"")</f>
        <v>1167.98</v>
      </c>
      <c r="P192" t="str">
        <f>TEXT(tblSales[[#This Row],[Date]],"ddd")</f>
        <v>Fri</v>
      </c>
      <c r="Q192">
        <f>1/COUNTIF(tblSales[Order ID],tblSales[[#This Row],[Order ID]])</f>
        <v>0.33333333333333331</v>
      </c>
    </row>
    <row r="193" spans="1:17" x14ac:dyDescent="0.3">
      <c r="A193">
        <v>201976</v>
      </c>
      <c r="B193" s="15">
        <v>45485</v>
      </c>
      <c r="C193">
        <v>129686</v>
      </c>
      <c r="D193">
        <v>100249</v>
      </c>
      <c r="E193" t="s">
        <v>1046</v>
      </c>
      <c r="F193" t="s">
        <v>190</v>
      </c>
      <c r="G193">
        <v>1</v>
      </c>
      <c r="H193" s="59">
        <v>249</v>
      </c>
      <c r="I193" t="s">
        <v>1041</v>
      </c>
      <c r="J193" t="s">
        <v>14</v>
      </c>
      <c r="K193" s="60" t="s">
        <v>14</v>
      </c>
      <c r="L193" s="59">
        <v>0</v>
      </c>
      <c r="M193" s="61">
        <v>249</v>
      </c>
      <c r="N193">
        <f ca="1">IF(LEFT(tblSales[[#This Row],[Category]],1)="A",RANDBETWEEN(1,4),RANDBETWEEN(2,7))</f>
        <v>2</v>
      </c>
      <c r="O193" s="61" t="str">
        <f>IF(COUNTIF($A$2:A193,A193)=1,SUMIFS(tblSales[Revenue],tblSales[Order ID],tblSales[[#This Row],[Order ID]]),"")</f>
        <v/>
      </c>
      <c r="P193" t="str">
        <f>TEXT(tblSales[[#This Row],[Date]],"ddd")</f>
        <v>Fri</v>
      </c>
      <c r="Q193">
        <f>1/COUNTIF(tblSales[Order ID],tblSales[[#This Row],[Order ID]])</f>
        <v>0.33333333333333331</v>
      </c>
    </row>
    <row r="194" spans="1:17" x14ac:dyDescent="0.3">
      <c r="A194">
        <v>201976</v>
      </c>
      <c r="B194" s="15">
        <v>45485</v>
      </c>
      <c r="C194">
        <v>129686</v>
      </c>
      <c r="D194">
        <v>200559</v>
      </c>
      <c r="E194" t="s">
        <v>1043</v>
      </c>
      <c r="F194" t="s">
        <v>1045</v>
      </c>
      <c r="G194">
        <v>2</v>
      </c>
      <c r="H194" s="59">
        <v>59.99</v>
      </c>
      <c r="I194" t="s">
        <v>1041</v>
      </c>
      <c r="J194" t="s">
        <v>14</v>
      </c>
      <c r="K194" s="60" t="s">
        <v>14</v>
      </c>
      <c r="L194" s="59">
        <v>0</v>
      </c>
      <c r="M194" s="61">
        <v>119.98</v>
      </c>
      <c r="N194">
        <f ca="1">IF(LEFT(tblSales[[#This Row],[Category]],1)="A",RANDBETWEEN(1,4),RANDBETWEEN(2,7))</f>
        <v>4</v>
      </c>
      <c r="O194" s="61" t="str">
        <f>IF(COUNTIF($A$2:A194,A194)=1,SUMIFS(tblSales[Revenue],tblSales[Order ID],tblSales[[#This Row],[Order ID]]),"")</f>
        <v/>
      </c>
      <c r="P194" t="str">
        <f>TEXT(tblSales[[#This Row],[Date]],"ddd")</f>
        <v>Fri</v>
      </c>
      <c r="Q194">
        <f>1/COUNTIF(tblSales[Order ID],tblSales[[#This Row],[Order ID]])</f>
        <v>0.33333333333333331</v>
      </c>
    </row>
    <row r="195" spans="1:17" x14ac:dyDescent="0.3">
      <c r="A195">
        <v>201977</v>
      </c>
      <c r="B195" s="15">
        <v>45485</v>
      </c>
      <c r="C195">
        <v>126512</v>
      </c>
      <c r="D195">
        <v>100254</v>
      </c>
      <c r="E195" t="s">
        <v>1046</v>
      </c>
      <c r="F195" t="s">
        <v>164</v>
      </c>
      <c r="G195">
        <v>3</v>
      </c>
      <c r="H195" s="59">
        <v>799</v>
      </c>
      <c r="I195" t="s">
        <v>120</v>
      </c>
      <c r="J195" t="s">
        <v>1047</v>
      </c>
      <c r="K195" s="60">
        <v>0.1</v>
      </c>
      <c r="L195" s="59">
        <v>239.70000000000002</v>
      </c>
      <c r="M195" s="61">
        <v>2157.3000000000002</v>
      </c>
      <c r="N195">
        <f ca="1">IF(LEFT(tblSales[[#This Row],[Category]],1)="A",RANDBETWEEN(1,4),RANDBETWEEN(2,7))</f>
        <v>5</v>
      </c>
      <c r="O195" s="61">
        <f>IF(COUNTIF($A$2:A195,A195)=1,SUMIFS(tblSales[Revenue],tblSales[Order ID],tblSales[[#This Row],[Order ID]]),"")</f>
        <v>2299.4459999999999</v>
      </c>
      <c r="P195" t="str">
        <f>TEXT(tblSales[[#This Row],[Date]],"ddd")</f>
        <v>Fri</v>
      </c>
      <c r="Q195">
        <f>1/COUNTIF(tblSales[Order ID],tblSales[[#This Row],[Order ID]])</f>
        <v>0.25</v>
      </c>
    </row>
    <row r="196" spans="1:17" x14ac:dyDescent="0.3">
      <c r="A196">
        <v>201977</v>
      </c>
      <c r="B196" s="15">
        <v>45485</v>
      </c>
      <c r="C196">
        <v>126512</v>
      </c>
      <c r="D196">
        <v>200558</v>
      </c>
      <c r="E196" t="s">
        <v>1043</v>
      </c>
      <c r="F196" t="s">
        <v>1053</v>
      </c>
      <c r="G196">
        <v>1</v>
      </c>
      <c r="H196" s="59">
        <v>18.989999999999998</v>
      </c>
      <c r="I196" t="s">
        <v>120</v>
      </c>
      <c r="J196" t="s">
        <v>1047</v>
      </c>
      <c r="K196" s="60">
        <v>0.1</v>
      </c>
      <c r="L196" s="59">
        <v>1.899</v>
      </c>
      <c r="M196" s="61">
        <v>17.090999999999998</v>
      </c>
      <c r="N196">
        <f ca="1">IF(LEFT(tblSales[[#This Row],[Category]],1)="A",RANDBETWEEN(1,4),RANDBETWEEN(2,7))</f>
        <v>4</v>
      </c>
      <c r="O196" s="61" t="str">
        <f>IF(COUNTIF($A$2:A196,A196)=1,SUMIFS(tblSales[Revenue],tblSales[Order ID],tblSales[[#This Row],[Order ID]]),"")</f>
        <v/>
      </c>
      <c r="P196" t="str">
        <f>TEXT(tblSales[[#This Row],[Date]],"ddd")</f>
        <v>Fri</v>
      </c>
      <c r="Q196">
        <f>1/COUNTIF(tblSales[Order ID],tblSales[[#This Row],[Order ID]])</f>
        <v>0.25</v>
      </c>
    </row>
    <row r="197" spans="1:17" x14ac:dyDescent="0.3">
      <c r="A197">
        <v>201977</v>
      </c>
      <c r="B197" s="15">
        <v>45485</v>
      </c>
      <c r="C197">
        <v>126512</v>
      </c>
      <c r="D197">
        <v>200549</v>
      </c>
      <c r="E197" t="s">
        <v>1043</v>
      </c>
      <c r="F197" t="s">
        <v>1042</v>
      </c>
      <c r="G197">
        <v>1</v>
      </c>
      <c r="H197" s="59">
        <v>18.989999999999998</v>
      </c>
      <c r="I197" t="s">
        <v>120</v>
      </c>
      <c r="J197" t="s">
        <v>1047</v>
      </c>
      <c r="K197" s="60">
        <v>0.1</v>
      </c>
      <c r="L197" s="59">
        <v>1.899</v>
      </c>
      <c r="M197" s="61">
        <v>17.090999999999998</v>
      </c>
      <c r="N197">
        <f ca="1">IF(LEFT(tblSales[[#This Row],[Category]],1)="A",RANDBETWEEN(1,4),RANDBETWEEN(2,7))</f>
        <v>4</v>
      </c>
      <c r="O197" s="61" t="str">
        <f>IF(COUNTIF($A$2:A197,A197)=1,SUMIFS(tblSales[Revenue],tblSales[Order ID],tblSales[[#This Row],[Order ID]]),"")</f>
        <v/>
      </c>
      <c r="P197" t="str">
        <f>TEXT(tblSales[[#This Row],[Date]],"ddd")</f>
        <v>Fri</v>
      </c>
      <c r="Q197">
        <f>1/COUNTIF(tblSales[Order ID],tblSales[[#This Row],[Order ID]])</f>
        <v>0.25</v>
      </c>
    </row>
    <row r="198" spans="1:17" x14ac:dyDescent="0.3">
      <c r="A198">
        <v>201977</v>
      </c>
      <c r="B198" s="15">
        <v>45485</v>
      </c>
      <c r="C198">
        <v>126512</v>
      </c>
      <c r="D198">
        <v>300185</v>
      </c>
      <c r="E198" t="s">
        <v>1040</v>
      </c>
      <c r="F198" t="s">
        <v>1049</v>
      </c>
      <c r="G198">
        <v>4</v>
      </c>
      <c r="H198" s="59">
        <v>29.99</v>
      </c>
      <c r="I198" t="s">
        <v>120</v>
      </c>
      <c r="J198" t="s">
        <v>1047</v>
      </c>
      <c r="K198" s="60">
        <v>0.1</v>
      </c>
      <c r="L198" s="59">
        <v>11.996</v>
      </c>
      <c r="M198" s="61">
        <v>107.964</v>
      </c>
      <c r="N198">
        <f ca="1">IF(LEFT(tblSales[[#This Row],[Category]],1)="A",RANDBETWEEN(1,4),RANDBETWEEN(2,7))</f>
        <v>4</v>
      </c>
      <c r="O198" s="61" t="str">
        <f>IF(COUNTIF($A$2:A198,A198)=1,SUMIFS(tblSales[Revenue],tblSales[Order ID],tblSales[[#This Row],[Order ID]]),"")</f>
        <v/>
      </c>
      <c r="P198" t="str">
        <f>TEXT(tblSales[[#This Row],[Date]],"ddd")</f>
        <v>Fri</v>
      </c>
      <c r="Q198">
        <f>1/COUNTIF(tblSales[Order ID],tblSales[[#This Row],[Order ID]])</f>
        <v>0.25</v>
      </c>
    </row>
    <row r="199" spans="1:17" x14ac:dyDescent="0.3">
      <c r="A199">
        <v>201978</v>
      </c>
      <c r="B199" s="15">
        <v>45492</v>
      </c>
      <c r="C199">
        <v>104414</v>
      </c>
      <c r="D199">
        <v>200549</v>
      </c>
      <c r="E199" t="s">
        <v>1043</v>
      </c>
      <c r="F199" t="s">
        <v>1042</v>
      </c>
      <c r="G199">
        <v>1</v>
      </c>
      <c r="H199" s="59">
        <v>18.989999999999998</v>
      </c>
      <c r="I199" t="s">
        <v>120</v>
      </c>
      <c r="J199" t="s">
        <v>1047</v>
      </c>
      <c r="K199" s="60">
        <v>0.1</v>
      </c>
      <c r="L199" s="59">
        <v>1.899</v>
      </c>
      <c r="M199" s="61">
        <v>17.090999999999998</v>
      </c>
      <c r="N199">
        <f ca="1">IF(LEFT(tblSales[[#This Row],[Category]],1)="A",RANDBETWEEN(1,4),RANDBETWEEN(2,7))</f>
        <v>2</v>
      </c>
      <c r="O199" s="61">
        <f>IF(COUNTIF($A$2:A199,A199)=1,SUMIFS(tblSales[Revenue],tblSales[Order ID],tblSales[[#This Row],[Order ID]]),"")</f>
        <v>17.090999999999998</v>
      </c>
      <c r="P199" t="str">
        <f>TEXT(tblSales[[#This Row],[Date]],"ddd")</f>
        <v>Fri</v>
      </c>
      <c r="Q199">
        <f>1/COUNTIF(tblSales[Order ID],tblSales[[#This Row],[Order ID]])</f>
        <v>1</v>
      </c>
    </row>
    <row r="200" spans="1:17" x14ac:dyDescent="0.3">
      <c r="A200">
        <v>201979</v>
      </c>
      <c r="B200" s="15">
        <v>45493</v>
      </c>
      <c r="C200">
        <v>116000</v>
      </c>
      <c r="D200">
        <v>100250</v>
      </c>
      <c r="E200" t="s">
        <v>1046</v>
      </c>
      <c r="F200" t="s">
        <v>202</v>
      </c>
      <c r="G200">
        <v>3</v>
      </c>
      <c r="H200" s="59">
        <v>189</v>
      </c>
      <c r="I200" t="s">
        <v>1041</v>
      </c>
      <c r="J200" t="s">
        <v>14</v>
      </c>
      <c r="K200" s="60" t="s">
        <v>14</v>
      </c>
      <c r="L200" s="59">
        <v>0</v>
      </c>
      <c r="M200" s="61">
        <v>567</v>
      </c>
      <c r="N200">
        <f ca="1">IF(LEFT(tblSales[[#This Row],[Category]],1)="A",RANDBETWEEN(1,4),RANDBETWEEN(2,7))</f>
        <v>4</v>
      </c>
      <c r="O200" s="61">
        <f>IF(COUNTIF($A$2:A200,A200)=1,SUMIFS(tblSales[Revenue],tblSales[Order ID],tblSales[[#This Row],[Order ID]]),"")</f>
        <v>724.97</v>
      </c>
      <c r="P200" t="str">
        <f>TEXT(tblSales[[#This Row],[Date]],"ddd")</f>
        <v>Sat</v>
      </c>
      <c r="Q200">
        <f>1/COUNTIF(tblSales[Order ID],tblSales[[#This Row],[Order ID]])</f>
        <v>0.33333333333333331</v>
      </c>
    </row>
    <row r="201" spans="1:17" x14ac:dyDescent="0.3">
      <c r="A201">
        <v>201979</v>
      </c>
      <c r="B201" s="15">
        <v>45493</v>
      </c>
      <c r="C201">
        <v>116000</v>
      </c>
      <c r="D201">
        <v>300191</v>
      </c>
      <c r="E201" t="s">
        <v>1040</v>
      </c>
      <c r="F201" t="s">
        <v>1051</v>
      </c>
      <c r="G201">
        <v>1</v>
      </c>
      <c r="H201" s="59">
        <v>21.99</v>
      </c>
      <c r="I201" t="s">
        <v>1041</v>
      </c>
      <c r="J201" t="s">
        <v>14</v>
      </c>
      <c r="K201" s="60" t="s">
        <v>14</v>
      </c>
      <c r="L201" s="59">
        <v>0</v>
      </c>
      <c r="M201" s="61">
        <v>21.99</v>
      </c>
      <c r="N201">
        <f ca="1">IF(LEFT(tblSales[[#This Row],[Category]],1)="A",RANDBETWEEN(1,4),RANDBETWEEN(2,7))</f>
        <v>2</v>
      </c>
      <c r="O201" s="61" t="str">
        <f>IF(COUNTIF($A$2:A201,A201)=1,SUMIFS(tblSales[Revenue],tblSales[Order ID],tblSales[[#This Row],[Order ID]]),"")</f>
        <v/>
      </c>
      <c r="P201" t="str">
        <f>TEXT(tblSales[[#This Row],[Date]],"ddd")</f>
        <v>Sat</v>
      </c>
      <c r="Q201">
        <f>1/COUNTIF(tblSales[Order ID],tblSales[[#This Row],[Order ID]])</f>
        <v>0.33333333333333331</v>
      </c>
    </row>
    <row r="202" spans="1:17" x14ac:dyDescent="0.3">
      <c r="A202">
        <v>201979</v>
      </c>
      <c r="B202" s="15">
        <v>45493</v>
      </c>
      <c r="C202">
        <v>116000</v>
      </c>
      <c r="D202">
        <v>200554</v>
      </c>
      <c r="E202" t="s">
        <v>1043</v>
      </c>
      <c r="F202" t="s">
        <v>1048</v>
      </c>
      <c r="G202">
        <v>2</v>
      </c>
      <c r="H202" s="59">
        <v>67.989999999999995</v>
      </c>
      <c r="I202" t="s">
        <v>1041</v>
      </c>
      <c r="J202" t="s">
        <v>14</v>
      </c>
      <c r="K202" s="60" t="s">
        <v>14</v>
      </c>
      <c r="L202" s="59">
        <v>0</v>
      </c>
      <c r="M202" s="61">
        <v>135.97999999999999</v>
      </c>
      <c r="N202">
        <f ca="1">IF(LEFT(tblSales[[#This Row],[Category]],1)="A",RANDBETWEEN(1,4),RANDBETWEEN(2,7))</f>
        <v>1</v>
      </c>
      <c r="O202" s="61" t="str">
        <f>IF(COUNTIF($A$2:A202,A202)=1,SUMIFS(tblSales[Revenue],tblSales[Order ID],tblSales[[#This Row],[Order ID]]),"")</f>
        <v/>
      </c>
      <c r="P202" t="str">
        <f>TEXT(tblSales[[#This Row],[Date]],"ddd")</f>
        <v>Sat</v>
      </c>
      <c r="Q202">
        <f>1/COUNTIF(tblSales[Order ID],tblSales[[#This Row],[Order ID]])</f>
        <v>0.33333333333333331</v>
      </c>
    </row>
    <row r="203" spans="1:17" x14ac:dyDescent="0.3">
      <c r="A203">
        <v>201980</v>
      </c>
      <c r="B203" s="15">
        <v>45493</v>
      </c>
      <c r="C203">
        <v>122429</v>
      </c>
      <c r="D203">
        <v>300189</v>
      </c>
      <c r="E203" t="s">
        <v>1040</v>
      </c>
      <c r="F203" t="s">
        <v>1050</v>
      </c>
      <c r="G203">
        <v>1</v>
      </c>
      <c r="H203" s="59">
        <v>24.99</v>
      </c>
      <c r="I203" t="s">
        <v>1041</v>
      </c>
      <c r="J203" t="s">
        <v>14</v>
      </c>
      <c r="K203" s="60" t="s">
        <v>14</v>
      </c>
      <c r="L203" s="59">
        <v>0</v>
      </c>
      <c r="M203" s="61">
        <v>24.99</v>
      </c>
      <c r="N203">
        <f ca="1">IF(LEFT(tblSales[[#This Row],[Category]],1)="A",RANDBETWEEN(1,4),RANDBETWEEN(2,7))</f>
        <v>3</v>
      </c>
      <c r="O203" s="61">
        <f>IF(COUNTIF($A$2:A203,A203)=1,SUMIFS(tblSales[Revenue],tblSales[Order ID],tblSales[[#This Row],[Order ID]]),"")</f>
        <v>84.97</v>
      </c>
      <c r="P203" t="str">
        <f>TEXT(tblSales[[#This Row],[Date]],"ddd")</f>
        <v>Sat</v>
      </c>
      <c r="Q203">
        <f>1/COUNTIF(tblSales[Order ID],tblSales[[#This Row],[Order ID]])</f>
        <v>0.5</v>
      </c>
    </row>
    <row r="204" spans="1:17" x14ac:dyDescent="0.3">
      <c r="A204">
        <v>201980</v>
      </c>
      <c r="B204" s="15">
        <v>45493</v>
      </c>
      <c r="C204">
        <v>122429</v>
      </c>
      <c r="D204">
        <v>300185</v>
      </c>
      <c r="E204" t="s">
        <v>1040</v>
      </c>
      <c r="F204" t="s">
        <v>1049</v>
      </c>
      <c r="G204">
        <v>2</v>
      </c>
      <c r="H204" s="59">
        <v>29.99</v>
      </c>
      <c r="I204" t="s">
        <v>1041</v>
      </c>
      <c r="J204" t="s">
        <v>14</v>
      </c>
      <c r="K204" s="60" t="s">
        <v>14</v>
      </c>
      <c r="L204" s="59">
        <v>0</v>
      </c>
      <c r="M204" s="61">
        <v>59.98</v>
      </c>
      <c r="N204">
        <f ca="1">IF(LEFT(tblSales[[#This Row],[Category]],1)="A",RANDBETWEEN(1,4),RANDBETWEEN(2,7))</f>
        <v>1</v>
      </c>
      <c r="O204" s="61" t="str">
        <f>IF(COUNTIF($A$2:A204,A204)=1,SUMIFS(tblSales[Revenue],tblSales[Order ID],tblSales[[#This Row],[Order ID]]),"")</f>
        <v/>
      </c>
      <c r="P204" t="str">
        <f>TEXT(tblSales[[#This Row],[Date]],"ddd")</f>
        <v>Sat</v>
      </c>
      <c r="Q204">
        <f>1/COUNTIF(tblSales[Order ID],tblSales[[#This Row],[Order ID]])</f>
        <v>0.5</v>
      </c>
    </row>
    <row r="205" spans="1:17" x14ac:dyDescent="0.3">
      <c r="A205">
        <v>201981</v>
      </c>
      <c r="B205" s="15">
        <v>45484</v>
      </c>
      <c r="C205">
        <v>113511</v>
      </c>
      <c r="D205">
        <v>300186</v>
      </c>
      <c r="E205" t="s">
        <v>1040</v>
      </c>
      <c r="F205" t="s">
        <v>1061</v>
      </c>
      <c r="G205">
        <v>1</v>
      </c>
      <c r="H205" s="59">
        <v>49.99</v>
      </c>
      <c r="I205" t="s">
        <v>120</v>
      </c>
      <c r="J205" t="s">
        <v>1047</v>
      </c>
      <c r="K205" s="60">
        <v>0.1</v>
      </c>
      <c r="L205" s="59">
        <v>4.9990000000000006</v>
      </c>
      <c r="M205" s="61">
        <v>44.991</v>
      </c>
      <c r="N205">
        <f ca="1">IF(LEFT(tblSales[[#This Row],[Category]],1)="A",RANDBETWEEN(1,4),RANDBETWEEN(2,7))</f>
        <v>4</v>
      </c>
      <c r="O205" s="61">
        <f>IF(COUNTIF($A$2:A205,A205)=1,SUMIFS(tblSales[Revenue],tblSales[Order ID],tblSales[[#This Row],[Order ID]]),"")</f>
        <v>1246.482</v>
      </c>
      <c r="P205" t="str">
        <f>TEXT(tblSales[[#This Row],[Date]],"ddd")</f>
        <v>Thu</v>
      </c>
      <c r="Q205">
        <f>1/COUNTIF(tblSales[Order ID],tblSales[[#This Row],[Order ID]])</f>
        <v>0.33333333333333331</v>
      </c>
    </row>
    <row r="206" spans="1:17" x14ac:dyDescent="0.3">
      <c r="A206">
        <v>201981</v>
      </c>
      <c r="B206" s="15">
        <v>45484</v>
      </c>
      <c r="C206">
        <v>113511</v>
      </c>
      <c r="D206">
        <v>100255</v>
      </c>
      <c r="E206" t="s">
        <v>1046</v>
      </c>
      <c r="F206" t="s">
        <v>172</v>
      </c>
      <c r="G206">
        <v>1</v>
      </c>
      <c r="H206" s="59">
        <v>1299</v>
      </c>
      <c r="I206" t="s">
        <v>120</v>
      </c>
      <c r="J206" t="s">
        <v>1047</v>
      </c>
      <c r="K206" s="60">
        <v>0.1</v>
      </c>
      <c r="L206" s="59">
        <v>129.9</v>
      </c>
      <c r="M206" s="61">
        <v>1169.0999999999999</v>
      </c>
      <c r="N206">
        <f ca="1">IF(LEFT(tblSales[[#This Row],[Category]],1)="A",RANDBETWEEN(1,4),RANDBETWEEN(2,7))</f>
        <v>3</v>
      </c>
      <c r="O206" s="61" t="str">
        <f>IF(COUNTIF($A$2:A206,A206)=1,SUMIFS(tblSales[Revenue],tblSales[Order ID],tblSales[[#This Row],[Order ID]]),"")</f>
        <v/>
      </c>
      <c r="P206" t="str">
        <f>TEXT(tblSales[[#This Row],[Date]],"ddd")</f>
        <v>Thu</v>
      </c>
      <c r="Q206">
        <f>1/COUNTIF(tblSales[Order ID],tblSales[[#This Row],[Order ID]])</f>
        <v>0.33333333333333331</v>
      </c>
    </row>
    <row r="207" spans="1:17" x14ac:dyDescent="0.3">
      <c r="A207">
        <v>201981</v>
      </c>
      <c r="B207" s="15">
        <v>45484</v>
      </c>
      <c r="C207">
        <v>113511</v>
      </c>
      <c r="D207">
        <v>300190</v>
      </c>
      <c r="E207" t="s">
        <v>1040</v>
      </c>
      <c r="F207" t="s">
        <v>1039</v>
      </c>
      <c r="G207">
        <v>1</v>
      </c>
      <c r="H207" s="59">
        <v>35.99</v>
      </c>
      <c r="I207" t="s">
        <v>120</v>
      </c>
      <c r="J207" t="s">
        <v>1047</v>
      </c>
      <c r="K207" s="60">
        <v>0.1</v>
      </c>
      <c r="L207" s="59">
        <v>3.5990000000000002</v>
      </c>
      <c r="M207" s="61">
        <v>32.391000000000005</v>
      </c>
      <c r="N207">
        <f ca="1">IF(LEFT(tblSales[[#This Row],[Category]],1)="A",RANDBETWEEN(1,4),RANDBETWEEN(2,7))</f>
        <v>3</v>
      </c>
      <c r="O207" s="61" t="str">
        <f>IF(COUNTIF($A$2:A207,A207)=1,SUMIFS(tblSales[Revenue],tblSales[Order ID],tblSales[[#This Row],[Order ID]]),"")</f>
        <v/>
      </c>
      <c r="P207" t="str">
        <f>TEXT(tblSales[[#This Row],[Date]],"ddd")</f>
        <v>Thu</v>
      </c>
      <c r="Q207">
        <f>1/COUNTIF(tblSales[Order ID],tblSales[[#This Row],[Order ID]])</f>
        <v>0.33333333333333331</v>
      </c>
    </row>
    <row r="208" spans="1:17" x14ac:dyDescent="0.3">
      <c r="A208">
        <v>201982</v>
      </c>
      <c r="B208" s="15">
        <v>45485</v>
      </c>
      <c r="C208">
        <v>104234</v>
      </c>
      <c r="D208">
        <v>200553</v>
      </c>
      <c r="E208" t="s">
        <v>1043</v>
      </c>
      <c r="F208" t="s">
        <v>1055</v>
      </c>
      <c r="G208">
        <v>2</v>
      </c>
      <c r="H208" s="59">
        <v>29.99</v>
      </c>
      <c r="I208" t="s">
        <v>1041</v>
      </c>
      <c r="J208" t="s">
        <v>14</v>
      </c>
      <c r="K208" s="60" t="s">
        <v>14</v>
      </c>
      <c r="L208" s="59">
        <v>0</v>
      </c>
      <c r="M208" s="61">
        <v>59.98</v>
      </c>
      <c r="N208">
        <f ca="1">IF(LEFT(tblSales[[#This Row],[Category]],1)="A",RANDBETWEEN(1,4),RANDBETWEEN(2,7))</f>
        <v>2</v>
      </c>
      <c r="O208" s="61">
        <f>IF(COUNTIF($A$2:A208,A208)=1,SUMIFS(tblSales[Revenue],tblSales[Order ID],tblSales[[#This Row],[Order ID]]),"")</f>
        <v>59.98</v>
      </c>
      <c r="P208" t="str">
        <f>TEXT(tblSales[[#This Row],[Date]],"ddd")</f>
        <v>Fri</v>
      </c>
      <c r="Q208">
        <f>1/COUNTIF(tblSales[Order ID],tblSales[[#This Row],[Order ID]])</f>
        <v>1</v>
      </c>
    </row>
    <row r="209" spans="1:17" x14ac:dyDescent="0.3">
      <c r="A209">
        <v>201983</v>
      </c>
      <c r="B209" s="15">
        <v>45491</v>
      </c>
      <c r="C209">
        <v>109614</v>
      </c>
      <c r="D209">
        <v>200559</v>
      </c>
      <c r="E209" t="s">
        <v>1043</v>
      </c>
      <c r="F209" t="s">
        <v>1045</v>
      </c>
      <c r="G209">
        <v>3</v>
      </c>
      <c r="H209" s="59">
        <v>59.99</v>
      </c>
      <c r="I209" t="s">
        <v>1041</v>
      </c>
      <c r="J209" t="s">
        <v>14</v>
      </c>
      <c r="K209" s="60" t="s">
        <v>14</v>
      </c>
      <c r="L209" s="59">
        <v>0</v>
      </c>
      <c r="M209" s="61">
        <v>179.97</v>
      </c>
      <c r="N209">
        <f ca="1">IF(LEFT(tblSales[[#This Row],[Category]],1)="A",RANDBETWEEN(1,4),RANDBETWEEN(2,7))</f>
        <v>4</v>
      </c>
      <c r="O209" s="61">
        <f>IF(COUNTIF($A$2:A209,A209)=1,SUMIFS(tblSales[Revenue],tblSales[Order ID],tblSales[[#This Row],[Order ID]]),"")</f>
        <v>198.96</v>
      </c>
      <c r="P209" t="str">
        <f>TEXT(tblSales[[#This Row],[Date]],"ddd")</f>
        <v>Thu</v>
      </c>
      <c r="Q209">
        <f>1/COUNTIF(tblSales[Order ID],tblSales[[#This Row],[Order ID]])</f>
        <v>0.5</v>
      </c>
    </row>
    <row r="210" spans="1:17" x14ac:dyDescent="0.3">
      <c r="A210">
        <v>201983</v>
      </c>
      <c r="B210" s="15">
        <v>45491</v>
      </c>
      <c r="C210">
        <v>109614</v>
      </c>
      <c r="D210">
        <v>200549</v>
      </c>
      <c r="E210" t="s">
        <v>1043</v>
      </c>
      <c r="F210" t="s">
        <v>1042</v>
      </c>
      <c r="G210">
        <v>1</v>
      </c>
      <c r="H210" s="59">
        <v>18.989999999999998</v>
      </c>
      <c r="I210" t="s">
        <v>1041</v>
      </c>
      <c r="J210" t="s">
        <v>14</v>
      </c>
      <c r="K210" s="60" t="s">
        <v>14</v>
      </c>
      <c r="L210" s="59">
        <v>0</v>
      </c>
      <c r="M210" s="61">
        <v>18.989999999999998</v>
      </c>
      <c r="N210">
        <f ca="1">IF(LEFT(tblSales[[#This Row],[Category]],1)="A",RANDBETWEEN(1,4),RANDBETWEEN(2,7))</f>
        <v>4</v>
      </c>
      <c r="O210" s="61" t="str">
        <f>IF(COUNTIF($A$2:A210,A210)=1,SUMIFS(tblSales[Revenue],tblSales[Order ID],tblSales[[#This Row],[Order ID]]),"")</f>
        <v/>
      </c>
      <c r="P210" t="str">
        <f>TEXT(tblSales[[#This Row],[Date]],"ddd")</f>
        <v>Thu</v>
      </c>
      <c r="Q210">
        <f>1/COUNTIF(tblSales[Order ID],tblSales[[#This Row],[Order ID]])</f>
        <v>0.5</v>
      </c>
    </row>
    <row r="211" spans="1:17" x14ac:dyDescent="0.3">
      <c r="A211">
        <v>201984</v>
      </c>
      <c r="B211" s="15">
        <v>45490</v>
      </c>
      <c r="C211">
        <v>107996</v>
      </c>
      <c r="D211">
        <v>300186</v>
      </c>
      <c r="E211" t="s">
        <v>1040</v>
      </c>
      <c r="F211" t="s">
        <v>1061</v>
      </c>
      <c r="G211">
        <v>1</v>
      </c>
      <c r="H211" s="59">
        <v>49.99</v>
      </c>
      <c r="I211" t="s">
        <v>1041</v>
      </c>
      <c r="J211" t="s">
        <v>14</v>
      </c>
      <c r="K211" s="60" t="s">
        <v>14</v>
      </c>
      <c r="L211" s="59">
        <v>0</v>
      </c>
      <c r="M211" s="61">
        <v>49.99</v>
      </c>
      <c r="N211">
        <f ca="1">IF(LEFT(tblSales[[#This Row],[Category]],1)="A",RANDBETWEEN(1,4),RANDBETWEEN(2,7))</f>
        <v>4</v>
      </c>
      <c r="O211" s="61">
        <f>IF(COUNTIF($A$2:A211,A211)=1,SUMIFS(tblSales[Revenue],tblSales[Order ID],tblSales[[#This Row],[Order ID]]),"")</f>
        <v>2921.9399999999996</v>
      </c>
      <c r="P211" t="str">
        <f>TEXT(tblSales[[#This Row],[Date]],"ddd")</f>
        <v>Wed</v>
      </c>
      <c r="Q211">
        <f>1/COUNTIF(tblSales[Order ID],tblSales[[#This Row],[Order ID]])</f>
        <v>0.16666666666666666</v>
      </c>
    </row>
    <row r="212" spans="1:17" x14ac:dyDescent="0.3">
      <c r="A212">
        <v>201984</v>
      </c>
      <c r="B212" s="15">
        <v>45490</v>
      </c>
      <c r="C212">
        <v>107996</v>
      </c>
      <c r="D212">
        <v>100253</v>
      </c>
      <c r="E212" t="s">
        <v>1046</v>
      </c>
      <c r="F212" t="s">
        <v>192</v>
      </c>
      <c r="G212">
        <v>1</v>
      </c>
      <c r="H212" s="59">
        <v>279</v>
      </c>
      <c r="I212" t="s">
        <v>1041</v>
      </c>
      <c r="J212" t="s">
        <v>14</v>
      </c>
      <c r="K212" s="60" t="s">
        <v>14</v>
      </c>
      <c r="L212" s="59">
        <v>0</v>
      </c>
      <c r="M212" s="61">
        <v>279</v>
      </c>
      <c r="N212">
        <f ca="1">IF(LEFT(tblSales[[#This Row],[Category]],1)="A",RANDBETWEEN(1,4),RANDBETWEEN(2,7))</f>
        <v>5</v>
      </c>
      <c r="O212" s="61" t="str">
        <f>IF(COUNTIF($A$2:A212,A212)=1,SUMIFS(tblSales[Revenue],tblSales[Order ID],tblSales[[#This Row],[Order ID]]),"")</f>
        <v/>
      </c>
      <c r="P212" t="str">
        <f>TEXT(tblSales[[#This Row],[Date]],"ddd")</f>
        <v>Wed</v>
      </c>
      <c r="Q212">
        <f>1/COUNTIF(tblSales[Order ID],tblSales[[#This Row],[Order ID]])</f>
        <v>0.16666666666666666</v>
      </c>
    </row>
    <row r="213" spans="1:17" x14ac:dyDescent="0.3">
      <c r="A213">
        <v>201984</v>
      </c>
      <c r="B213" s="15">
        <v>45490</v>
      </c>
      <c r="C213">
        <v>107996</v>
      </c>
      <c r="D213">
        <v>100253</v>
      </c>
      <c r="E213" t="s">
        <v>1046</v>
      </c>
      <c r="F213" t="s">
        <v>192</v>
      </c>
      <c r="G213">
        <v>2</v>
      </c>
      <c r="H213" s="59">
        <v>279</v>
      </c>
      <c r="I213" t="s">
        <v>1041</v>
      </c>
      <c r="J213" t="s">
        <v>14</v>
      </c>
      <c r="K213" s="60" t="s">
        <v>14</v>
      </c>
      <c r="L213" s="59">
        <v>0</v>
      </c>
      <c r="M213" s="61">
        <v>558</v>
      </c>
      <c r="N213">
        <f ca="1">IF(LEFT(tblSales[[#This Row],[Category]],1)="A",RANDBETWEEN(1,4),RANDBETWEEN(2,7))</f>
        <v>4</v>
      </c>
      <c r="O213" s="61" t="str">
        <f>IF(COUNTIF($A$2:A213,A213)=1,SUMIFS(tblSales[Revenue],tblSales[Order ID],tblSales[[#This Row],[Order ID]]),"")</f>
        <v/>
      </c>
      <c r="P213" t="str">
        <f>TEXT(tblSales[[#This Row],[Date]],"ddd")</f>
        <v>Wed</v>
      </c>
      <c r="Q213">
        <f>1/COUNTIF(tblSales[Order ID],tblSales[[#This Row],[Order ID]])</f>
        <v>0.16666666666666666</v>
      </c>
    </row>
    <row r="214" spans="1:17" x14ac:dyDescent="0.3">
      <c r="A214">
        <v>201984</v>
      </c>
      <c r="B214" s="15">
        <v>45490</v>
      </c>
      <c r="C214">
        <v>107996</v>
      </c>
      <c r="D214">
        <v>100252</v>
      </c>
      <c r="E214" t="s">
        <v>1046</v>
      </c>
      <c r="F214" t="s">
        <v>158</v>
      </c>
      <c r="G214">
        <v>4</v>
      </c>
      <c r="H214" s="59">
        <v>449</v>
      </c>
      <c r="I214" t="s">
        <v>1041</v>
      </c>
      <c r="J214" t="s">
        <v>14</v>
      </c>
      <c r="K214" s="60" t="s">
        <v>14</v>
      </c>
      <c r="L214" s="59">
        <v>0</v>
      </c>
      <c r="M214" s="61">
        <v>1796</v>
      </c>
      <c r="N214">
        <f ca="1">IF(LEFT(tblSales[[#This Row],[Category]],1)="A",RANDBETWEEN(1,4),RANDBETWEEN(2,7))</f>
        <v>3</v>
      </c>
      <c r="O214" s="61" t="str">
        <f>IF(COUNTIF($A$2:A214,A214)=1,SUMIFS(tblSales[Revenue],tblSales[Order ID],tblSales[[#This Row],[Order ID]]),"")</f>
        <v/>
      </c>
      <c r="P214" t="str">
        <f>TEXT(tblSales[[#This Row],[Date]],"ddd")</f>
        <v>Wed</v>
      </c>
      <c r="Q214">
        <f>1/COUNTIF(tblSales[Order ID],tblSales[[#This Row],[Order ID]])</f>
        <v>0.16666666666666666</v>
      </c>
    </row>
    <row r="215" spans="1:17" x14ac:dyDescent="0.3">
      <c r="A215">
        <v>201984</v>
      </c>
      <c r="B215" s="15">
        <v>45490</v>
      </c>
      <c r="C215">
        <v>107996</v>
      </c>
      <c r="D215">
        <v>300191</v>
      </c>
      <c r="E215" t="s">
        <v>1040</v>
      </c>
      <c r="F215" t="s">
        <v>1051</v>
      </c>
      <c r="G215">
        <v>2</v>
      </c>
      <c r="H215" s="59">
        <v>21.99</v>
      </c>
      <c r="I215" t="s">
        <v>1041</v>
      </c>
      <c r="J215" t="s">
        <v>14</v>
      </c>
      <c r="K215" s="60" t="s">
        <v>14</v>
      </c>
      <c r="L215" s="59">
        <v>0</v>
      </c>
      <c r="M215" s="61">
        <v>43.98</v>
      </c>
      <c r="N215">
        <f ca="1">IF(LEFT(tblSales[[#This Row],[Category]],1)="A",RANDBETWEEN(1,4),RANDBETWEEN(2,7))</f>
        <v>4</v>
      </c>
      <c r="O215" s="61" t="str">
        <f>IF(COUNTIF($A$2:A215,A215)=1,SUMIFS(tblSales[Revenue],tblSales[Order ID],tblSales[[#This Row],[Order ID]]),"")</f>
        <v/>
      </c>
      <c r="P215" t="str">
        <f>TEXT(tblSales[[#This Row],[Date]],"ddd")</f>
        <v>Wed</v>
      </c>
      <c r="Q215">
        <f>1/COUNTIF(tblSales[Order ID],tblSales[[#This Row],[Order ID]])</f>
        <v>0.16666666666666666</v>
      </c>
    </row>
    <row r="216" spans="1:17" x14ac:dyDescent="0.3">
      <c r="A216">
        <v>201984</v>
      </c>
      <c r="B216" s="15">
        <v>45490</v>
      </c>
      <c r="C216">
        <v>107996</v>
      </c>
      <c r="D216">
        <v>200556</v>
      </c>
      <c r="E216" t="s">
        <v>1043</v>
      </c>
      <c r="F216" t="s">
        <v>1044</v>
      </c>
      <c r="G216">
        <v>3</v>
      </c>
      <c r="H216" s="59">
        <v>64.989999999999995</v>
      </c>
      <c r="I216" t="s">
        <v>1041</v>
      </c>
      <c r="J216" t="s">
        <v>14</v>
      </c>
      <c r="K216" s="60" t="s">
        <v>14</v>
      </c>
      <c r="L216" s="59">
        <v>0</v>
      </c>
      <c r="M216" s="61">
        <v>194.96999999999997</v>
      </c>
      <c r="N216">
        <f ca="1">IF(LEFT(tblSales[[#This Row],[Category]],1)="A",RANDBETWEEN(1,4),RANDBETWEEN(2,7))</f>
        <v>1</v>
      </c>
      <c r="O216" s="61" t="str">
        <f>IF(COUNTIF($A$2:A216,A216)=1,SUMIFS(tblSales[Revenue],tblSales[Order ID],tblSales[[#This Row],[Order ID]]),"")</f>
        <v/>
      </c>
      <c r="P216" t="str">
        <f>TEXT(tblSales[[#This Row],[Date]],"ddd")</f>
        <v>Wed</v>
      </c>
      <c r="Q216">
        <f>1/COUNTIF(tblSales[Order ID],tblSales[[#This Row],[Order ID]])</f>
        <v>0.16666666666666666</v>
      </c>
    </row>
    <row r="217" spans="1:17" x14ac:dyDescent="0.3">
      <c r="A217">
        <v>201985</v>
      </c>
      <c r="B217" s="15">
        <v>45486</v>
      </c>
      <c r="C217">
        <v>120066</v>
      </c>
      <c r="D217">
        <v>200549</v>
      </c>
      <c r="E217" t="s">
        <v>1043</v>
      </c>
      <c r="F217" t="s">
        <v>1042</v>
      </c>
      <c r="G217">
        <v>1</v>
      </c>
      <c r="H217" s="59">
        <v>18.989999999999998</v>
      </c>
      <c r="I217" t="s">
        <v>1041</v>
      </c>
      <c r="J217" t="s">
        <v>14</v>
      </c>
      <c r="K217" s="60" t="s">
        <v>14</v>
      </c>
      <c r="L217" s="59">
        <v>0</v>
      </c>
      <c r="M217" s="61">
        <v>18.989999999999998</v>
      </c>
      <c r="N217">
        <f ca="1">IF(LEFT(tblSales[[#This Row],[Category]],1)="A",RANDBETWEEN(1,4),RANDBETWEEN(2,7))</f>
        <v>1</v>
      </c>
      <c r="O217" s="61">
        <f>IF(COUNTIF($A$2:A217,A217)=1,SUMIFS(tblSales[Revenue],tblSales[Order ID],tblSales[[#This Row],[Order ID]]),"")</f>
        <v>515.94000000000005</v>
      </c>
      <c r="P217" t="str">
        <f>TEXT(tblSales[[#This Row],[Date]],"ddd")</f>
        <v>Sat</v>
      </c>
      <c r="Q217">
        <f>1/COUNTIF(tblSales[Order ID],tblSales[[#This Row],[Order ID]])</f>
        <v>0.25</v>
      </c>
    </row>
    <row r="218" spans="1:17" x14ac:dyDescent="0.3">
      <c r="A218">
        <v>201985</v>
      </c>
      <c r="B218" s="15">
        <v>45486</v>
      </c>
      <c r="C218">
        <v>120066</v>
      </c>
      <c r="D218">
        <v>200549</v>
      </c>
      <c r="E218" t="s">
        <v>1043</v>
      </c>
      <c r="F218" t="s">
        <v>1042</v>
      </c>
      <c r="G218">
        <v>2</v>
      </c>
      <c r="H218" s="59">
        <v>18.989999999999998</v>
      </c>
      <c r="I218" t="s">
        <v>1041</v>
      </c>
      <c r="J218" t="s">
        <v>14</v>
      </c>
      <c r="K218" s="60" t="s">
        <v>14</v>
      </c>
      <c r="L218" s="59">
        <v>0</v>
      </c>
      <c r="M218" s="61">
        <v>37.979999999999997</v>
      </c>
      <c r="N218">
        <f ca="1">IF(LEFT(tblSales[[#This Row],[Category]],1)="A",RANDBETWEEN(1,4),RANDBETWEEN(2,7))</f>
        <v>4</v>
      </c>
      <c r="O218" s="61" t="str">
        <f>IF(COUNTIF($A$2:A218,A218)=1,SUMIFS(tblSales[Revenue],tblSales[Order ID],tblSales[[#This Row],[Order ID]]),"")</f>
        <v/>
      </c>
      <c r="P218" t="str">
        <f>TEXT(tblSales[[#This Row],[Date]],"ddd")</f>
        <v>Sat</v>
      </c>
      <c r="Q218">
        <f>1/COUNTIF(tblSales[Order ID],tblSales[[#This Row],[Order ID]])</f>
        <v>0.25</v>
      </c>
    </row>
    <row r="219" spans="1:17" x14ac:dyDescent="0.3">
      <c r="A219">
        <v>201985</v>
      </c>
      <c r="B219" s="15">
        <v>45486</v>
      </c>
      <c r="C219">
        <v>120066</v>
      </c>
      <c r="D219">
        <v>200559</v>
      </c>
      <c r="E219" t="s">
        <v>1043</v>
      </c>
      <c r="F219" t="s">
        <v>1045</v>
      </c>
      <c r="G219">
        <v>3</v>
      </c>
      <c r="H219" s="59">
        <v>59.99</v>
      </c>
      <c r="I219" t="s">
        <v>1041</v>
      </c>
      <c r="J219" t="s">
        <v>14</v>
      </c>
      <c r="K219" s="60" t="s">
        <v>14</v>
      </c>
      <c r="L219" s="59">
        <v>0</v>
      </c>
      <c r="M219" s="61">
        <v>179.97</v>
      </c>
      <c r="N219">
        <f ca="1">IF(LEFT(tblSales[[#This Row],[Category]],1)="A",RANDBETWEEN(1,4),RANDBETWEEN(2,7))</f>
        <v>4</v>
      </c>
      <c r="O219" s="61" t="str">
        <f>IF(COUNTIF($A$2:A219,A219)=1,SUMIFS(tblSales[Revenue],tblSales[Order ID],tblSales[[#This Row],[Order ID]]),"")</f>
        <v/>
      </c>
      <c r="P219" t="str">
        <f>TEXT(tblSales[[#This Row],[Date]],"ddd")</f>
        <v>Sat</v>
      </c>
      <c r="Q219">
        <f>1/COUNTIF(tblSales[Order ID],tblSales[[#This Row],[Order ID]])</f>
        <v>0.25</v>
      </c>
    </row>
    <row r="220" spans="1:17" x14ac:dyDescent="0.3">
      <c r="A220">
        <v>201985</v>
      </c>
      <c r="B220" s="15">
        <v>45486</v>
      </c>
      <c r="C220">
        <v>120066</v>
      </c>
      <c r="D220">
        <v>100253</v>
      </c>
      <c r="E220" t="s">
        <v>1046</v>
      </c>
      <c r="F220" t="s">
        <v>192</v>
      </c>
      <c r="G220">
        <v>1</v>
      </c>
      <c r="H220" s="59">
        <v>279</v>
      </c>
      <c r="I220" t="s">
        <v>1041</v>
      </c>
      <c r="J220" t="s">
        <v>14</v>
      </c>
      <c r="K220" s="60" t="s">
        <v>14</v>
      </c>
      <c r="L220" s="59">
        <v>0</v>
      </c>
      <c r="M220" s="61">
        <v>279</v>
      </c>
      <c r="N220">
        <f ca="1">IF(LEFT(tblSales[[#This Row],[Category]],1)="A",RANDBETWEEN(1,4),RANDBETWEEN(2,7))</f>
        <v>5</v>
      </c>
      <c r="O220" s="61" t="str">
        <f>IF(COUNTIF($A$2:A220,A220)=1,SUMIFS(tblSales[Revenue],tblSales[Order ID],tblSales[[#This Row],[Order ID]]),"")</f>
        <v/>
      </c>
      <c r="P220" t="str">
        <f>TEXT(tblSales[[#This Row],[Date]],"ddd")</f>
        <v>Sat</v>
      </c>
      <c r="Q220">
        <f>1/COUNTIF(tblSales[Order ID],tblSales[[#This Row],[Order ID]])</f>
        <v>0.25</v>
      </c>
    </row>
    <row r="221" spans="1:17" x14ac:dyDescent="0.3">
      <c r="A221">
        <v>201986</v>
      </c>
      <c r="B221" s="15">
        <v>45492</v>
      </c>
      <c r="C221">
        <v>114740</v>
      </c>
      <c r="D221">
        <v>200549</v>
      </c>
      <c r="E221" t="s">
        <v>1043</v>
      </c>
      <c r="F221" t="s">
        <v>1042</v>
      </c>
      <c r="G221">
        <v>1</v>
      </c>
      <c r="H221" s="59">
        <v>18.989999999999998</v>
      </c>
      <c r="I221" t="s">
        <v>1041</v>
      </c>
      <c r="J221" t="s">
        <v>14</v>
      </c>
      <c r="K221" s="60" t="s">
        <v>14</v>
      </c>
      <c r="L221" s="59">
        <v>0</v>
      </c>
      <c r="M221" s="61">
        <v>18.989999999999998</v>
      </c>
      <c r="N221">
        <f ca="1">IF(LEFT(tblSales[[#This Row],[Category]],1)="A",RANDBETWEEN(1,4),RANDBETWEEN(2,7))</f>
        <v>2</v>
      </c>
      <c r="O221" s="61">
        <f>IF(COUNTIF($A$2:A221,A221)=1,SUMIFS(tblSales[Revenue],tblSales[Order ID],tblSales[[#This Row],[Order ID]]),"")</f>
        <v>18.989999999999998</v>
      </c>
      <c r="P221" t="str">
        <f>TEXT(tblSales[[#This Row],[Date]],"ddd")</f>
        <v>Fri</v>
      </c>
      <c r="Q221">
        <f>1/COUNTIF(tblSales[Order ID],tblSales[[#This Row],[Order ID]])</f>
        <v>1</v>
      </c>
    </row>
    <row r="222" spans="1:17" x14ac:dyDescent="0.3">
      <c r="A222">
        <v>201987</v>
      </c>
      <c r="B222" s="15">
        <v>45487</v>
      </c>
      <c r="C222">
        <v>108268</v>
      </c>
      <c r="D222">
        <v>100256</v>
      </c>
      <c r="E222" t="s">
        <v>1046</v>
      </c>
      <c r="F222" t="s">
        <v>216</v>
      </c>
      <c r="G222">
        <v>1</v>
      </c>
      <c r="H222" s="59">
        <v>1499</v>
      </c>
      <c r="I222" t="s">
        <v>1041</v>
      </c>
      <c r="J222" t="s">
        <v>14</v>
      </c>
      <c r="K222" s="60" t="s">
        <v>14</v>
      </c>
      <c r="L222" s="59">
        <v>0</v>
      </c>
      <c r="M222" s="61">
        <v>1499</v>
      </c>
      <c r="N222">
        <f ca="1">IF(LEFT(tblSales[[#This Row],[Category]],1)="A",RANDBETWEEN(1,4),RANDBETWEEN(2,7))</f>
        <v>7</v>
      </c>
      <c r="O222" s="61">
        <f>IF(COUNTIF($A$2:A222,A222)=1,SUMIFS(tblSales[Revenue],tblSales[Order ID],tblSales[[#This Row],[Order ID]]),"")</f>
        <v>1762.99</v>
      </c>
      <c r="P222" t="str">
        <f>TEXT(tblSales[[#This Row],[Date]],"ddd")</f>
        <v>Sun</v>
      </c>
      <c r="Q222">
        <f>1/COUNTIF(tblSales[Order ID],tblSales[[#This Row],[Order ID]])</f>
        <v>0.33333333333333331</v>
      </c>
    </row>
    <row r="223" spans="1:17" x14ac:dyDescent="0.3">
      <c r="A223">
        <v>201987</v>
      </c>
      <c r="B223" s="15">
        <v>45487</v>
      </c>
      <c r="C223">
        <v>108268</v>
      </c>
      <c r="D223">
        <v>200556</v>
      </c>
      <c r="E223" t="s">
        <v>1043</v>
      </c>
      <c r="F223" t="s">
        <v>1044</v>
      </c>
      <c r="G223">
        <v>1</v>
      </c>
      <c r="H223" s="59">
        <v>64.989999999999995</v>
      </c>
      <c r="I223" t="s">
        <v>1041</v>
      </c>
      <c r="J223" t="s">
        <v>14</v>
      </c>
      <c r="K223" s="60" t="s">
        <v>14</v>
      </c>
      <c r="L223" s="59">
        <v>0</v>
      </c>
      <c r="M223" s="61">
        <v>64.989999999999995</v>
      </c>
      <c r="N223">
        <f ca="1">IF(LEFT(tblSales[[#This Row],[Category]],1)="A",RANDBETWEEN(1,4),RANDBETWEEN(2,7))</f>
        <v>4</v>
      </c>
      <c r="O223" s="61" t="str">
        <f>IF(COUNTIF($A$2:A223,A223)=1,SUMIFS(tblSales[Revenue],tblSales[Order ID],tblSales[[#This Row],[Order ID]]),"")</f>
        <v/>
      </c>
      <c r="P223" t="str">
        <f>TEXT(tblSales[[#This Row],[Date]],"ddd")</f>
        <v>Sun</v>
      </c>
      <c r="Q223">
        <f>1/COUNTIF(tblSales[Order ID],tblSales[[#This Row],[Order ID]])</f>
        <v>0.33333333333333331</v>
      </c>
    </row>
    <row r="224" spans="1:17" x14ac:dyDescent="0.3">
      <c r="A224">
        <v>201987</v>
      </c>
      <c r="B224" s="15">
        <v>45487</v>
      </c>
      <c r="C224">
        <v>108268</v>
      </c>
      <c r="D224">
        <v>100248</v>
      </c>
      <c r="E224" t="s">
        <v>1046</v>
      </c>
      <c r="F224" t="s">
        <v>168</v>
      </c>
      <c r="G224">
        <v>1</v>
      </c>
      <c r="H224" s="59">
        <v>199</v>
      </c>
      <c r="I224" t="s">
        <v>1041</v>
      </c>
      <c r="J224" t="s">
        <v>14</v>
      </c>
      <c r="K224" s="60" t="s">
        <v>14</v>
      </c>
      <c r="L224" s="59">
        <v>0</v>
      </c>
      <c r="M224" s="61">
        <v>199</v>
      </c>
      <c r="N224">
        <f ca="1">IF(LEFT(tblSales[[#This Row],[Category]],1)="A",RANDBETWEEN(1,4),RANDBETWEEN(2,7))</f>
        <v>2</v>
      </c>
      <c r="O224" s="61" t="str">
        <f>IF(COUNTIF($A$2:A224,A224)=1,SUMIFS(tblSales[Revenue],tblSales[Order ID],tblSales[[#This Row],[Order ID]]),"")</f>
        <v/>
      </c>
      <c r="P224" t="str">
        <f>TEXT(tblSales[[#This Row],[Date]],"ddd")</f>
        <v>Sun</v>
      </c>
      <c r="Q224">
        <f>1/COUNTIF(tblSales[Order ID],tblSales[[#This Row],[Order ID]])</f>
        <v>0.33333333333333331</v>
      </c>
    </row>
    <row r="225" spans="1:17" x14ac:dyDescent="0.3">
      <c r="A225">
        <v>201988</v>
      </c>
      <c r="B225" s="15">
        <v>45493</v>
      </c>
      <c r="C225">
        <v>102376</v>
      </c>
      <c r="D225">
        <v>200559</v>
      </c>
      <c r="E225" t="s">
        <v>1043</v>
      </c>
      <c r="F225" t="s">
        <v>1045</v>
      </c>
      <c r="G225">
        <v>1</v>
      </c>
      <c r="H225" s="59">
        <v>59.99</v>
      </c>
      <c r="I225" t="s">
        <v>1041</v>
      </c>
      <c r="J225" t="s">
        <v>14</v>
      </c>
      <c r="K225" s="60" t="s">
        <v>14</v>
      </c>
      <c r="L225" s="59">
        <v>0</v>
      </c>
      <c r="M225" s="61">
        <v>59.99</v>
      </c>
      <c r="N225">
        <f ca="1">IF(LEFT(tblSales[[#This Row],[Category]],1)="A",RANDBETWEEN(1,4),RANDBETWEEN(2,7))</f>
        <v>3</v>
      </c>
      <c r="O225" s="61">
        <f>IF(COUNTIF($A$2:A225,A225)=1,SUMIFS(tblSales[Revenue],tblSales[Order ID],tblSales[[#This Row],[Order ID]]),"")</f>
        <v>59.99</v>
      </c>
      <c r="P225" t="str">
        <f>TEXT(tblSales[[#This Row],[Date]],"ddd")</f>
        <v>Sat</v>
      </c>
      <c r="Q225">
        <f>1/COUNTIF(tblSales[Order ID],tblSales[[#This Row],[Order ID]])</f>
        <v>1</v>
      </c>
    </row>
    <row r="226" spans="1:17" x14ac:dyDescent="0.3">
      <c r="A226">
        <v>201989</v>
      </c>
      <c r="B226" s="15">
        <v>45493</v>
      </c>
      <c r="C226">
        <v>110397</v>
      </c>
      <c r="D226">
        <v>100252</v>
      </c>
      <c r="E226" t="s">
        <v>1046</v>
      </c>
      <c r="F226" t="s">
        <v>158</v>
      </c>
      <c r="G226">
        <v>1</v>
      </c>
      <c r="H226" s="59">
        <v>449</v>
      </c>
      <c r="I226" t="s">
        <v>1041</v>
      </c>
      <c r="J226" t="s">
        <v>14</v>
      </c>
      <c r="K226" s="60" t="s">
        <v>14</v>
      </c>
      <c r="L226" s="59">
        <v>0</v>
      </c>
      <c r="M226" s="61">
        <v>449</v>
      </c>
      <c r="N226">
        <f ca="1">IF(LEFT(tblSales[[#This Row],[Category]],1)="A",RANDBETWEEN(1,4),RANDBETWEEN(2,7))</f>
        <v>4</v>
      </c>
      <c r="O226" s="61">
        <f>IF(COUNTIF($A$2:A226,A226)=1,SUMIFS(tblSales[Revenue],tblSales[Order ID],tblSales[[#This Row],[Order ID]]),"")</f>
        <v>449</v>
      </c>
      <c r="P226" t="str">
        <f>TEXT(tblSales[[#This Row],[Date]],"ddd")</f>
        <v>Sat</v>
      </c>
      <c r="Q226">
        <f>1/COUNTIF(tblSales[Order ID],tblSales[[#This Row],[Order ID]])</f>
        <v>1</v>
      </c>
    </row>
    <row r="227" spans="1:17" x14ac:dyDescent="0.3">
      <c r="A227">
        <v>201990</v>
      </c>
      <c r="B227" s="15">
        <v>45482</v>
      </c>
      <c r="C227">
        <v>103467</v>
      </c>
      <c r="D227">
        <v>100257</v>
      </c>
      <c r="E227" t="s">
        <v>1046</v>
      </c>
      <c r="F227" t="s">
        <v>180</v>
      </c>
      <c r="G227">
        <v>2</v>
      </c>
      <c r="H227" s="59">
        <v>379</v>
      </c>
      <c r="I227" t="s">
        <v>1041</v>
      </c>
      <c r="J227" t="s">
        <v>14</v>
      </c>
      <c r="K227" s="60" t="s">
        <v>14</v>
      </c>
      <c r="L227" s="59">
        <v>0</v>
      </c>
      <c r="M227" s="61">
        <v>758</v>
      </c>
      <c r="N227">
        <f ca="1">IF(LEFT(tblSales[[#This Row],[Category]],1)="A",RANDBETWEEN(1,4),RANDBETWEEN(2,7))</f>
        <v>7</v>
      </c>
      <c r="O227" s="61">
        <f>IF(COUNTIF($A$2:A227,A227)=1,SUMIFS(tblSales[Revenue],tblSales[Order ID],tblSales[[#This Row],[Order ID]]),"")</f>
        <v>1907.95</v>
      </c>
      <c r="P227" t="str">
        <f>TEXT(tblSales[[#This Row],[Date]],"ddd")</f>
        <v>Tue</v>
      </c>
      <c r="Q227">
        <f>1/COUNTIF(tblSales[Order ID],tblSales[[#This Row],[Order ID]])</f>
        <v>0.2</v>
      </c>
    </row>
    <row r="228" spans="1:17" x14ac:dyDescent="0.3">
      <c r="A228">
        <v>201990</v>
      </c>
      <c r="B228" s="15">
        <v>45482</v>
      </c>
      <c r="C228">
        <v>103467</v>
      </c>
      <c r="D228">
        <v>200559</v>
      </c>
      <c r="E228" t="s">
        <v>1043</v>
      </c>
      <c r="F228" t="s">
        <v>1045</v>
      </c>
      <c r="G228">
        <v>2</v>
      </c>
      <c r="H228" s="59">
        <v>59.99</v>
      </c>
      <c r="I228" t="s">
        <v>1041</v>
      </c>
      <c r="J228" t="s">
        <v>14</v>
      </c>
      <c r="K228" s="60" t="s">
        <v>14</v>
      </c>
      <c r="L228" s="59">
        <v>0</v>
      </c>
      <c r="M228" s="61">
        <v>119.98</v>
      </c>
      <c r="N228">
        <f ca="1">IF(LEFT(tblSales[[#This Row],[Category]],1)="A",RANDBETWEEN(1,4),RANDBETWEEN(2,7))</f>
        <v>3</v>
      </c>
      <c r="O228" s="61" t="str">
        <f>IF(COUNTIF($A$2:A228,A228)=1,SUMIFS(tblSales[Revenue],tblSales[Order ID],tblSales[[#This Row],[Order ID]]),"")</f>
        <v/>
      </c>
      <c r="P228" t="str">
        <f>TEXT(tblSales[[#This Row],[Date]],"ddd")</f>
        <v>Tue</v>
      </c>
      <c r="Q228">
        <f>1/COUNTIF(tblSales[Order ID],tblSales[[#This Row],[Order ID]])</f>
        <v>0.2</v>
      </c>
    </row>
    <row r="229" spans="1:17" x14ac:dyDescent="0.3">
      <c r="A229">
        <v>201990</v>
      </c>
      <c r="B229" s="15">
        <v>45482</v>
      </c>
      <c r="C229">
        <v>103467</v>
      </c>
      <c r="D229">
        <v>300187</v>
      </c>
      <c r="E229" t="s">
        <v>1040</v>
      </c>
      <c r="F229" t="s">
        <v>1058</v>
      </c>
      <c r="G229">
        <v>2</v>
      </c>
      <c r="H229" s="59">
        <v>54.99</v>
      </c>
      <c r="I229" t="s">
        <v>1041</v>
      </c>
      <c r="J229" t="s">
        <v>14</v>
      </c>
      <c r="K229" s="60" t="s">
        <v>14</v>
      </c>
      <c r="L229" s="59">
        <v>0</v>
      </c>
      <c r="M229" s="61">
        <v>109.98</v>
      </c>
      <c r="N229">
        <f ca="1">IF(LEFT(tblSales[[#This Row],[Category]],1)="A",RANDBETWEEN(1,4),RANDBETWEEN(2,7))</f>
        <v>4</v>
      </c>
      <c r="O229" s="61" t="str">
        <f>IF(COUNTIF($A$2:A229,A229)=1,SUMIFS(tblSales[Revenue],tblSales[Order ID],tblSales[[#This Row],[Order ID]]),"")</f>
        <v/>
      </c>
      <c r="P229" t="str">
        <f>TEXT(tblSales[[#This Row],[Date]],"ddd")</f>
        <v>Tue</v>
      </c>
      <c r="Q229">
        <f>1/COUNTIF(tblSales[Order ID],tblSales[[#This Row],[Order ID]])</f>
        <v>0.2</v>
      </c>
    </row>
    <row r="230" spans="1:17" x14ac:dyDescent="0.3">
      <c r="A230">
        <v>201990</v>
      </c>
      <c r="B230" s="15">
        <v>45482</v>
      </c>
      <c r="C230">
        <v>103467</v>
      </c>
      <c r="D230">
        <v>300191</v>
      </c>
      <c r="E230" t="s">
        <v>1040</v>
      </c>
      <c r="F230" t="s">
        <v>1051</v>
      </c>
      <c r="G230">
        <v>1</v>
      </c>
      <c r="H230" s="59">
        <v>21.99</v>
      </c>
      <c r="I230" t="s">
        <v>1041</v>
      </c>
      <c r="J230" t="s">
        <v>14</v>
      </c>
      <c r="K230" s="60" t="s">
        <v>14</v>
      </c>
      <c r="L230" s="59">
        <v>0</v>
      </c>
      <c r="M230" s="61">
        <v>21.99</v>
      </c>
      <c r="N230">
        <f ca="1">IF(LEFT(tblSales[[#This Row],[Category]],1)="A",RANDBETWEEN(1,4),RANDBETWEEN(2,7))</f>
        <v>3</v>
      </c>
      <c r="O230" s="61" t="str">
        <f>IF(COUNTIF($A$2:A230,A230)=1,SUMIFS(tblSales[Revenue],tblSales[Order ID],tblSales[[#This Row],[Order ID]]),"")</f>
        <v/>
      </c>
      <c r="P230" t="str">
        <f>TEXT(tblSales[[#This Row],[Date]],"ddd")</f>
        <v>Tue</v>
      </c>
      <c r="Q230">
        <f>1/COUNTIF(tblSales[Order ID],tblSales[[#This Row],[Order ID]])</f>
        <v>0.2</v>
      </c>
    </row>
    <row r="231" spans="1:17" x14ac:dyDescent="0.3">
      <c r="A231">
        <v>201990</v>
      </c>
      <c r="B231" s="15">
        <v>45482</v>
      </c>
      <c r="C231">
        <v>103467</v>
      </c>
      <c r="D231">
        <v>100252</v>
      </c>
      <c r="E231" t="s">
        <v>1046</v>
      </c>
      <c r="F231" t="s">
        <v>158</v>
      </c>
      <c r="G231">
        <v>2</v>
      </c>
      <c r="H231" s="59">
        <v>449</v>
      </c>
      <c r="I231" t="s">
        <v>1041</v>
      </c>
      <c r="J231" t="s">
        <v>14</v>
      </c>
      <c r="K231" s="60" t="s">
        <v>14</v>
      </c>
      <c r="L231" s="59">
        <v>0</v>
      </c>
      <c r="M231" s="61">
        <v>898</v>
      </c>
      <c r="N231">
        <f ca="1">IF(LEFT(tblSales[[#This Row],[Category]],1)="A",RANDBETWEEN(1,4),RANDBETWEEN(2,7))</f>
        <v>7</v>
      </c>
      <c r="O231" s="61" t="str">
        <f>IF(COUNTIF($A$2:A231,A231)=1,SUMIFS(tblSales[Revenue],tblSales[Order ID],tblSales[[#This Row],[Order ID]]),"")</f>
        <v/>
      </c>
      <c r="P231" t="str">
        <f>TEXT(tblSales[[#This Row],[Date]],"ddd")</f>
        <v>Tue</v>
      </c>
      <c r="Q231">
        <f>1/COUNTIF(tblSales[Order ID],tblSales[[#This Row],[Order ID]])</f>
        <v>0.2</v>
      </c>
    </row>
    <row r="232" spans="1:17" x14ac:dyDescent="0.3">
      <c r="A232">
        <v>201991</v>
      </c>
      <c r="B232" s="15">
        <v>45484</v>
      </c>
      <c r="C232">
        <v>121627</v>
      </c>
      <c r="D232">
        <v>100250</v>
      </c>
      <c r="E232" t="s">
        <v>1046</v>
      </c>
      <c r="F232" t="s">
        <v>202</v>
      </c>
      <c r="G232">
        <v>1</v>
      </c>
      <c r="H232" s="59">
        <v>189</v>
      </c>
      <c r="I232" t="s">
        <v>1041</v>
      </c>
      <c r="J232" t="s">
        <v>14</v>
      </c>
      <c r="K232" s="60" t="s">
        <v>14</v>
      </c>
      <c r="L232" s="59">
        <v>0</v>
      </c>
      <c r="M232" s="61">
        <v>189</v>
      </c>
      <c r="N232">
        <f ca="1">IF(LEFT(tblSales[[#This Row],[Category]],1)="A",RANDBETWEEN(1,4),RANDBETWEEN(2,7))</f>
        <v>5</v>
      </c>
      <c r="O232" s="61">
        <f>IF(COUNTIF($A$2:A232,A232)=1,SUMIFS(tblSales[Revenue],tblSales[Order ID],tblSales[[#This Row],[Order ID]]),"")</f>
        <v>189</v>
      </c>
      <c r="P232" t="str">
        <f>TEXT(tblSales[[#This Row],[Date]],"ddd")</f>
        <v>Thu</v>
      </c>
      <c r="Q232">
        <f>1/COUNTIF(tblSales[Order ID],tblSales[[#This Row],[Order ID]])</f>
        <v>1</v>
      </c>
    </row>
    <row r="233" spans="1:17" x14ac:dyDescent="0.3">
      <c r="A233">
        <v>201992</v>
      </c>
      <c r="B233" s="15">
        <v>45492</v>
      </c>
      <c r="C233">
        <v>102707</v>
      </c>
      <c r="D233">
        <v>200556</v>
      </c>
      <c r="E233" t="s">
        <v>1043</v>
      </c>
      <c r="F233" t="s">
        <v>1044</v>
      </c>
      <c r="G233">
        <v>1</v>
      </c>
      <c r="H233" s="59">
        <v>64.989999999999995</v>
      </c>
      <c r="I233" t="s">
        <v>1041</v>
      </c>
      <c r="J233" t="s">
        <v>14</v>
      </c>
      <c r="K233" s="60" t="s">
        <v>14</v>
      </c>
      <c r="L233" s="59">
        <v>0</v>
      </c>
      <c r="M233" s="61">
        <v>64.989999999999995</v>
      </c>
      <c r="N233">
        <f ca="1">IF(LEFT(tblSales[[#This Row],[Category]],1)="A",RANDBETWEEN(1,4),RANDBETWEEN(2,7))</f>
        <v>4</v>
      </c>
      <c r="O233" s="61">
        <f>IF(COUNTIF($A$2:A233,A233)=1,SUMIFS(tblSales[Revenue],tblSales[Order ID],tblSales[[#This Row],[Order ID]]),"")</f>
        <v>64.989999999999995</v>
      </c>
      <c r="P233" t="str">
        <f>TEXT(tblSales[[#This Row],[Date]],"ddd")</f>
        <v>Fri</v>
      </c>
      <c r="Q233">
        <f>1/COUNTIF(tblSales[Order ID],tblSales[[#This Row],[Order ID]])</f>
        <v>1</v>
      </c>
    </row>
    <row r="234" spans="1:17" x14ac:dyDescent="0.3">
      <c r="A234">
        <v>201993</v>
      </c>
      <c r="B234" s="15">
        <v>45486</v>
      </c>
      <c r="C234">
        <v>130011</v>
      </c>
      <c r="D234">
        <v>200549</v>
      </c>
      <c r="E234" t="s">
        <v>1043</v>
      </c>
      <c r="F234" t="s">
        <v>1042</v>
      </c>
      <c r="G234">
        <v>2</v>
      </c>
      <c r="H234" s="59">
        <v>18.989999999999998</v>
      </c>
      <c r="I234" t="s">
        <v>120</v>
      </c>
      <c r="J234" t="s">
        <v>1047</v>
      </c>
      <c r="K234" s="60">
        <v>0.1</v>
      </c>
      <c r="L234" s="59">
        <v>3.798</v>
      </c>
      <c r="M234" s="61">
        <v>34.181999999999995</v>
      </c>
      <c r="N234">
        <f ca="1">IF(LEFT(tblSales[[#This Row],[Category]],1)="A",RANDBETWEEN(1,4),RANDBETWEEN(2,7))</f>
        <v>4</v>
      </c>
      <c r="O234" s="61">
        <f>IF(COUNTIF($A$2:A234,A234)=1,SUMIFS(tblSales[Revenue],tblSales[Order ID],tblSales[[#This Row],[Order ID]]),"")</f>
        <v>34.181999999999995</v>
      </c>
      <c r="P234" t="str">
        <f>TEXT(tblSales[[#This Row],[Date]],"ddd")</f>
        <v>Sat</v>
      </c>
      <c r="Q234">
        <f>1/COUNTIF(tblSales[Order ID],tblSales[[#This Row],[Order ID]])</f>
        <v>1</v>
      </c>
    </row>
    <row r="235" spans="1:17" x14ac:dyDescent="0.3">
      <c r="A235">
        <v>201994</v>
      </c>
      <c r="B235" s="15">
        <v>45484</v>
      </c>
      <c r="C235">
        <v>109602</v>
      </c>
      <c r="D235">
        <v>100251</v>
      </c>
      <c r="E235" t="s">
        <v>1046</v>
      </c>
      <c r="F235" t="s">
        <v>150</v>
      </c>
      <c r="G235">
        <v>3</v>
      </c>
      <c r="H235" s="59">
        <v>399</v>
      </c>
      <c r="I235" t="s">
        <v>1041</v>
      </c>
      <c r="J235" t="s">
        <v>14</v>
      </c>
      <c r="K235" s="60" t="s">
        <v>14</v>
      </c>
      <c r="L235" s="59">
        <v>0</v>
      </c>
      <c r="M235" s="61">
        <v>1197</v>
      </c>
      <c r="N235">
        <f ca="1">IF(LEFT(tblSales[[#This Row],[Category]],1)="A",RANDBETWEEN(1,4),RANDBETWEEN(2,7))</f>
        <v>2</v>
      </c>
      <c r="O235" s="61">
        <f>IF(COUNTIF($A$2:A235,A235)=1,SUMIFS(tblSales[Revenue],tblSales[Order ID],tblSales[[#This Row],[Order ID]]),"")</f>
        <v>1306.98</v>
      </c>
      <c r="P235" t="str">
        <f>TEXT(tblSales[[#This Row],[Date]],"ddd")</f>
        <v>Thu</v>
      </c>
      <c r="Q235">
        <f>1/COUNTIF(tblSales[Order ID],tblSales[[#This Row],[Order ID]])</f>
        <v>0.5</v>
      </c>
    </row>
    <row r="236" spans="1:17" x14ac:dyDescent="0.3">
      <c r="A236">
        <v>201994</v>
      </c>
      <c r="B236" s="15">
        <v>45484</v>
      </c>
      <c r="C236">
        <v>109602</v>
      </c>
      <c r="D236">
        <v>300187</v>
      </c>
      <c r="E236" t="s">
        <v>1040</v>
      </c>
      <c r="F236" t="s">
        <v>1058</v>
      </c>
      <c r="G236">
        <v>2</v>
      </c>
      <c r="H236" s="59">
        <v>54.99</v>
      </c>
      <c r="I236" t="s">
        <v>1041</v>
      </c>
      <c r="J236" t="s">
        <v>14</v>
      </c>
      <c r="K236" s="60" t="s">
        <v>14</v>
      </c>
      <c r="L236" s="59">
        <v>0</v>
      </c>
      <c r="M236" s="61">
        <v>109.98</v>
      </c>
      <c r="N236">
        <f ca="1">IF(LEFT(tblSales[[#This Row],[Category]],1)="A",RANDBETWEEN(1,4),RANDBETWEEN(2,7))</f>
        <v>2</v>
      </c>
      <c r="O236" s="61" t="str">
        <f>IF(COUNTIF($A$2:A236,A236)=1,SUMIFS(tblSales[Revenue],tblSales[Order ID],tblSales[[#This Row],[Order ID]]),"")</f>
        <v/>
      </c>
      <c r="P236" t="str">
        <f>TEXT(tblSales[[#This Row],[Date]],"ddd")</f>
        <v>Thu</v>
      </c>
      <c r="Q236">
        <f>1/COUNTIF(tblSales[Order ID],tblSales[[#This Row],[Order ID]])</f>
        <v>0.5</v>
      </c>
    </row>
    <row r="237" spans="1:17" x14ac:dyDescent="0.3">
      <c r="A237">
        <v>201995</v>
      </c>
      <c r="B237" s="15">
        <v>45488</v>
      </c>
      <c r="C237">
        <v>106983</v>
      </c>
      <c r="D237">
        <v>100250</v>
      </c>
      <c r="E237" t="s">
        <v>1046</v>
      </c>
      <c r="F237" t="s">
        <v>202</v>
      </c>
      <c r="G237">
        <v>3</v>
      </c>
      <c r="H237" s="59">
        <v>189</v>
      </c>
      <c r="I237" t="s">
        <v>1041</v>
      </c>
      <c r="J237" t="s">
        <v>14</v>
      </c>
      <c r="K237" s="60" t="s">
        <v>14</v>
      </c>
      <c r="L237" s="59">
        <v>0</v>
      </c>
      <c r="M237" s="61">
        <v>567</v>
      </c>
      <c r="N237">
        <f ca="1">IF(LEFT(tblSales[[#This Row],[Category]],1)="A",RANDBETWEEN(1,4),RANDBETWEEN(2,7))</f>
        <v>5</v>
      </c>
      <c r="O237" s="61">
        <f>IF(COUNTIF($A$2:A237,A237)=1,SUMIFS(tblSales[Revenue],tblSales[Order ID],tblSales[[#This Row],[Order ID]]),"")</f>
        <v>567</v>
      </c>
      <c r="P237" t="str">
        <f>TEXT(tblSales[[#This Row],[Date]],"ddd")</f>
        <v>Mon</v>
      </c>
      <c r="Q237">
        <f>1/COUNTIF(tblSales[Order ID],tblSales[[#This Row],[Order ID]])</f>
        <v>1</v>
      </c>
    </row>
    <row r="238" spans="1:17" x14ac:dyDescent="0.3">
      <c r="A238">
        <v>201996</v>
      </c>
      <c r="B238" s="15">
        <v>45488</v>
      </c>
      <c r="C238">
        <v>103634</v>
      </c>
      <c r="D238">
        <v>200556</v>
      </c>
      <c r="E238" t="s">
        <v>1043</v>
      </c>
      <c r="F238" t="s">
        <v>1044</v>
      </c>
      <c r="G238">
        <v>1</v>
      </c>
      <c r="H238" s="59">
        <v>64.989999999999995</v>
      </c>
      <c r="I238" t="s">
        <v>1041</v>
      </c>
      <c r="J238" t="s">
        <v>14</v>
      </c>
      <c r="K238" s="60" t="s">
        <v>14</v>
      </c>
      <c r="L238" s="59">
        <v>0</v>
      </c>
      <c r="M238" s="61">
        <v>64.989999999999995</v>
      </c>
      <c r="N238">
        <f ca="1">IF(LEFT(tblSales[[#This Row],[Category]],1)="A",RANDBETWEEN(1,4),RANDBETWEEN(2,7))</f>
        <v>3</v>
      </c>
      <c r="O238" s="61">
        <f>IF(COUNTIF($A$2:A238,A238)=1,SUMIFS(tblSales[Revenue],tblSales[Order ID],tblSales[[#This Row],[Order ID]]),"")</f>
        <v>64.989999999999995</v>
      </c>
      <c r="P238" t="str">
        <f>TEXT(tblSales[[#This Row],[Date]],"ddd")</f>
        <v>Mon</v>
      </c>
      <c r="Q238">
        <f>1/COUNTIF(tblSales[Order ID],tblSales[[#This Row],[Order ID]])</f>
        <v>1</v>
      </c>
    </row>
    <row r="239" spans="1:17" x14ac:dyDescent="0.3">
      <c r="A239">
        <v>201997</v>
      </c>
      <c r="B239" s="15">
        <v>45492</v>
      </c>
      <c r="C239">
        <v>130814</v>
      </c>
      <c r="D239">
        <v>300187</v>
      </c>
      <c r="E239" t="s">
        <v>1040</v>
      </c>
      <c r="F239" t="s">
        <v>1058</v>
      </c>
      <c r="G239">
        <v>1</v>
      </c>
      <c r="H239" s="59">
        <v>54.99</v>
      </c>
      <c r="I239" t="s">
        <v>1041</v>
      </c>
      <c r="J239" t="s">
        <v>14</v>
      </c>
      <c r="K239" s="60" t="s">
        <v>14</v>
      </c>
      <c r="L239" s="59">
        <v>0</v>
      </c>
      <c r="M239" s="61">
        <v>54.99</v>
      </c>
      <c r="N239">
        <f ca="1">IF(LEFT(tblSales[[#This Row],[Category]],1)="A",RANDBETWEEN(1,4),RANDBETWEEN(2,7))</f>
        <v>1</v>
      </c>
      <c r="O239" s="61">
        <f>IF(COUNTIF($A$2:A239,A239)=1,SUMIFS(tblSales[Revenue],tblSales[Order ID],tblSales[[#This Row],[Order ID]]),"")</f>
        <v>54.99</v>
      </c>
      <c r="P239" t="str">
        <f>TEXT(tblSales[[#This Row],[Date]],"ddd")</f>
        <v>Fri</v>
      </c>
      <c r="Q239">
        <f>1/COUNTIF(tblSales[Order ID],tblSales[[#This Row],[Order ID]])</f>
        <v>1</v>
      </c>
    </row>
    <row r="240" spans="1:17" x14ac:dyDescent="0.3">
      <c r="A240">
        <v>201998</v>
      </c>
      <c r="B240" s="15">
        <v>45492</v>
      </c>
      <c r="C240">
        <v>103962</v>
      </c>
      <c r="D240">
        <v>100253</v>
      </c>
      <c r="E240" t="s">
        <v>1046</v>
      </c>
      <c r="F240" t="s">
        <v>192</v>
      </c>
      <c r="G240">
        <v>1</v>
      </c>
      <c r="H240" s="59">
        <v>279</v>
      </c>
      <c r="I240" t="s">
        <v>1041</v>
      </c>
      <c r="J240" t="s">
        <v>14</v>
      </c>
      <c r="K240" s="60" t="s">
        <v>14</v>
      </c>
      <c r="L240" s="59">
        <v>0</v>
      </c>
      <c r="M240" s="61">
        <v>279</v>
      </c>
      <c r="N240">
        <f ca="1">IF(LEFT(tblSales[[#This Row],[Category]],1)="A",RANDBETWEEN(1,4),RANDBETWEEN(2,7))</f>
        <v>3</v>
      </c>
      <c r="O240" s="61">
        <f>IF(COUNTIF($A$2:A240,A240)=1,SUMIFS(tblSales[Revenue],tblSales[Order ID],tblSales[[#This Row],[Order ID]]),"")</f>
        <v>1131.95</v>
      </c>
      <c r="P240" t="str">
        <f>TEXT(tblSales[[#This Row],[Date]],"ddd")</f>
        <v>Fri</v>
      </c>
      <c r="Q240">
        <f>1/COUNTIF(tblSales[Order ID],tblSales[[#This Row],[Order ID]])</f>
        <v>0.25</v>
      </c>
    </row>
    <row r="241" spans="1:17" x14ac:dyDescent="0.3">
      <c r="A241">
        <v>201998</v>
      </c>
      <c r="B241" s="15">
        <v>45492</v>
      </c>
      <c r="C241">
        <v>103962</v>
      </c>
      <c r="D241">
        <v>200549</v>
      </c>
      <c r="E241" t="s">
        <v>1043</v>
      </c>
      <c r="F241" t="s">
        <v>1042</v>
      </c>
      <c r="G241">
        <v>1</v>
      </c>
      <c r="H241" s="59">
        <v>18.989999999999998</v>
      </c>
      <c r="I241" t="s">
        <v>1041</v>
      </c>
      <c r="J241" t="s">
        <v>14</v>
      </c>
      <c r="K241" s="60" t="s">
        <v>14</v>
      </c>
      <c r="L241" s="59">
        <v>0</v>
      </c>
      <c r="M241" s="61">
        <v>18.989999999999998</v>
      </c>
      <c r="N241">
        <f ca="1">IF(LEFT(tblSales[[#This Row],[Category]],1)="A",RANDBETWEEN(1,4),RANDBETWEEN(2,7))</f>
        <v>1</v>
      </c>
      <c r="O241" s="61" t="str">
        <f>IF(COUNTIF($A$2:A241,A241)=1,SUMIFS(tblSales[Revenue],tblSales[Order ID],tblSales[[#This Row],[Order ID]]),"")</f>
        <v/>
      </c>
      <c r="P241" t="str">
        <f>TEXT(tblSales[[#This Row],[Date]],"ddd")</f>
        <v>Fri</v>
      </c>
      <c r="Q241">
        <f>1/COUNTIF(tblSales[Order ID],tblSales[[#This Row],[Order ID]])</f>
        <v>0.25</v>
      </c>
    </row>
    <row r="242" spans="1:17" x14ac:dyDescent="0.3">
      <c r="A242">
        <v>201998</v>
      </c>
      <c r="B242" s="15">
        <v>45492</v>
      </c>
      <c r="C242">
        <v>103962</v>
      </c>
      <c r="D242">
        <v>100257</v>
      </c>
      <c r="E242" t="s">
        <v>1046</v>
      </c>
      <c r="F242" t="s">
        <v>180</v>
      </c>
      <c r="G242">
        <v>2</v>
      </c>
      <c r="H242" s="59">
        <v>379</v>
      </c>
      <c r="I242" t="s">
        <v>1041</v>
      </c>
      <c r="J242" t="s">
        <v>14</v>
      </c>
      <c r="K242" s="60" t="s">
        <v>14</v>
      </c>
      <c r="L242" s="59">
        <v>0</v>
      </c>
      <c r="M242" s="61">
        <v>758</v>
      </c>
      <c r="N242">
        <f ca="1">IF(LEFT(tblSales[[#This Row],[Category]],1)="A",RANDBETWEEN(1,4),RANDBETWEEN(2,7))</f>
        <v>6</v>
      </c>
      <c r="O242" s="61" t="str">
        <f>IF(COUNTIF($A$2:A242,A242)=1,SUMIFS(tblSales[Revenue],tblSales[Order ID],tblSales[[#This Row],[Order ID]]),"")</f>
        <v/>
      </c>
      <c r="P242" t="str">
        <f>TEXT(tblSales[[#This Row],[Date]],"ddd")</f>
        <v>Fri</v>
      </c>
      <c r="Q242">
        <f>1/COUNTIF(tblSales[Order ID],tblSales[[#This Row],[Order ID]])</f>
        <v>0.25</v>
      </c>
    </row>
    <row r="243" spans="1:17" x14ac:dyDescent="0.3">
      <c r="A243">
        <v>201998</v>
      </c>
      <c r="B243" s="15">
        <v>45492</v>
      </c>
      <c r="C243">
        <v>103962</v>
      </c>
      <c r="D243">
        <v>200558</v>
      </c>
      <c r="E243" t="s">
        <v>1043</v>
      </c>
      <c r="F243" t="s">
        <v>1053</v>
      </c>
      <c r="G243">
        <v>4</v>
      </c>
      <c r="H243" s="59">
        <v>18.989999999999998</v>
      </c>
      <c r="I243" t="s">
        <v>1041</v>
      </c>
      <c r="J243" t="s">
        <v>14</v>
      </c>
      <c r="K243" s="60" t="s">
        <v>14</v>
      </c>
      <c r="L243" s="59">
        <v>0</v>
      </c>
      <c r="M243" s="61">
        <v>75.959999999999994</v>
      </c>
      <c r="N243">
        <f ca="1">IF(LEFT(tblSales[[#This Row],[Category]],1)="A",RANDBETWEEN(1,4),RANDBETWEEN(2,7))</f>
        <v>3</v>
      </c>
      <c r="O243" s="61" t="str">
        <f>IF(COUNTIF($A$2:A243,A243)=1,SUMIFS(tblSales[Revenue],tblSales[Order ID],tblSales[[#This Row],[Order ID]]),"")</f>
        <v/>
      </c>
      <c r="P243" t="str">
        <f>TEXT(tblSales[[#This Row],[Date]],"ddd")</f>
        <v>Fri</v>
      </c>
      <c r="Q243">
        <f>1/COUNTIF(tblSales[Order ID],tblSales[[#This Row],[Order ID]])</f>
        <v>0.25</v>
      </c>
    </row>
    <row r="244" spans="1:17" x14ac:dyDescent="0.3">
      <c r="A244">
        <v>201999</v>
      </c>
      <c r="B244" s="15">
        <v>45486</v>
      </c>
      <c r="C244">
        <v>110941</v>
      </c>
      <c r="D244">
        <v>300185</v>
      </c>
      <c r="E244" t="s">
        <v>1040</v>
      </c>
      <c r="F244" t="s">
        <v>1049</v>
      </c>
      <c r="G244">
        <v>1</v>
      </c>
      <c r="H244" s="59">
        <v>29.99</v>
      </c>
      <c r="I244" t="s">
        <v>120</v>
      </c>
      <c r="J244" t="s">
        <v>1047</v>
      </c>
      <c r="K244" s="60">
        <v>0.1</v>
      </c>
      <c r="L244" s="59">
        <v>2.9990000000000001</v>
      </c>
      <c r="M244" s="61">
        <v>26.991</v>
      </c>
      <c r="N244">
        <f ca="1">IF(LEFT(tblSales[[#This Row],[Category]],1)="A",RANDBETWEEN(1,4),RANDBETWEEN(2,7))</f>
        <v>1</v>
      </c>
      <c r="O244" s="61">
        <f>IF(COUNTIF($A$2:A244,A244)=1,SUMIFS(tblSales[Revenue],tblSales[Order ID],tblSales[[#This Row],[Order ID]]),"")</f>
        <v>26.991</v>
      </c>
      <c r="P244" t="str">
        <f>TEXT(tblSales[[#This Row],[Date]],"ddd")</f>
        <v>Sat</v>
      </c>
      <c r="Q244">
        <f>1/COUNTIF(tblSales[Order ID],tblSales[[#This Row],[Order ID]])</f>
        <v>1</v>
      </c>
    </row>
    <row r="245" spans="1:17" x14ac:dyDescent="0.3">
      <c r="A245">
        <v>202000</v>
      </c>
      <c r="B245" s="15">
        <v>45483</v>
      </c>
      <c r="C245">
        <v>105602</v>
      </c>
      <c r="D245">
        <v>300185</v>
      </c>
      <c r="E245" t="s">
        <v>1040</v>
      </c>
      <c r="F245" t="s">
        <v>1049</v>
      </c>
      <c r="G245">
        <v>4</v>
      </c>
      <c r="H245" s="59">
        <v>29.99</v>
      </c>
      <c r="I245" t="s">
        <v>1041</v>
      </c>
      <c r="J245" t="s">
        <v>14</v>
      </c>
      <c r="K245" s="60" t="s">
        <v>14</v>
      </c>
      <c r="L245" s="59">
        <v>0</v>
      </c>
      <c r="M245" s="61">
        <v>119.96</v>
      </c>
      <c r="N245">
        <f ca="1">IF(LEFT(tblSales[[#This Row],[Category]],1)="A",RANDBETWEEN(1,4),RANDBETWEEN(2,7))</f>
        <v>3</v>
      </c>
      <c r="O245" s="61">
        <f>IF(COUNTIF($A$2:A245,A245)=1,SUMIFS(tblSales[Revenue],tblSales[Order ID],tblSales[[#This Row],[Order ID]]),"")</f>
        <v>568.96</v>
      </c>
      <c r="P245" t="str">
        <f>TEXT(tblSales[[#This Row],[Date]],"ddd")</f>
        <v>Wed</v>
      </c>
      <c r="Q245">
        <f>1/COUNTIF(tblSales[Order ID],tblSales[[#This Row],[Order ID]])</f>
        <v>0.5</v>
      </c>
    </row>
    <row r="246" spans="1:17" x14ac:dyDescent="0.3">
      <c r="A246">
        <v>202000</v>
      </c>
      <c r="B246" s="15">
        <v>45483</v>
      </c>
      <c r="C246">
        <v>105602</v>
      </c>
      <c r="D246">
        <v>100252</v>
      </c>
      <c r="E246" t="s">
        <v>1046</v>
      </c>
      <c r="F246" t="s">
        <v>158</v>
      </c>
      <c r="G246">
        <v>1</v>
      </c>
      <c r="H246" s="59">
        <v>449</v>
      </c>
      <c r="I246" t="s">
        <v>1041</v>
      </c>
      <c r="J246" t="s">
        <v>14</v>
      </c>
      <c r="K246" s="60" t="s">
        <v>14</v>
      </c>
      <c r="L246" s="59">
        <v>0</v>
      </c>
      <c r="M246" s="61">
        <v>449</v>
      </c>
      <c r="N246">
        <f ca="1">IF(LEFT(tblSales[[#This Row],[Category]],1)="A",RANDBETWEEN(1,4),RANDBETWEEN(2,7))</f>
        <v>5</v>
      </c>
      <c r="O246" s="61" t="str">
        <f>IF(COUNTIF($A$2:A246,A246)=1,SUMIFS(tblSales[Revenue],tblSales[Order ID],tblSales[[#This Row],[Order ID]]),"")</f>
        <v/>
      </c>
      <c r="P246" t="str">
        <f>TEXT(tblSales[[#This Row],[Date]],"ddd")</f>
        <v>Wed</v>
      </c>
      <c r="Q246">
        <f>1/COUNTIF(tblSales[Order ID],tblSales[[#This Row],[Order ID]])</f>
        <v>0.5</v>
      </c>
    </row>
    <row r="247" spans="1:17" x14ac:dyDescent="0.3">
      <c r="A247">
        <v>202001</v>
      </c>
      <c r="B247" s="15">
        <v>45488</v>
      </c>
      <c r="C247">
        <v>131405</v>
      </c>
      <c r="D247">
        <v>300185</v>
      </c>
      <c r="E247" t="s">
        <v>1040</v>
      </c>
      <c r="F247" t="s">
        <v>1049</v>
      </c>
      <c r="G247">
        <v>1</v>
      </c>
      <c r="H247" s="59">
        <v>29.99</v>
      </c>
      <c r="I247" t="s">
        <v>120</v>
      </c>
      <c r="J247" t="s">
        <v>1047</v>
      </c>
      <c r="K247" s="60">
        <v>0.1</v>
      </c>
      <c r="L247" s="59">
        <v>2.9990000000000001</v>
      </c>
      <c r="M247" s="61">
        <v>26.991</v>
      </c>
      <c r="N247">
        <f ca="1">IF(LEFT(tblSales[[#This Row],[Category]],1)="A",RANDBETWEEN(1,4),RANDBETWEEN(2,7))</f>
        <v>2</v>
      </c>
      <c r="O247" s="61">
        <f>IF(COUNTIF($A$2:A247,A247)=1,SUMIFS(tblSales[Revenue],tblSales[Order ID],tblSales[[#This Row],[Order ID]]),"")</f>
        <v>188.94599999999997</v>
      </c>
      <c r="P247" t="str">
        <f>TEXT(tblSales[[#This Row],[Date]],"ddd")</f>
        <v>Mon</v>
      </c>
      <c r="Q247">
        <f>1/COUNTIF(tblSales[Order ID],tblSales[[#This Row],[Order ID]])</f>
        <v>0.25</v>
      </c>
    </row>
    <row r="248" spans="1:17" x14ac:dyDescent="0.3">
      <c r="A248">
        <v>202001</v>
      </c>
      <c r="B248" s="15">
        <v>45488</v>
      </c>
      <c r="C248">
        <v>131405</v>
      </c>
      <c r="D248">
        <v>200559</v>
      </c>
      <c r="E248" t="s">
        <v>1043</v>
      </c>
      <c r="F248" t="s">
        <v>1045</v>
      </c>
      <c r="G248">
        <v>1</v>
      </c>
      <c r="H248" s="59">
        <v>59.99</v>
      </c>
      <c r="I248" t="s">
        <v>120</v>
      </c>
      <c r="J248" t="s">
        <v>1047</v>
      </c>
      <c r="K248" s="60">
        <v>0.1</v>
      </c>
      <c r="L248" s="59">
        <v>5.9990000000000006</v>
      </c>
      <c r="M248" s="61">
        <v>53.991</v>
      </c>
      <c r="N248">
        <f ca="1">IF(LEFT(tblSales[[#This Row],[Category]],1)="A",RANDBETWEEN(1,4),RANDBETWEEN(2,7))</f>
        <v>2</v>
      </c>
      <c r="O248" s="61" t="str">
        <f>IF(COUNTIF($A$2:A248,A248)=1,SUMIFS(tblSales[Revenue],tblSales[Order ID],tblSales[[#This Row],[Order ID]]),"")</f>
        <v/>
      </c>
      <c r="P248" t="str">
        <f>TEXT(tblSales[[#This Row],[Date]],"ddd")</f>
        <v>Mon</v>
      </c>
      <c r="Q248">
        <f>1/COUNTIF(tblSales[Order ID],tblSales[[#This Row],[Order ID]])</f>
        <v>0.25</v>
      </c>
    </row>
    <row r="249" spans="1:17" x14ac:dyDescent="0.3">
      <c r="A249">
        <v>202001</v>
      </c>
      <c r="B249" s="15">
        <v>45488</v>
      </c>
      <c r="C249">
        <v>131405</v>
      </c>
      <c r="D249">
        <v>200553</v>
      </c>
      <c r="E249" t="s">
        <v>1043</v>
      </c>
      <c r="F249" t="s">
        <v>1055</v>
      </c>
      <c r="G249">
        <v>3</v>
      </c>
      <c r="H249" s="59">
        <v>29.99</v>
      </c>
      <c r="I249" t="s">
        <v>120</v>
      </c>
      <c r="J249" t="s">
        <v>1047</v>
      </c>
      <c r="K249" s="60">
        <v>0.1</v>
      </c>
      <c r="L249" s="59">
        <v>8.9969999999999999</v>
      </c>
      <c r="M249" s="61">
        <v>80.972999999999999</v>
      </c>
      <c r="N249">
        <f ca="1">IF(LEFT(tblSales[[#This Row],[Category]],1)="A",RANDBETWEEN(1,4),RANDBETWEEN(2,7))</f>
        <v>2</v>
      </c>
      <c r="O249" s="61" t="str">
        <f>IF(COUNTIF($A$2:A249,A249)=1,SUMIFS(tblSales[Revenue],tblSales[Order ID],tblSales[[#This Row],[Order ID]]),"")</f>
        <v/>
      </c>
      <c r="P249" t="str">
        <f>TEXT(tblSales[[#This Row],[Date]],"ddd")</f>
        <v>Mon</v>
      </c>
      <c r="Q249">
        <f>1/COUNTIF(tblSales[Order ID],tblSales[[#This Row],[Order ID]])</f>
        <v>0.25</v>
      </c>
    </row>
    <row r="250" spans="1:17" x14ac:dyDescent="0.3">
      <c r="A250">
        <v>202001</v>
      </c>
      <c r="B250" s="15">
        <v>45488</v>
      </c>
      <c r="C250">
        <v>131405</v>
      </c>
      <c r="D250">
        <v>300185</v>
      </c>
      <c r="E250" t="s">
        <v>1040</v>
      </c>
      <c r="F250" t="s">
        <v>1049</v>
      </c>
      <c r="G250">
        <v>1</v>
      </c>
      <c r="H250" s="59">
        <v>29.99</v>
      </c>
      <c r="I250" t="s">
        <v>120</v>
      </c>
      <c r="J250" t="s">
        <v>1047</v>
      </c>
      <c r="K250" s="60">
        <v>0.1</v>
      </c>
      <c r="L250" s="59">
        <v>2.9990000000000001</v>
      </c>
      <c r="M250" s="61">
        <v>26.991</v>
      </c>
      <c r="N250">
        <f ca="1">IF(LEFT(tblSales[[#This Row],[Category]],1)="A",RANDBETWEEN(1,4),RANDBETWEEN(2,7))</f>
        <v>4</v>
      </c>
      <c r="O250" s="61" t="str">
        <f>IF(COUNTIF($A$2:A250,A250)=1,SUMIFS(tblSales[Revenue],tblSales[Order ID],tblSales[[#This Row],[Order ID]]),"")</f>
        <v/>
      </c>
      <c r="P250" t="str">
        <f>TEXT(tblSales[[#This Row],[Date]],"ddd")</f>
        <v>Mon</v>
      </c>
      <c r="Q250">
        <f>1/COUNTIF(tblSales[Order ID],tblSales[[#This Row],[Order ID]])</f>
        <v>0.25</v>
      </c>
    </row>
    <row r="251" spans="1:17" x14ac:dyDescent="0.3">
      <c r="A251">
        <v>202002</v>
      </c>
      <c r="B251" s="15">
        <v>45493</v>
      </c>
      <c r="C251">
        <v>116404</v>
      </c>
      <c r="D251">
        <v>100253</v>
      </c>
      <c r="E251" t="s">
        <v>1046</v>
      </c>
      <c r="F251" t="s">
        <v>192</v>
      </c>
      <c r="G251">
        <v>1</v>
      </c>
      <c r="H251" s="59">
        <v>279</v>
      </c>
      <c r="I251" t="s">
        <v>1041</v>
      </c>
      <c r="J251" t="s">
        <v>14</v>
      </c>
      <c r="K251" s="60" t="s">
        <v>14</v>
      </c>
      <c r="L251" s="59">
        <v>0</v>
      </c>
      <c r="M251" s="61">
        <v>279</v>
      </c>
      <c r="N251">
        <f ca="1">IF(LEFT(tblSales[[#This Row],[Category]],1)="A",RANDBETWEEN(1,4),RANDBETWEEN(2,7))</f>
        <v>6</v>
      </c>
      <c r="O251" s="61">
        <f>IF(COUNTIF($A$2:A251,A251)=1,SUMIFS(tblSales[Revenue],tblSales[Order ID],tblSales[[#This Row],[Order ID]]),"")</f>
        <v>279</v>
      </c>
      <c r="P251" t="str">
        <f>TEXT(tblSales[[#This Row],[Date]],"ddd")</f>
        <v>Sat</v>
      </c>
      <c r="Q251">
        <f>1/COUNTIF(tblSales[Order ID],tblSales[[#This Row],[Order ID]])</f>
        <v>1</v>
      </c>
    </row>
    <row r="252" spans="1:17" x14ac:dyDescent="0.3">
      <c r="A252">
        <v>202003</v>
      </c>
      <c r="B252" s="15">
        <v>45485</v>
      </c>
      <c r="C252">
        <v>131370</v>
      </c>
      <c r="D252">
        <v>200558</v>
      </c>
      <c r="E252" t="s">
        <v>1043</v>
      </c>
      <c r="F252" t="s">
        <v>1053</v>
      </c>
      <c r="G252">
        <v>1</v>
      </c>
      <c r="H252" s="59">
        <v>18.989999999999998</v>
      </c>
      <c r="I252" t="s">
        <v>1041</v>
      </c>
      <c r="J252" t="s">
        <v>14</v>
      </c>
      <c r="K252" s="60" t="s">
        <v>14</v>
      </c>
      <c r="L252" s="59">
        <v>0</v>
      </c>
      <c r="M252" s="61">
        <v>18.989999999999998</v>
      </c>
      <c r="N252">
        <f ca="1">IF(LEFT(tblSales[[#This Row],[Category]],1)="A",RANDBETWEEN(1,4),RANDBETWEEN(2,7))</f>
        <v>1</v>
      </c>
      <c r="O252" s="61">
        <f>IF(COUNTIF($A$2:A252,A252)=1,SUMIFS(tblSales[Revenue],tblSales[Order ID],tblSales[[#This Row],[Order ID]]),"")</f>
        <v>18.989999999999998</v>
      </c>
      <c r="P252" t="str">
        <f>TEXT(tblSales[[#This Row],[Date]],"ddd")</f>
        <v>Fri</v>
      </c>
      <c r="Q252">
        <f>1/COUNTIF(tblSales[Order ID],tblSales[[#This Row],[Order ID]])</f>
        <v>1</v>
      </c>
    </row>
    <row r="253" spans="1:17" x14ac:dyDescent="0.3">
      <c r="A253">
        <v>202004</v>
      </c>
      <c r="B253" s="15">
        <v>45493</v>
      </c>
      <c r="C253">
        <v>108698</v>
      </c>
      <c r="D253">
        <v>300191</v>
      </c>
      <c r="E253" t="s">
        <v>1040</v>
      </c>
      <c r="F253" t="s">
        <v>1051</v>
      </c>
      <c r="G253">
        <v>1</v>
      </c>
      <c r="H253" s="59">
        <v>21.99</v>
      </c>
      <c r="I253" t="s">
        <v>120</v>
      </c>
      <c r="J253" t="s">
        <v>1047</v>
      </c>
      <c r="K253" s="60">
        <v>0.1</v>
      </c>
      <c r="L253" s="59">
        <v>2.1989999999999998</v>
      </c>
      <c r="M253" s="61">
        <v>19.790999999999997</v>
      </c>
      <c r="N253">
        <f ca="1">IF(LEFT(tblSales[[#This Row],[Category]],1)="A",RANDBETWEEN(1,4),RANDBETWEEN(2,7))</f>
        <v>3</v>
      </c>
      <c r="O253" s="61">
        <f>IF(COUNTIF($A$2:A253,A253)=1,SUMIFS(tblSales[Revenue],tblSales[Order ID],tblSales[[#This Row],[Order ID]]),"")</f>
        <v>19.790999999999997</v>
      </c>
      <c r="P253" t="str">
        <f>TEXT(tblSales[[#This Row],[Date]],"ddd")</f>
        <v>Sat</v>
      </c>
      <c r="Q253">
        <f>1/COUNTIF(tblSales[Order ID],tblSales[[#This Row],[Order ID]])</f>
        <v>1</v>
      </c>
    </row>
    <row r="254" spans="1:17" x14ac:dyDescent="0.3">
      <c r="A254">
        <v>202005</v>
      </c>
      <c r="B254" s="15">
        <v>45485</v>
      </c>
      <c r="C254">
        <v>120115</v>
      </c>
      <c r="D254">
        <v>300190</v>
      </c>
      <c r="E254" t="s">
        <v>1040</v>
      </c>
      <c r="F254" t="s">
        <v>1039</v>
      </c>
      <c r="G254">
        <v>4</v>
      </c>
      <c r="H254" s="59">
        <v>35.99</v>
      </c>
      <c r="I254" t="s">
        <v>1041</v>
      </c>
      <c r="J254" t="s">
        <v>14</v>
      </c>
      <c r="K254" s="60" t="s">
        <v>14</v>
      </c>
      <c r="L254" s="59">
        <v>0</v>
      </c>
      <c r="M254" s="61">
        <v>143.96</v>
      </c>
      <c r="N254">
        <f ca="1">IF(LEFT(tblSales[[#This Row],[Category]],1)="A",RANDBETWEEN(1,4),RANDBETWEEN(2,7))</f>
        <v>3</v>
      </c>
      <c r="O254" s="61">
        <f>IF(COUNTIF($A$2:A254,A254)=1,SUMIFS(tblSales[Revenue],tblSales[Order ID],tblSales[[#This Row],[Order ID]]),"")</f>
        <v>1396.9</v>
      </c>
      <c r="P254" t="str">
        <f>TEXT(tblSales[[#This Row],[Date]],"ddd")</f>
        <v>Fri</v>
      </c>
      <c r="Q254">
        <f>1/COUNTIF(tblSales[Order ID],tblSales[[#This Row],[Order ID]])</f>
        <v>0.16666666666666666</v>
      </c>
    </row>
    <row r="255" spans="1:17" x14ac:dyDescent="0.3">
      <c r="A255">
        <v>202005</v>
      </c>
      <c r="B255" s="15">
        <v>45485</v>
      </c>
      <c r="C255">
        <v>120115</v>
      </c>
      <c r="D255">
        <v>200556</v>
      </c>
      <c r="E255" t="s">
        <v>1043</v>
      </c>
      <c r="F255" t="s">
        <v>1044</v>
      </c>
      <c r="G255">
        <v>4</v>
      </c>
      <c r="H255" s="59">
        <v>64.989999999999995</v>
      </c>
      <c r="I255" t="s">
        <v>1041</v>
      </c>
      <c r="J255" t="s">
        <v>14</v>
      </c>
      <c r="K255" s="60" t="s">
        <v>14</v>
      </c>
      <c r="L255" s="59">
        <v>0</v>
      </c>
      <c r="M255" s="61">
        <v>259.95999999999998</v>
      </c>
      <c r="N255">
        <f ca="1">IF(LEFT(tblSales[[#This Row],[Category]],1)="A",RANDBETWEEN(1,4),RANDBETWEEN(2,7))</f>
        <v>3</v>
      </c>
      <c r="O255" s="61" t="str">
        <f>IF(COUNTIF($A$2:A255,A255)=1,SUMIFS(tblSales[Revenue],tblSales[Order ID],tblSales[[#This Row],[Order ID]]),"")</f>
        <v/>
      </c>
      <c r="P255" t="str">
        <f>TEXT(tblSales[[#This Row],[Date]],"ddd")</f>
        <v>Fri</v>
      </c>
      <c r="Q255">
        <f>1/COUNTIF(tblSales[Order ID],tblSales[[#This Row],[Order ID]])</f>
        <v>0.16666666666666666</v>
      </c>
    </row>
    <row r="256" spans="1:17" x14ac:dyDescent="0.3">
      <c r="A256">
        <v>202005</v>
      </c>
      <c r="B256" s="15">
        <v>45485</v>
      </c>
      <c r="C256">
        <v>120115</v>
      </c>
      <c r="D256">
        <v>100252</v>
      </c>
      <c r="E256" t="s">
        <v>1046</v>
      </c>
      <c r="F256" t="s">
        <v>158</v>
      </c>
      <c r="G256">
        <v>1</v>
      </c>
      <c r="H256" s="59">
        <v>449</v>
      </c>
      <c r="I256" t="s">
        <v>1041</v>
      </c>
      <c r="J256" t="s">
        <v>14</v>
      </c>
      <c r="K256" s="60" t="s">
        <v>14</v>
      </c>
      <c r="L256" s="59">
        <v>0</v>
      </c>
      <c r="M256" s="61">
        <v>449</v>
      </c>
      <c r="N256">
        <f ca="1">IF(LEFT(tblSales[[#This Row],[Category]],1)="A",RANDBETWEEN(1,4),RANDBETWEEN(2,7))</f>
        <v>6</v>
      </c>
      <c r="O256" s="61" t="str">
        <f>IF(COUNTIF($A$2:A256,A256)=1,SUMIFS(tblSales[Revenue],tblSales[Order ID],tblSales[[#This Row],[Order ID]]),"")</f>
        <v/>
      </c>
      <c r="P256" t="str">
        <f>TEXT(tblSales[[#This Row],[Date]],"ddd")</f>
        <v>Fri</v>
      </c>
      <c r="Q256">
        <f>1/COUNTIF(tblSales[Order ID],tblSales[[#This Row],[Order ID]])</f>
        <v>0.16666666666666666</v>
      </c>
    </row>
    <row r="257" spans="1:17" x14ac:dyDescent="0.3">
      <c r="A257">
        <v>202005</v>
      </c>
      <c r="B257" s="15">
        <v>45485</v>
      </c>
      <c r="C257">
        <v>120115</v>
      </c>
      <c r="D257">
        <v>300185</v>
      </c>
      <c r="E257" t="s">
        <v>1040</v>
      </c>
      <c r="F257" t="s">
        <v>1049</v>
      </c>
      <c r="G257">
        <v>1</v>
      </c>
      <c r="H257" s="59">
        <v>29.99</v>
      </c>
      <c r="I257" t="s">
        <v>1041</v>
      </c>
      <c r="J257" t="s">
        <v>14</v>
      </c>
      <c r="K257" s="60" t="s">
        <v>14</v>
      </c>
      <c r="L257" s="59">
        <v>0</v>
      </c>
      <c r="M257" s="61">
        <v>29.99</v>
      </c>
      <c r="N257">
        <f ca="1">IF(LEFT(tblSales[[#This Row],[Category]],1)="A",RANDBETWEEN(1,4),RANDBETWEEN(2,7))</f>
        <v>3</v>
      </c>
      <c r="O257" s="61" t="str">
        <f>IF(COUNTIF($A$2:A257,A257)=1,SUMIFS(tblSales[Revenue],tblSales[Order ID],tblSales[[#This Row],[Order ID]]),"")</f>
        <v/>
      </c>
      <c r="P257" t="str">
        <f>TEXT(tblSales[[#This Row],[Date]],"ddd")</f>
        <v>Fri</v>
      </c>
      <c r="Q257">
        <f>1/COUNTIF(tblSales[Order ID],tblSales[[#This Row],[Order ID]])</f>
        <v>0.16666666666666666</v>
      </c>
    </row>
    <row r="258" spans="1:17" x14ac:dyDescent="0.3">
      <c r="A258">
        <v>202005</v>
      </c>
      <c r="B258" s="15">
        <v>45485</v>
      </c>
      <c r="C258">
        <v>120115</v>
      </c>
      <c r="D258">
        <v>200556</v>
      </c>
      <c r="E258" t="s">
        <v>1043</v>
      </c>
      <c r="F258" t="s">
        <v>1044</v>
      </c>
      <c r="G258">
        <v>1</v>
      </c>
      <c r="H258" s="59">
        <v>64.989999999999995</v>
      </c>
      <c r="I258" t="s">
        <v>1041</v>
      </c>
      <c r="J258" t="s">
        <v>14</v>
      </c>
      <c r="K258" s="60" t="s">
        <v>14</v>
      </c>
      <c r="L258" s="59">
        <v>0</v>
      </c>
      <c r="M258" s="61">
        <v>64.989999999999995</v>
      </c>
      <c r="N258">
        <f ca="1">IF(LEFT(tblSales[[#This Row],[Category]],1)="A",RANDBETWEEN(1,4),RANDBETWEEN(2,7))</f>
        <v>1</v>
      </c>
      <c r="O258" s="61" t="str">
        <f>IF(COUNTIF($A$2:A258,A258)=1,SUMIFS(tblSales[Revenue],tblSales[Order ID],tblSales[[#This Row],[Order ID]]),"")</f>
        <v/>
      </c>
      <c r="P258" t="str">
        <f>TEXT(tblSales[[#This Row],[Date]],"ddd")</f>
        <v>Fri</v>
      </c>
      <c r="Q258">
        <f>1/COUNTIF(tblSales[Order ID],tblSales[[#This Row],[Order ID]])</f>
        <v>0.16666666666666666</v>
      </c>
    </row>
    <row r="259" spans="1:17" x14ac:dyDescent="0.3">
      <c r="A259">
        <v>202005</v>
      </c>
      <c r="B259" s="15">
        <v>45485</v>
      </c>
      <c r="C259">
        <v>120115</v>
      </c>
      <c r="D259">
        <v>100252</v>
      </c>
      <c r="E259" t="s">
        <v>1046</v>
      </c>
      <c r="F259" t="s">
        <v>158</v>
      </c>
      <c r="G259">
        <v>1</v>
      </c>
      <c r="H259" s="59">
        <v>449</v>
      </c>
      <c r="I259" t="s">
        <v>1041</v>
      </c>
      <c r="J259" t="s">
        <v>14</v>
      </c>
      <c r="K259" s="60" t="s">
        <v>14</v>
      </c>
      <c r="L259" s="59">
        <v>0</v>
      </c>
      <c r="M259" s="61">
        <v>449</v>
      </c>
      <c r="N259">
        <f ca="1">IF(LEFT(tblSales[[#This Row],[Category]],1)="A",RANDBETWEEN(1,4),RANDBETWEEN(2,7))</f>
        <v>2</v>
      </c>
      <c r="O259" s="61" t="str">
        <f>IF(COUNTIF($A$2:A259,A259)=1,SUMIFS(tblSales[Revenue],tblSales[Order ID],tblSales[[#This Row],[Order ID]]),"")</f>
        <v/>
      </c>
      <c r="P259" t="str">
        <f>TEXT(tblSales[[#This Row],[Date]],"ddd")</f>
        <v>Fri</v>
      </c>
      <c r="Q259">
        <f>1/COUNTIF(tblSales[Order ID],tblSales[[#This Row],[Order ID]])</f>
        <v>0.16666666666666666</v>
      </c>
    </row>
    <row r="260" spans="1:17" x14ac:dyDescent="0.3">
      <c r="A260">
        <v>202006</v>
      </c>
      <c r="B260" s="15">
        <v>45492</v>
      </c>
      <c r="C260">
        <v>105684</v>
      </c>
      <c r="D260">
        <v>200555</v>
      </c>
      <c r="E260" t="s">
        <v>1043</v>
      </c>
      <c r="F260" t="s">
        <v>1063</v>
      </c>
      <c r="G260">
        <v>1</v>
      </c>
      <c r="H260" s="59">
        <v>39.99</v>
      </c>
      <c r="I260" t="s">
        <v>1041</v>
      </c>
      <c r="J260" t="s">
        <v>14</v>
      </c>
      <c r="K260" s="60" t="s">
        <v>14</v>
      </c>
      <c r="L260" s="59">
        <v>0</v>
      </c>
      <c r="M260" s="61">
        <v>39.99</v>
      </c>
      <c r="N260">
        <f ca="1">IF(LEFT(tblSales[[#This Row],[Category]],1)="A",RANDBETWEEN(1,4),RANDBETWEEN(2,7))</f>
        <v>4</v>
      </c>
      <c r="O260" s="61">
        <f>IF(COUNTIF($A$2:A260,A260)=1,SUMIFS(tblSales[Revenue],tblSales[Order ID],tblSales[[#This Row],[Order ID]]),"")</f>
        <v>115.94999999999999</v>
      </c>
      <c r="P260" t="str">
        <f>TEXT(tblSales[[#This Row],[Date]],"ddd")</f>
        <v>Fri</v>
      </c>
      <c r="Q260">
        <f>1/COUNTIF(tblSales[Order ID],tblSales[[#This Row],[Order ID]])</f>
        <v>0.5</v>
      </c>
    </row>
    <row r="261" spans="1:17" x14ac:dyDescent="0.3">
      <c r="A261">
        <v>202006</v>
      </c>
      <c r="B261" s="15">
        <v>45492</v>
      </c>
      <c r="C261">
        <v>105684</v>
      </c>
      <c r="D261">
        <v>200549</v>
      </c>
      <c r="E261" t="s">
        <v>1043</v>
      </c>
      <c r="F261" t="s">
        <v>1042</v>
      </c>
      <c r="G261">
        <v>4</v>
      </c>
      <c r="H261" s="59">
        <v>18.989999999999998</v>
      </c>
      <c r="I261" t="s">
        <v>1041</v>
      </c>
      <c r="J261" t="s">
        <v>14</v>
      </c>
      <c r="K261" s="60" t="s">
        <v>14</v>
      </c>
      <c r="L261" s="59">
        <v>0</v>
      </c>
      <c r="M261" s="61">
        <v>75.959999999999994</v>
      </c>
      <c r="N261">
        <f ca="1">IF(LEFT(tblSales[[#This Row],[Category]],1)="A",RANDBETWEEN(1,4),RANDBETWEEN(2,7))</f>
        <v>2</v>
      </c>
      <c r="O261" s="61" t="str">
        <f>IF(COUNTIF($A$2:A261,A261)=1,SUMIFS(tblSales[Revenue],tblSales[Order ID],tblSales[[#This Row],[Order ID]]),"")</f>
        <v/>
      </c>
      <c r="P261" t="str">
        <f>TEXT(tblSales[[#This Row],[Date]],"ddd")</f>
        <v>Fri</v>
      </c>
      <c r="Q261">
        <f>1/COUNTIF(tblSales[Order ID],tblSales[[#This Row],[Order ID]])</f>
        <v>0.5</v>
      </c>
    </row>
    <row r="262" spans="1:17" x14ac:dyDescent="0.3">
      <c r="A262">
        <v>202007</v>
      </c>
      <c r="B262" s="15">
        <v>45492</v>
      </c>
      <c r="C262">
        <v>113820</v>
      </c>
      <c r="D262">
        <v>100250</v>
      </c>
      <c r="E262" t="s">
        <v>1046</v>
      </c>
      <c r="F262" t="s">
        <v>202</v>
      </c>
      <c r="G262">
        <v>1</v>
      </c>
      <c r="H262" s="59">
        <v>189</v>
      </c>
      <c r="I262" t="s">
        <v>1041</v>
      </c>
      <c r="J262" t="s">
        <v>14</v>
      </c>
      <c r="K262" s="60" t="s">
        <v>14</v>
      </c>
      <c r="L262" s="59">
        <v>0</v>
      </c>
      <c r="M262" s="61">
        <v>189</v>
      </c>
      <c r="N262">
        <f ca="1">IF(LEFT(tblSales[[#This Row],[Category]],1)="A",RANDBETWEEN(1,4),RANDBETWEEN(2,7))</f>
        <v>3</v>
      </c>
      <c r="O262" s="61">
        <f>IF(COUNTIF($A$2:A262,A262)=1,SUMIFS(tblSales[Revenue],tblSales[Order ID],tblSales[[#This Row],[Order ID]]),"")</f>
        <v>189</v>
      </c>
      <c r="P262" t="str">
        <f>TEXT(tblSales[[#This Row],[Date]],"ddd")</f>
        <v>Fri</v>
      </c>
      <c r="Q262">
        <f>1/COUNTIF(tblSales[Order ID],tblSales[[#This Row],[Order ID]])</f>
        <v>1</v>
      </c>
    </row>
    <row r="263" spans="1:17" x14ac:dyDescent="0.3">
      <c r="A263">
        <v>202008</v>
      </c>
      <c r="B263" s="15">
        <v>45483</v>
      </c>
      <c r="C263">
        <v>124781</v>
      </c>
      <c r="D263">
        <v>200556</v>
      </c>
      <c r="E263" t="s">
        <v>1043</v>
      </c>
      <c r="F263" t="s">
        <v>1044</v>
      </c>
      <c r="G263">
        <v>1</v>
      </c>
      <c r="H263" s="59">
        <v>64.989999999999995</v>
      </c>
      <c r="I263" t="s">
        <v>1041</v>
      </c>
      <c r="J263" t="s">
        <v>14</v>
      </c>
      <c r="K263" s="60" t="s">
        <v>14</v>
      </c>
      <c r="L263" s="59">
        <v>0</v>
      </c>
      <c r="M263" s="61">
        <v>64.989999999999995</v>
      </c>
      <c r="N263">
        <f ca="1">IF(LEFT(tblSales[[#This Row],[Category]],1)="A",RANDBETWEEN(1,4),RANDBETWEEN(2,7))</f>
        <v>1</v>
      </c>
      <c r="O263" s="61">
        <f>IF(COUNTIF($A$2:A263,A263)=1,SUMIFS(tblSales[Revenue],tblSales[Order ID],tblSales[[#This Row],[Order ID]]),"")</f>
        <v>2611.9899999999998</v>
      </c>
      <c r="P263" t="str">
        <f>TEXT(tblSales[[#This Row],[Date]],"ddd")</f>
        <v>Wed</v>
      </c>
      <c r="Q263">
        <f>1/COUNTIF(tblSales[Order ID],tblSales[[#This Row],[Order ID]])</f>
        <v>0.25</v>
      </c>
    </row>
    <row r="264" spans="1:17" x14ac:dyDescent="0.3">
      <c r="A264">
        <v>202008</v>
      </c>
      <c r="B264" s="15">
        <v>45483</v>
      </c>
      <c r="C264">
        <v>124781</v>
      </c>
      <c r="D264">
        <v>100252</v>
      </c>
      <c r="E264" t="s">
        <v>1046</v>
      </c>
      <c r="F264" t="s">
        <v>158</v>
      </c>
      <c r="G264">
        <v>1</v>
      </c>
      <c r="H264" s="59">
        <v>449</v>
      </c>
      <c r="I264" t="s">
        <v>1041</v>
      </c>
      <c r="J264" t="s">
        <v>14</v>
      </c>
      <c r="K264" s="60" t="s">
        <v>14</v>
      </c>
      <c r="L264" s="59">
        <v>0</v>
      </c>
      <c r="M264" s="61">
        <v>449</v>
      </c>
      <c r="N264">
        <f ca="1">IF(LEFT(tblSales[[#This Row],[Category]],1)="A",RANDBETWEEN(1,4),RANDBETWEEN(2,7))</f>
        <v>2</v>
      </c>
      <c r="O264" s="61" t="str">
        <f>IF(COUNTIF($A$2:A264,A264)=1,SUMIFS(tblSales[Revenue],tblSales[Order ID],tblSales[[#This Row],[Order ID]]),"")</f>
        <v/>
      </c>
      <c r="P264" t="str">
        <f>TEXT(tblSales[[#This Row],[Date]],"ddd")</f>
        <v>Wed</v>
      </c>
      <c r="Q264">
        <f>1/COUNTIF(tblSales[Order ID],tblSales[[#This Row],[Order ID]])</f>
        <v>0.25</v>
      </c>
    </row>
    <row r="265" spans="1:17" x14ac:dyDescent="0.3">
      <c r="A265">
        <v>202008</v>
      </c>
      <c r="B265" s="15">
        <v>45483</v>
      </c>
      <c r="C265">
        <v>124781</v>
      </c>
      <c r="D265">
        <v>100254</v>
      </c>
      <c r="E265" t="s">
        <v>1046</v>
      </c>
      <c r="F265" t="s">
        <v>164</v>
      </c>
      <c r="G265">
        <v>1</v>
      </c>
      <c r="H265" s="59">
        <v>799</v>
      </c>
      <c r="I265" t="s">
        <v>1041</v>
      </c>
      <c r="J265" t="s">
        <v>14</v>
      </c>
      <c r="K265" s="60" t="s">
        <v>14</v>
      </c>
      <c r="L265" s="59">
        <v>0</v>
      </c>
      <c r="M265" s="61">
        <v>799</v>
      </c>
      <c r="N265">
        <f ca="1">IF(LEFT(tblSales[[#This Row],[Category]],1)="A",RANDBETWEEN(1,4),RANDBETWEEN(2,7))</f>
        <v>4</v>
      </c>
      <c r="O265" s="61" t="str">
        <f>IF(COUNTIF($A$2:A265,A265)=1,SUMIFS(tblSales[Revenue],tblSales[Order ID],tblSales[[#This Row],[Order ID]]),"")</f>
        <v/>
      </c>
      <c r="P265" t="str">
        <f>TEXT(tblSales[[#This Row],[Date]],"ddd")</f>
        <v>Wed</v>
      </c>
      <c r="Q265">
        <f>1/COUNTIF(tblSales[Order ID],tblSales[[#This Row],[Order ID]])</f>
        <v>0.25</v>
      </c>
    </row>
    <row r="266" spans="1:17" x14ac:dyDescent="0.3">
      <c r="A266">
        <v>202008</v>
      </c>
      <c r="B266" s="15">
        <v>45483</v>
      </c>
      <c r="C266">
        <v>124781</v>
      </c>
      <c r="D266">
        <v>100255</v>
      </c>
      <c r="E266" t="s">
        <v>1046</v>
      </c>
      <c r="F266" t="s">
        <v>172</v>
      </c>
      <c r="G266">
        <v>1</v>
      </c>
      <c r="H266" s="59">
        <v>1299</v>
      </c>
      <c r="I266" t="s">
        <v>1041</v>
      </c>
      <c r="J266" t="s">
        <v>14</v>
      </c>
      <c r="K266" s="60" t="s">
        <v>14</v>
      </c>
      <c r="L266" s="59">
        <v>0</v>
      </c>
      <c r="M266" s="61">
        <v>1299</v>
      </c>
      <c r="N266">
        <f ca="1">IF(LEFT(tblSales[[#This Row],[Category]],1)="A",RANDBETWEEN(1,4),RANDBETWEEN(2,7))</f>
        <v>7</v>
      </c>
      <c r="O266" s="61" t="str">
        <f>IF(COUNTIF($A$2:A266,A266)=1,SUMIFS(tblSales[Revenue],tblSales[Order ID],tblSales[[#This Row],[Order ID]]),"")</f>
        <v/>
      </c>
      <c r="P266" t="str">
        <f>TEXT(tblSales[[#This Row],[Date]],"ddd")</f>
        <v>Wed</v>
      </c>
      <c r="Q266">
        <f>1/COUNTIF(tblSales[Order ID],tblSales[[#This Row],[Order ID]])</f>
        <v>0.25</v>
      </c>
    </row>
    <row r="267" spans="1:17" x14ac:dyDescent="0.3">
      <c r="A267">
        <v>202009</v>
      </c>
      <c r="B267" s="15">
        <v>45484</v>
      </c>
      <c r="C267">
        <v>121178</v>
      </c>
      <c r="D267">
        <v>200559</v>
      </c>
      <c r="E267" t="s">
        <v>1043</v>
      </c>
      <c r="F267" t="s">
        <v>1045</v>
      </c>
      <c r="G267">
        <v>5</v>
      </c>
      <c r="H267" s="59">
        <v>59.99</v>
      </c>
      <c r="I267" t="s">
        <v>1041</v>
      </c>
      <c r="J267" t="s">
        <v>14</v>
      </c>
      <c r="K267" s="60" t="s">
        <v>14</v>
      </c>
      <c r="L267" s="59">
        <v>0</v>
      </c>
      <c r="M267" s="61">
        <v>299.95</v>
      </c>
      <c r="N267">
        <f ca="1">IF(LEFT(tblSales[[#This Row],[Category]],1)="A",RANDBETWEEN(1,4),RANDBETWEEN(2,7))</f>
        <v>4</v>
      </c>
      <c r="O267" s="61">
        <f>IF(COUNTIF($A$2:A267,A267)=1,SUMIFS(tblSales[Revenue],tblSales[Order ID],tblSales[[#This Row],[Order ID]]),"")</f>
        <v>895.90000000000009</v>
      </c>
      <c r="P267" t="str">
        <f>TEXT(tblSales[[#This Row],[Date]],"ddd")</f>
        <v>Thu</v>
      </c>
      <c r="Q267">
        <f>1/COUNTIF(tblSales[Order ID],tblSales[[#This Row],[Order ID]])</f>
        <v>0.2</v>
      </c>
    </row>
    <row r="268" spans="1:17" x14ac:dyDescent="0.3">
      <c r="A268">
        <v>202009</v>
      </c>
      <c r="B268" s="15">
        <v>45484</v>
      </c>
      <c r="C268">
        <v>121178</v>
      </c>
      <c r="D268">
        <v>100252</v>
      </c>
      <c r="E268" t="s">
        <v>1046</v>
      </c>
      <c r="F268" t="s">
        <v>158</v>
      </c>
      <c r="G268">
        <v>1</v>
      </c>
      <c r="H268" s="59">
        <v>449</v>
      </c>
      <c r="I268" t="s">
        <v>1041</v>
      </c>
      <c r="J268" t="s">
        <v>14</v>
      </c>
      <c r="K268" s="60" t="s">
        <v>14</v>
      </c>
      <c r="L268" s="59">
        <v>0</v>
      </c>
      <c r="M268" s="61">
        <v>449</v>
      </c>
      <c r="N268">
        <f ca="1">IF(LEFT(tblSales[[#This Row],[Category]],1)="A",RANDBETWEEN(1,4),RANDBETWEEN(2,7))</f>
        <v>6</v>
      </c>
      <c r="O268" s="61" t="str">
        <f>IF(COUNTIF($A$2:A268,A268)=1,SUMIFS(tblSales[Revenue],tblSales[Order ID],tblSales[[#This Row],[Order ID]]),"")</f>
        <v/>
      </c>
      <c r="P268" t="str">
        <f>TEXT(tblSales[[#This Row],[Date]],"ddd")</f>
        <v>Thu</v>
      </c>
      <c r="Q268">
        <f>1/COUNTIF(tblSales[Order ID],tblSales[[#This Row],[Order ID]])</f>
        <v>0.2</v>
      </c>
    </row>
    <row r="269" spans="1:17" x14ac:dyDescent="0.3">
      <c r="A269">
        <v>202009</v>
      </c>
      <c r="B269" s="15">
        <v>45484</v>
      </c>
      <c r="C269">
        <v>121178</v>
      </c>
      <c r="D269">
        <v>300185</v>
      </c>
      <c r="E269" t="s">
        <v>1040</v>
      </c>
      <c r="F269" t="s">
        <v>1049</v>
      </c>
      <c r="G269">
        <v>1</v>
      </c>
      <c r="H269" s="59">
        <v>29.99</v>
      </c>
      <c r="I269" t="s">
        <v>1041</v>
      </c>
      <c r="J269" t="s">
        <v>14</v>
      </c>
      <c r="K269" s="60" t="s">
        <v>14</v>
      </c>
      <c r="L269" s="59">
        <v>0</v>
      </c>
      <c r="M269" s="61">
        <v>29.99</v>
      </c>
      <c r="N269">
        <f ca="1">IF(LEFT(tblSales[[#This Row],[Category]],1)="A",RANDBETWEEN(1,4),RANDBETWEEN(2,7))</f>
        <v>1</v>
      </c>
      <c r="O269" s="61" t="str">
        <f>IF(COUNTIF($A$2:A269,A269)=1,SUMIFS(tblSales[Revenue],tblSales[Order ID],tblSales[[#This Row],[Order ID]]),"")</f>
        <v/>
      </c>
      <c r="P269" t="str">
        <f>TEXT(tblSales[[#This Row],[Date]],"ddd")</f>
        <v>Thu</v>
      </c>
      <c r="Q269">
        <f>1/COUNTIF(tblSales[Order ID],tblSales[[#This Row],[Order ID]])</f>
        <v>0.2</v>
      </c>
    </row>
    <row r="270" spans="1:17" x14ac:dyDescent="0.3">
      <c r="A270">
        <v>202009</v>
      </c>
      <c r="B270" s="15">
        <v>45484</v>
      </c>
      <c r="C270">
        <v>121178</v>
      </c>
      <c r="D270">
        <v>200559</v>
      </c>
      <c r="E270" t="s">
        <v>1043</v>
      </c>
      <c r="F270" t="s">
        <v>1045</v>
      </c>
      <c r="G270">
        <v>1</v>
      </c>
      <c r="H270" s="59">
        <v>59.99</v>
      </c>
      <c r="I270" t="s">
        <v>1041</v>
      </c>
      <c r="J270" t="s">
        <v>14</v>
      </c>
      <c r="K270" s="60" t="s">
        <v>14</v>
      </c>
      <c r="L270" s="59">
        <v>0</v>
      </c>
      <c r="M270" s="61">
        <v>59.99</v>
      </c>
      <c r="N270">
        <f ca="1">IF(LEFT(tblSales[[#This Row],[Category]],1)="A",RANDBETWEEN(1,4),RANDBETWEEN(2,7))</f>
        <v>4</v>
      </c>
      <c r="O270" s="61" t="str">
        <f>IF(COUNTIF($A$2:A270,A270)=1,SUMIFS(tblSales[Revenue],tblSales[Order ID],tblSales[[#This Row],[Order ID]]),"")</f>
        <v/>
      </c>
      <c r="P270" t="str">
        <f>TEXT(tblSales[[#This Row],[Date]],"ddd")</f>
        <v>Thu</v>
      </c>
      <c r="Q270">
        <f>1/COUNTIF(tblSales[Order ID],tblSales[[#This Row],[Order ID]])</f>
        <v>0.2</v>
      </c>
    </row>
    <row r="271" spans="1:17" x14ac:dyDescent="0.3">
      <c r="A271">
        <v>202009</v>
      </c>
      <c r="B271" s="15">
        <v>45484</v>
      </c>
      <c r="C271">
        <v>121178</v>
      </c>
      <c r="D271">
        <v>200549</v>
      </c>
      <c r="E271" t="s">
        <v>1043</v>
      </c>
      <c r="F271" t="s">
        <v>1042</v>
      </c>
      <c r="G271">
        <v>3</v>
      </c>
      <c r="H271" s="59">
        <v>18.989999999999998</v>
      </c>
      <c r="I271" t="s">
        <v>1041</v>
      </c>
      <c r="J271" t="s">
        <v>14</v>
      </c>
      <c r="K271" s="60" t="s">
        <v>14</v>
      </c>
      <c r="L271" s="59">
        <v>0</v>
      </c>
      <c r="M271" s="61">
        <v>56.97</v>
      </c>
      <c r="N271">
        <f ca="1">IF(LEFT(tblSales[[#This Row],[Category]],1)="A",RANDBETWEEN(1,4),RANDBETWEEN(2,7))</f>
        <v>3</v>
      </c>
      <c r="O271" s="61" t="str">
        <f>IF(COUNTIF($A$2:A271,A271)=1,SUMIFS(tblSales[Revenue],tblSales[Order ID],tblSales[[#This Row],[Order ID]]),"")</f>
        <v/>
      </c>
      <c r="P271" t="str">
        <f>TEXT(tblSales[[#This Row],[Date]],"ddd")</f>
        <v>Thu</v>
      </c>
      <c r="Q271">
        <f>1/COUNTIF(tblSales[Order ID],tblSales[[#This Row],[Order ID]])</f>
        <v>0.2</v>
      </c>
    </row>
    <row r="272" spans="1:17" x14ac:dyDescent="0.3">
      <c r="A272">
        <v>202010</v>
      </c>
      <c r="B272" s="15">
        <v>45493</v>
      </c>
      <c r="C272">
        <v>113848</v>
      </c>
      <c r="D272">
        <v>200548</v>
      </c>
      <c r="E272" t="s">
        <v>1043</v>
      </c>
      <c r="F272" t="s">
        <v>1059</v>
      </c>
      <c r="G272">
        <v>1</v>
      </c>
      <c r="H272" s="59">
        <v>29.99</v>
      </c>
      <c r="I272" t="s">
        <v>1041</v>
      </c>
      <c r="J272" t="s">
        <v>14</v>
      </c>
      <c r="K272" s="60" t="s">
        <v>14</v>
      </c>
      <c r="L272" s="59">
        <v>0</v>
      </c>
      <c r="M272" s="61">
        <v>29.99</v>
      </c>
      <c r="N272">
        <f ca="1">IF(LEFT(tblSales[[#This Row],[Category]],1)="A",RANDBETWEEN(1,4),RANDBETWEEN(2,7))</f>
        <v>4</v>
      </c>
      <c r="O272" s="61">
        <f>IF(COUNTIF($A$2:A272,A272)=1,SUMIFS(tblSales[Revenue],tblSales[Order ID],tblSales[[#This Row],[Order ID]]),"")</f>
        <v>29.99</v>
      </c>
      <c r="P272" t="str">
        <f>TEXT(tblSales[[#This Row],[Date]],"ddd")</f>
        <v>Sat</v>
      </c>
      <c r="Q272">
        <f>1/COUNTIF(tblSales[Order ID],tblSales[[#This Row],[Order ID]])</f>
        <v>1</v>
      </c>
    </row>
    <row r="273" spans="1:17" x14ac:dyDescent="0.3">
      <c r="A273">
        <v>202011</v>
      </c>
      <c r="B273" s="15">
        <v>45492</v>
      </c>
      <c r="C273">
        <v>118499</v>
      </c>
      <c r="D273">
        <v>200549</v>
      </c>
      <c r="E273" t="s">
        <v>1043</v>
      </c>
      <c r="F273" t="s">
        <v>1042</v>
      </c>
      <c r="G273">
        <v>1</v>
      </c>
      <c r="H273" s="59">
        <v>18.989999999999998</v>
      </c>
      <c r="I273" t="s">
        <v>1041</v>
      </c>
      <c r="J273" t="s">
        <v>14</v>
      </c>
      <c r="K273" s="60" t="s">
        <v>14</v>
      </c>
      <c r="L273" s="59">
        <v>0</v>
      </c>
      <c r="M273" s="61">
        <v>18.989999999999998</v>
      </c>
      <c r="N273">
        <f ca="1">IF(LEFT(tblSales[[#This Row],[Category]],1)="A",RANDBETWEEN(1,4),RANDBETWEEN(2,7))</f>
        <v>1</v>
      </c>
      <c r="O273" s="61">
        <f>IF(COUNTIF($A$2:A273,A273)=1,SUMIFS(tblSales[Revenue],tblSales[Order ID],tblSales[[#This Row],[Order ID]]),"")</f>
        <v>4769.9299999999994</v>
      </c>
      <c r="P273" t="str">
        <f>TEXT(tblSales[[#This Row],[Date]],"ddd")</f>
        <v>Fri</v>
      </c>
      <c r="Q273">
        <f>1/COUNTIF(tblSales[Order ID],tblSales[[#This Row],[Order ID]])</f>
        <v>0.2</v>
      </c>
    </row>
    <row r="274" spans="1:17" x14ac:dyDescent="0.3">
      <c r="A274">
        <v>202011</v>
      </c>
      <c r="B274" s="15">
        <v>45492</v>
      </c>
      <c r="C274">
        <v>118499</v>
      </c>
      <c r="D274">
        <v>100256</v>
      </c>
      <c r="E274" t="s">
        <v>1046</v>
      </c>
      <c r="F274" t="s">
        <v>216</v>
      </c>
      <c r="G274">
        <v>3</v>
      </c>
      <c r="H274" s="59">
        <v>1499</v>
      </c>
      <c r="I274" t="s">
        <v>1041</v>
      </c>
      <c r="J274" t="s">
        <v>14</v>
      </c>
      <c r="K274" s="60" t="s">
        <v>14</v>
      </c>
      <c r="L274" s="59">
        <v>0</v>
      </c>
      <c r="M274" s="61">
        <v>4497</v>
      </c>
      <c r="N274">
        <f ca="1">IF(LEFT(tblSales[[#This Row],[Category]],1)="A",RANDBETWEEN(1,4),RANDBETWEEN(2,7))</f>
        <v>7</v>
      </c>
      <c r="O274" s="61" t="str">
        <f>IF(COUNTIF($A$2:A274,A274)=1,SUMIFS(tblSales[Revenue],tblSales[Order ID],tblSales[[#This Row],[Order ID]]),"")</f>
        <v/>
      </c>
      <c r="P274" t="str">
        <f>TEXT(tblSales[[#This Row],[Date]],"ddd")</f>
        <v>Fri</v>
      </c>
      <c r="Q274">
        <f>1/COUNTIF(tblSales[Order ID],tblSales[[#This Row],[Order ID]])</f>
        <v>0.2</v>
      </c>
    </row>
    <row r="275" spans="1:17" x14ac:dyDescent="0.3">
      <c r="A275">
        <v>202011</v>
      </c>
      <c r="B275" s="15">
        <v>45492</v>
      </c>
      <c r="C275">
        <v>118499</v>
      </c>
      <c r="D275">
        <v>200559</v>
      </c>
      <c r="E275" t="s">
        <v>1043</v>
      </c>
      <c r="F275" t="s">
        <v>1045</v>
      </c>
      <c r="G275">
        <v>3</v>
      </c>
      <c r="H275" s="59">
        <v>59.99</v>
      </c>
      <c r="I275" t="s">
        <v>1041</v>
      </c>
      <c r="J275" t="s">
        <v>14</v>
      </c>
      <c r="K275" s="60" t="s">
        <v>14</v>
      </c>
      <c r="L275" s="59">
        <v>0</v>
      </c>
      <c r="M275" s="61">
        <v>179.97</v>
      </c>
      <c r="N275">
        <f ca="1">IF(LEFT(tblSales[[#This Row],[Category]],1)="A",RANDBETWEEN(1,4),RANDBETWEEN(2,7))</f>
        <v>3</v>
      </c>
      <c r="O275" s="61" t="str">
        <f>IF(COUNTIF($A$2:A275,A275)=1,SUMIFS(tblSales[Revenue],tblSales[Order ID],tblSales[[#This Row],[Order ID]]),"")</f>
        <v/>
      </c>
      <c r="P275" t="str">
        <f>TEXT(tblSales[[#This Row],[Date]],"ddd")</f>
        <v>Fri</v>
      </c>
      <c r="Q275">
        <f>1/COUNTIF(tblSales[Order ID],tblSales[[#This Row],[Order ID]])</f>
        <v>0.2</v>
      </c>
    </row>
    <row r="276" spans="1:17" x14ac:dyDescent="0.3">
      <c r="A276">
        <v>202011</v>
      </c>
      <c r="B276" s="15">
        <v>45492</v>
      </c>
      <c r="C276">
        <v>118499</v>
      </c>
      <c r="D276">
        <v>300191</v>
      </c>
      <c r="E276" t="s">
        <v>1040</v>
      </c>
      <c r="F276" t="s">
        <v>1051</v>
      </c>
      <c r="G276">
        <v>2</v>
      </c>
      <c r="H276" s="59">
        <v>21.99</v>
      </c>
      <c r="I276" t="s">
        <v>1041</v>
      </c>
      <c r="J276" t="s">
        <v>14</v>
      </c>
      <c r="K276" s="60" t="s">
        <v>14</v>
      </c>
      <c r="L276" s="59">
        <v>0</v>
      </c>
      <c r="M276" s="61">
        <v>43.98</v>
      </c>
      <c r="N276">
        <f ca="1">IF(LEFT(tblSales[[#This Row],[Category]],1)="A",RANDBETWEEN(1,4),RANDBETWEEN(2,7))</f>
        <v>1</v>
      </c>
      <c r="O276" s="61" t="str">
        <f>IF(COUNTIF($A$2:A276,A276)=1,SUMIFS(tblSales[Revenue],tblSales[Order ID],tblSales[[#This Row],[Order ID]]),"")</f>
        <v/>
      </c>
      <c r="P276" t="str">
        <f>TEXT(tblSales[[#This Row],[Date]],"ddd")</f>
        <v>Fri</v>
      </c>
      <c r="Q276">
        <f>1/COUNTIF(tblSales[Order ID],tblSales[[#This Row],[Order ID]])</f>
        <v>0.2</v>
      </c>
    </row>
    <row r="277" spans="1:17" x14ac:dyDescent="0.3">
      <c r="A277">
        <v>202011</v>
      </c>
      <c r="B277" s="15">
        <v>45492</v>
      </c>
      <c r="C277">
        <v>118499</v>
      </c>
      <c r="D277">
        <v>300185</v>
      </c>
      <c r="E277" t="s">
        <v>1040</v>
      </c>
      <c r="F277" t="s">
        <v>1049</v>
      </c>
      <c r="G277">
        <v>1</v>
      </c>
      <c r="H277" s="59">
        <v>29.99</v>
      </c>
      <c r="I277" t="s">
        <v>1041</v>
      </c>
      <c r="J277" t="s">
        <v>14</v>
      </c>
      <c r="K277" s="60" t="s">
        <v>14</v>
      </c>
      <c r="L277" s="59">
        <v>0</v>
      </c>
      <c r="M277" s="61">
        <v>29.99</v>
      </c>
      <c r="N277">
        <f ca="1">IF(LEFT(tblSales[[#This Row],[Category]],1)="A",RANDBETWEEN(1,4),RANDBETWEEN(2,7))</f>
        <v>2</v>
      </c>
      <c r="O277" s="61" t="str">
        <f>IF(COUNTIF($A$2:A277,A277)=1,SUMIFS(tblSales[Revenue],tblSales[Order ID],tblSales[[#This Row],[Order ID]]),"")</f>
        <v/>
      </c>
      <c r="P277" t="str">
        <f>TEXT(tblSales[[#This Row],[Date]],"ddd")</f>
        <v>Fri</v>
      </c>
      <c r="Q277">
        <f>1/COUNTIF(tblSales[Order ID],tblSales[[#This Row],[Order ID]])</f>
        <v>0.2</v>
      </c>
    </row>
    <row r="278" spans="1:17" x14ac:dyDescent="0.3">
      <c r="A278">
        <v>202012</v>
      </c>
      <c r="B278" s="15">
        <v>45483</v>
      </c>
      <c r="C278">
        <v>110200</v>
      </c>
      <c r="D278">
        <v>100252</v>
      </c>
      <c r="E278" t="s">
        <v>1046</v>
      </c>
      <c r="F278" t="s">
        <v>158</v>
      </c>
      <c r="G278">
        <v>2</v>
      </c>
      <c r="H278" s="59">
        <v>449</v>
      </c>
      <c r="I278" t="s">
        <v>1041</v>
      </c>
      <c r="J278" t="s">
        <v>14</v>
      </c>
      <c r="K278" s="60" t="s">
        <v>14</v>
      </c>
      <c r="L278" s="59">
        <v>0</v>
      </c>
      <c r="M278" s="61">
        <v>898</v>
      </c>
      <c r="N278">
        <f ca="1">IF(LEFT(tblSales[[#This Row],[Category]],1)="A",RANDBETWEEN(1,4),RANDBETWEEN(2,7))</f>
        <v>6</v>
      </c>
      <c r="O278" s="61">
        <f>IF(COUNTIF($A$2:A278,A278)=1,SUMIFS(tblSales[Revenue],tblSales[Order ID],tblSales[[#This Row],[Order ID]]),"")</f>
        <v>898</v>
      </c>
      <c r="P278" t="str">
        <f>TEXT(tblSales[[#This Row],[Date]],"ddd")</f>
        <v>Wed</v>
      </c>
      <c r="Q278">
        <f>1/COUNTIF(tblSales[Order ID],tblSales[[#This Row],[Order ID]])</f>
        <v>1</v>
      </c>
    </row>
    <row r="279" spans="1:17" x14ac:dyDescent="0.3">
      <c r="A279">
        <v>202013</v>
      </c>
      <c r="B279" s="15">
        <v>45493</v>
      </c>
      <c r="C279">
        <v>110999</v>
      </c>
      <c r="D279">
        <v>200549</v>
      </c>
      <c r="E279" t="s">
        <v>1043</v>
      </c>
      <c r="F279" t="s">
        <v>1042</v>
      </c>
      <c r="G279">
        <v>1</v>
      </c>
      <c r="H279" s="59">
        <v>18.989999999999998</v>
      </c>
      <c r="I279" t="s">
        <v>1041</v>
      </c>
      <c r="J279" t="s">
        <v>14</v>
      </c>
      <c r="K279" s="60" t="s">
        <v>14</v>
      </c>
      <c r="L279" s="59">
        <v>0</v>
      </c>
      <c r="M279" s="61">
        <v>18.989999999999998</v>
      </c>
      <c r="N279">
        <f ca="1">IF(LEFT(tblSales[[#This Row],[Category]],1)="A",RANDBETWEEN(1,4),RANDBETWEEN(2,7))</f>
        <v>2</v>
      </c>
      <c r="O279" s="61">
        <f>IF(COUNTIF($A$2:A279,A279)=1,SUMIFS(tblSales[Revenue],tblSales[Order ID],tblSales[[#This Row],[Order ID]]),"")</f>
        <v>376.92</v>
      </c>
      <c r="P279" t="str">
        <f>TEXT(tblSales[[#This Row],[Date]],"ddd")</f>
        <v>Sat</v>
      </c>
      <c r="Q279">
        <f>1/COUNTIF(tblSales[Order ID],tblSales[[#This Row],[Order ID]])</f>
        <v>0.25</v>
      </c>
    </row>
    <row r="280" spans="1:17" x14ac:dyDescent="0.3">
      <c r="A280">
        <v>202013</v>
      </c>
      <c r="B280" s="15">
        <v>45493</v>
      </c>
      <c r="C280">
        <v>110999</v>
      </c>
      <c r="D280">
        <v>200556</v>
      </c>
      <c r="E280" t="s">
        <v>1043</v>
      </c>
      <c r="F280" t="s">
        <v>1044</v>
      </c>
      <c r="G280">
        <v>4</v>
      </c>
      <c r="H280" s="59">
        <v>64.989999999999995</v>
      </c>
      <c r="I280" t="s">
        <v>1041</v>
      </c>
      <c r="J280" t="s">
        <v>14</v>
      </c>
      <c r="K280" s="60" t="s">
        <v>14</v>
      </c>
      <c r="L280" s="59">
        <v>0</v>
      </c>
      <c r="M280" s="61">
        <v>259.95999999999998</v>
      </c>
      <c r="N280">
        <f ca="1">IF(LEFT(tblSales[[#This Row],[Category]],1)="A",RANDBETWEEN(1,4),RANDBETWEEN(2,7))</f>
        <v>1</v>
      </c>
      <c r="O280" s="61" t="str">
        <f>IF(COUNTIF($A$2:A280,A280)=1,SUMIFS(tblSales[Revenue],tblSales[Order ID],tblSales[[#This Row],[Order ID]]),"")</f>
        <v/>
      </c>
      <c r="P280" t="str">
        <f>TEXT(tblSales[[#This Row],[Date]],"ddd")</f>
        <v>Sat</v>
      </c>
      <c r="Q280">
        <f>1/COUNTIF(tblSales[Order ID],tblSales[[#This Row],[Order ID]])</f>
        <v>0.25</v>
      </c>
    </row>
    <row r="281" spans="1:17" x14ac:dyDescent="0.3">
      <c r="A281">
        <v>202013</v>
      </c>
      <c r="B281" s="15">
        <v>45493</v>
      </c>
      <c r="C281">
        <v>110999</v>
      </c>
      <c r="D281">
        <v>200549</v>
      </c>
      <c r="E281" t="s">
        <v>1043</v>
      </c>
      <c r="F281" t="s">
        <v>1042</v>
      </c>
      <c r="G281">
        <v>2</v>
      </c>
      <c r="H281" s="59">
        <v>18.989999999999998</v>
      </c>
      <c r="I281" t="s">
        <v>1041</v>
      </c>
      <c r="J281" t="s">
        <v>14</v>
      </c>
      <c r="K281" s="60" t="s">
        <v>14</v>
      </c>
      <c r="L281" s="59">
        <v>0</v>
      </c>
      <c r="M281" s="61">
        <v>37.979999999999997</v>
      </c>
      <c r="N281">
        <f ca="1">IF(LEFT(tblSales[[#This Row],[Category]],1)="A",RANDBETWEEN(1,4),RANDBETWEEN(2,7))</f>
        <v>2</v>
      </c>
      <c r="O281" s="61" t="str">
        <f>IF(COUNTIF($A$2:A281,A281)=1,SUMIFS(tblSales[Revenue],tblSales[Order ID],tblSales[[#This Row],[Order ID]]),"")</f>
        <v/>
      </c>
      <c r="P281" t="str">
        <f>TEXT(tblSales[[#This Row],[Date]],"ddd")</f>
        <v>Sat</v>
      </c>
      <c r="Q281">
        <f>1/COUNTIF(tblSales[Order ID],tblSales[[#This Row],[Order ID]])</f>
        <v>0.25</v>
      </c>
    </row>
    <row r="282" spans="1:17" x14ac:dyDescent="0.3">
      <c r="A282">
        <v>202013</v>
      </c>
      <c r="B282" s="15">
        <v>45493</v>
      </c>
      <c r="C282">
        <v>110999</v>
      </c>
      <c r="D282">
        <v>200559</v>
      </c>
      <c r="E282" t="s">
        <v>1043</v>
      </c>
      <c r="F282" t="s">
        <v>1045</v>
      </c>
      <c r="G282">
        <v>1</v>
      </c>
      <c r="H282" s="59">
        <v>59.99</v>
      </c>
      <c r="I282" t="s">
        <v>1041</v>
      </c>
      <c r="J282" t="s">
        <v>14</v>
      </c>
      <c r="K282" s="60" t="s">
        <v>14</v>
      </c>
      <c r="L282" s="59">
        <v>0</v>
      </c>
      <c r="M282" s="61">
        <v>59.99</v>
      </c>
      <c r="N282">
        <f ca="1">IF(LEFT(tblSales[[#This Row],[Category]],1)="A",RANDBETWEEN(1,4),RANDBETWEEN(2,7))</f>
        <v>4</v>
      </c>
      <c r="O282" s="61" t="str">
        <f>IF(COUNTIF($A$2:A282,A282)=1,SUMIFS(tblSales[Revenue],tblSales[Order ID],tblSales[[#This Row],[Order ID]]),"")</f>
        <v/>
      </c>
      <c r="P282" t="str">
        <f>TEXT(tblSales[[#This Row],[Date]],"ddd")</f>
        <v>Sat</v>
      </c>
      <c r="Q282">
        <f>1/COUNTIF(tblSales[Order ID],tblSales[[#This Row],[Order ID]])</f>
        <v>0.25</v>
      </c>
    </row>
    <row r="283" spans="1:17" x14ac:dyDescent="0.3">
      <c r="A283">
        <v>202014</v>
      </c>
      <c r="B283" s="15">
        <v>45492</v>
      </c>
      <c r="C283">
        <v>113319</v>
      </c>
      <c r="D283">
        <v>200557</v>
      </c>
      <c r="E283" t="s">
        <v>1043</v>
      </c>
      <c r="F283" t="s">
        <v>1054</v>
      </c>
      <c r="G283">
        <v>1</v>
      </c>
      <c r="H283" s="59">
        <v>129.99</v>
      </c>
      <c r="I283" t="s">
        <v>1041</v>
      </c>
      <c r="J283" t="s">
        <v>14</v>
      </c>
      <c r="K283" s="60" t="s">
        <v>14</v>
      </c>
      <c r="L283" s="59">
        <v>0</v>
      </c>
      <c r="M283" s="61">
        <v>129.99</v>
      </c>
      <c r="N283">
        <f ca="1">IF(LEFT(tblSales[[#This Row],[Category]],1)="A",RANDBETWEEN(1,4),RANDBETWEEN(2,7))</f>
        <v>2</v>
      </c>
      <c r="O283" s="61">
        <f>IF(COUNTIF($A$2:A283,A283)=1,SUMIFS(tblSales[Revenue],tblSales[Order ID],tblSales[[#This Row],[Order ID]]),"")</f>
        <v>702.96</v>
      </c>
      <c r="P283" t="str">
        <f>TEXT(tblSales[[#This Row],[Date]],"ddd")</f>
        <v>Fri</v>
      </c>
      <c r="Q283">
        <f>1/COUNTIF(tblSales[Order ID],tblSales[[#This Row],[Order ID]])</f>
        <v>0.33333333333333331</v>
      </c>
    </row>
    <row r="284" spans="1:17" x14ac:dyDescent="0.3">
      <c r="A284">
        <v>202014</v>
      </c>
      <c r="B284" s="15">
        <v>45492</v>
      </c>
      <c r="C284">
        <v>113319</v>
      </c>
      <c r="D284">
        <v>100250</v>
      </c>
      <c r="E284" t="s">
        <v>1046</v>
      </c>
      <c r="F284" t="s">
        <v>202</v>
      </c>
      <c r="G284">
        <v>2</v>
      </c>
      <c r="H284" s="59">
        <v>189</v>
      </c>
      <c r="I284" t="s">
        <v>1041</v>
      </c>
      <c r="J284" t="s">
        <v>14</v>
      </c>
      <c r="K284" s="60" t="s">
        <v>14</v>
      </c>
      <c r="L284" s="59">
        <v>0</v>
      </c>
      <c r="M284" s="61">
        <v>378</v>
      </c>
      <c r="N284">
        <f ca="1">IF(LEFT(tblSales[[#This Row],[Category]],1)="A",RANDBETWEEN(1,4),RANDBETWEEN(2,7))</f>
        <v>5</v>
      </c>
      <c r="O284" s="61" t="str">
        <f>IF(COUNTIF($A$2:A284,A284)=1,SUMIFS(tblSales[Revenue],tblSales[Order ID],tblSales[[#This Row],[Order ID]]),"")</f>
        <v/>
      </c>
      <c r="P284" t="str">
        <f>TEXT(tblSales[[#This Row],[Date]],"ddd")</f>
        <v>Fri</v>
      </c>
      <c r="Q284">
        <f>1/COUNTIF(tblSales[Order ID],tblSales[[#This Row],[Order ID]])</f>
        <v>0.33333333333333331</v>
      </c>
    </row>
    <row r="285" spans="1:17" x14ac:dyDescent="0.3">
      <c r="A285">
        <v>202014</v>
      </c>
      <c r="B285" s="15">
        <v>45492</v>
      </c>
      <c r="C285">
        <v>113319</v>
      </c>
      <c r="D285">
        <v>200556</v>
      </c>
      <c r="E285" t="s">
        <v>1043</v>
      </c>
      <c r="F285" t="s">
        <v>1044</v>
      </c>
      <c r="G285">
        <v>3</v>
      </c>
      <c r="H285" s="59">
        <v>64.989999999999995</v>
      </c>
      <c r="I285" t="s">
        <v>1041</v>
      </c>
      <c r="J285" t="s">
        <v>14</v>
      </c>
      <c r="K285" s="60" t="s">
        <v>14</v>
      </c>
      <c r="L285" s="59">
        <v>0</v>
      </c>
      <c r="M285" s="61">
        <v>194.96999999999997</v>
      </c>
      <c r="N285">
        <f ca="1">IF(LEFT(tblSales[[#This Row],[Category]],1)="A",RANDBETWEEN(1,4),RANDBETWEEN(2,7))</f>
        <v>4</v>
      </c>
      <c r="O285" s="61" t="str">
        <f>IF(COUNTIF($A$2:A285,A285)=1,SUMIFS(tblSales[Revenue],tblSales[Order ID],tblSales[[#This Row],[Order ID]]),"")</f>
        <v/>
      </c>
      <c r="P285" t="str">
        <f>TEXT(tblSales[[#This Row],[Date]],"ddd")</f>
        <v>Fri</v>
      </c>
      <c r="Q285">
        <f>1/COUNTIF(tblSales[Order ID],tblSales[[#This Row],[Order ID]])</f>
        <v>0.33333333333333331</v>
      </c>
    </row>
    <row r="286" spans="1:17" x14ac:dyDescent="0.3">
      <c r="A286">
        <v>202015</v>
      </c>
      <c r="B286" s="15">
        <v>45493</v>
      </c>
      <c r="C286">
        <v>115740</v>
      </c>
      <c r="D286">
        <v>200548</v>
      </c>
      <c r="E286" t="s">
        <v>1043</v>
      </c>
      <c r="F286" t="s">
        <v>1059</v>
      </c>
      <c r="G286">
        <v>1</v>
      </c>
      <c r="H286" s="59">
        <v>29.99</v>
      </c>
      <c r="I286" t="s">
        <v>1041</v>
      </c>
      <c r="J286" t="s">
        <v>14</v>
      </c>
      <c r="K286" s="60" t="s">
        <v>14</v>
      </c>
      <c r="L286" s="59">
        <v>0</v>
      </c>
      <c r="M286" s="61">
        <v>29.99</v>
      </c>
      <c r="N286">
        <f ca="1">IF(LEFT(tblSales[[#This Row],[Category]],1)="A",RANDBETWEEN(1,4),RANDBETWEEN(2,7))</f>
        <v>1</v>
      </c>
      <c r="O286" s="61">
        <f>IF(COUNTIF($A$2:A286,A286)=1,SUMIFS(tblSales[Revenue],tblSales[Order ID],tblSales[[#This Row],[Order ID]]),"")</f>
        <v>1083.98</v>
      </c>
      <c r="P286" t="str">
        <f>TEXT(tblSales[[#This Row],[Date]],"ddd")</f>
        <v>Sat</v>
      </c>
      <c r="Q286">
        <f>1/COUNTIF(tblSales[Order ID],tblSales[[#This Row],[Order ID]])</f>
        <v>0.16666666666666666</v>
      </c>
    </row>
    <row r="287" spans="1:17" x14ac:dyDescent="0.3">
      <c r="A287">
        <v>202015</v>
      </c>
      <c r="B287" s="15">
        <v>45493</v>
      </c>
      <c r="C287">
        <v>115740</v>
      </c>
      <c r="D287">
        <v>100250</v>
      </c>
      <c r="E287" t="s">
        <v>1046</v>
      </c>
      <c r="F287" t="s">
        <v>202</v>
      </c>
      <c r="G287">
        <v>2</v>
      </c>
      <c r="H287" s="59">
        <v>189</v>
      </c>
      <c r="I287" t="s">
        <v>1041</v>
      </c>
      <c r="J287" t="s">
        <v>14</v>
      </c>
      <c r="K287" s="60" t="s">
        <v>14</v>
      </c>
      <c r="L287" s="59">
        <v>0</v>
      </c>
      <c r="M287" s="61">
        <v>378</v>
      </c>
      <c r="N287">
        <f ca="1">IF(LEFT(tblSales[[#This Row],[Category]],1)="A",RANDBETWEEN(1,4),RANDBETWEEN(2,7))</f>
        <v>6</v>
      </c>
      <c r="O287" s="61" t="str">
        <f>IF(COUNTIF($A$2:A287,A287)=1,SUMIFS(tblSales[Revenue],tblSales[Order ID],tblSales[[#This Row],[Order ID]]),"")</f>
        <v/>
      </c>
      <c r="P287" t="str">
        <f>TEXT(tblSales[[#This Row],[Date]],"ddd")</f>
        <v>Sat</v>
      </c>
      <c r="Q287">
        <f>1/COUNTIF(tblSales[Order ID],tblSales[[#This Row],[Order ID]])</f>
        <v>0.16666666666666666</v>
      </c>
    </row>
    <row r="288" spans="1:17" x14ac:dyDescent="0.3">
      <c r="A288">
        <v>202015</v>
      </c>
      <c r="B288" s="15">
        <v>45493</v>
      </c>
      <c r="C288">
        <v>115740</v>
      </c>
      <c r="D288">
        <v>200549</v>
      </c>
      <c r="E288" t="s">
        <v>1043</v>
      </c>
      <c r="F288" t="s">
        <v>1042</v>
      </c>
      <c r="G288">
        <v>1</v>
      </c>
      <c r="H288" s="59">
        <v>18.989999999999998</v>
      </c>
      <c r="I288" t="s">
        <v>1041</v>
      </c>
      <c r="J288" t="s">
        <v>14</v>
      </c>
      <c r="K288" s="60" t="s">
        <v>14</v>
      </c>
      <c r="L288" s="59">
        <v>0</v>
      </c>
      <c r="M288" s="61">
        <v>18.989999999999998</v>
      </c>
      <c r="N288">
        <f ca="1">IF(LEFT(tblSales[[#This Row],[Category]],1)="A",RANDBETWEEN(1,4),RANDBETWEEN(2,7))</f>
        <v>2</v>
      </c>
      <c r="O288" s="61" t="str">
        <f>IF(COUNTIF($A$2:A288,A288)=1,SUMIFS(tblSales[Revenue],tblSales[Order ID],tblSales[[#This Row],[Order ID]]),"")</f>
        <v/>
      </c>
      <c r="P288" t="str">
        <f>TEXT(tblSales[[#This Row],[Date]],"ddd")</f>
        <v>Sat</v>
      </c>
      <c r="Q288">
        <f>1/COUNTIF(tblSales[Order ID],tblSales[[#This Row],[Order ID]])</f>
        <v>0.16666666666666666</v>
      </c>
    </row>
    <row r="289" spans="1:17" x14ac:dyDescent="0.3">
      <c r="A289">
        <v>202015</v>
      </c>
      <c r="B289" s="15">
        <v>45493</v>
      </c>
      <c r="C289">
        <v>115740</v>
      </c>
      <c r="D289">
        <v>100253</v>
      </c>
      <c r="E289" t="s">
        <v>1046</v>
      </c>
      <c r="F289" t="s">
        <v>192</v>
      </c>
      <c r="G289">
        <v>1</v>
      </c>
      <c r="H289" s="59">
        <v>279</v>
      </c>
      <c r="I289" t="s">
        <v>1041</v>
      </c>
      <c r="J289" t="s">
        <v>14</v>
      </c>
      <c r="K289" s="60" t="s">
        <v>14</v>
      </c>
      <c r="L289" s="59">
        <v>0</v>
      </c>
      <c r="M289" s="61">
        <v>279</v>
      </c>
      <c r="N289">
        <f ca="1">IF(LEFT(tblSales[[#This Row],[Category]],1)="A",RANDBETWEEN(1,4),RANDBETWEEN(2,7))</f>
        <v>4</v>
      </c>
      <c r="O289" s="61" t="str">
        <f>IF(COUNTIF($A$2:A289,A289)=1,SUMIFS(tblSales[Revenue],tblSales[Order ID],tblSales[[#This Row],[Order ID]]),"")</f>
        <v/>
      </c>
      <c r="P289" t="str">
        <f>TEXT(tblSales[[#This Row],[Date]],"ddd")</f>
        <v>Sat</v>
      </c>
      <c r="Q289">
        <f>1/COUNTIF(tblSales[Order ID],tblSales[[#This Row],[Order ID]])</f>
        <v>0.16666666666666666</v>
      </c>
    </row>
    <row r="290" spans="1:17" x14ac:dyDescent="0.3">
      <c r="A290">
        <v>202015</v>
      </c>
      <c r="B290" s="15">
        <v>45493</v>
      </c>
      <c r="C290">
        <v>115740</v>
      </c>
      <c r="D290">
        <v>100250</v>
      </c>
      <c r="E290" t="s">
        <v>1046</v>
      </c>
      <c r="F290" t="s">
        <v>202</v>
      </c>
      <c r="G290">
        <v>1</v>
      </c>
      <c r="H290" s="59">
        <v>189</v>
      </c>
      <c r="I290" t="s">
        <v>1041</v>
      </c>
      <c r="J290" t="s">
        <v>14</v>
      </c>
      <c r="K290" s="60" t="s">
        <v>14</v>
      </c>
      <c r="L290" s="59">
        <v>0</v>
      </c>
      <c r="M290" s="61">
        <v>189</v>
      </c>
      <c r="N290">
        <f ca="1">IF(LEFT(tblSales[[#This Row],[Category]],1)="A",RANDBETWEEN(1,4),RANDBETWEEN(2,7))</f>
        <v>6</v>
      </c>
      <c r="O290" s="61" t="str">
        <f>IF(COUNTIF($A$2:A290,A290)=1,SUMIFS(tblSales[Revenue],tblSales[Order ID],tblSales[[#This Row],[Order ID]]),"")</f>
        <v/>
      </c>
      <c r="P290" t="str">
        <f>TEXT(tblSales[[#This Row],[Date]],"ddd")</f>
        <v>Sat</v>
      </c>
      <c r="Q290">
        <f>1/COUNTIF(tblSales[Order ID],tblSales[[#This Row],[Order ID]])</f>
        <v>0.16666666666666666</v>
      </c>
    </row>
    <row r="291" spans="1:17" x14ac:dyDescent="0.3">
      <c r="A291">
        <v>202015</v>
      </c>
      <c r="B291" s="15">
        <v>45493</v>
      </c>
      <c r="C291">
        <v>115740</v>
      </c>
      <c r="D291">
        <v>100250</v>
      </c>
      <c r="E291" t="s">
        <v>1046</v>
      </c>
      <c r="F291" t="s">
        <v>202</v>
      </c>
      <c r="G291">
        <v>1</v>
      </c>
      <c r="H291" s="59">
        <v>189</v>
      </c>
      <c r="I291" t="s">
        <v>1041</v>
      </c>
      <c r="J291" t="s">
        <v>14</v>
      </c>
      <c r="K291" s="60" t="s">
        <v>14</v>
      </c>
      <c r="L291" s="59">
        <v>0</v>
      </c>
      <c r="M291" s="61">
        <v>189</v>
      </c>
      <c r="N291">
        <f ca="1">IF(LEFT(tblSales[[#This Row],[Category]],1)="A",RANDBETWEEN(1,4),RANDBETWEEN(2,7))</f>
        <v>4</v>
      </c>
      <c r="O291" s="61" t="str">
        <f>IF(COUNTIF($A$2:A291,A291)=1,SUMIFS(tblSales[Revenue],tblSales[Order ID],tblSales[[#This Row],[Order ID]]),"")</f>
        <v/>
      </c>
      <c r="P291" t="str">
        <f>TEXT(tblSales[[#This Row],[Date]],"ddd")</f>
        <v>Sat</v>
      </c>
      <c r="Q291">
        <f>1/COUNTIF(tblSales[Order ID],tblSales[[#This Row],[Order ID]])</f>
        <v>0.16666666666666666</v>
      </c>
    </row>
    <row r="292" spans="1:17" x14ac:dyDescent="0.3">
      <c r="A292">
        <v>202016</v>
      </c>
      <c r="B292" s="15">
        <v>45490</v>
      </c>
      <c r="C292">
        <v>119017</v>
      </c>
      <c r="D292">
        <v>300185</v>
      </c>
      <c r="E292" t="s">
        <v>1040</v>
      </c>
      <c r="F292" t="s">
        <v>1049</v>
      </c>
      <c r="G292">
        <v>4</v>
      </c>
      <c r="H292" s="59">
        <v>29.99</v>
      </c>
      <c r="I292" t="s">
        <v>1041</v>
      </c>
      <c r="J292" t="s">
        <v>14</v>
      </c>
      <c r="K292" s="60" t="s">
        <v>14</v>
      </c>
      <c r="L292" s="59">
        <v>0</v>
      </c>
      <c r="M292" s="61">
        <v>119.96</v>
      </c>
      <c r="N292">
        <f ca="1">IF(LEFT(tblSales[[#This Row],[Category]],1)="A",RANDBETWEEN(1,4),RANDBETWEEN(2,7))</f>
        <v>3</v>
      </c>
      <c r="O292" s="61">
        <f>IF(COUNTIF($A$2:A292,A292)=1,SUMIFS(tblSales[Revenue],tblSales[Order ID],tblSales[[#This Row],[Order ID]]),"")</f>
        <v>119.96</v>
      </c>
      <c r="P292" t="str">
        <f>TEXT(tblSales[[#This Row],[Date]],"ddd")</f>
        <v>Wed</v>
      </c>
      <c r="Q292">
        <f>1/COUNTIF(tblSales[Order ID],tblSales[[#This Row],[Order ID]])</f>
        <v>1</v>
      </c>
    </row>
    <row r="293" spans="1:17" x14ac:dyDescent="0.3">
      <c r="A293">
        <v>202017</v>
      </c>
      <c r="B293" s="15">
        <v>45483</v>
      </c>
      <c r="C293">
        <v>109729</v>
      </c>
      <c r="D293">
        <v>100250</v>
      </c>
      <c r="E293" t="s">
        <v>1046</v>
      </c>
      <c r="F293" t="s">
        <v>202</v>
      </c>
      <c r="G293">
        <v>1</v>
      </c>
      <c r="H293" s="59">
        <v>189</v>
      </c>
      <c r="I293" t="s">
        <v>120</v>
      </c>
      <c r="J293" t="s">
        <v>1047</v>
      </c>
      <c r="K293" s="60">
        <v>0.1</v>
      </c>
      <c r="L293" s="59">
        <v>18.900000000000002</v>
      </c>
      <c r="M293" s="61">
        <v>170.1</v>
      </c>
      <c r="N293">
        <f ca="1">IF(LEFT(tblSales[[#This Row],[Category]],1)="A",RANDBETWEEN(1,4),RANDBETWEEN(2,7))</f>
        <v>2</v>
      </c>
      <c r="O293" s="61">
        <f>IF(COUNTIF($A$2:A293,A293)=1,SUMIFS(tblSales[Revenue],tblSales[Order ID],tblSales[[#This Row],[Order ID]]),"")</f>
        <v>170.1</v>
      </c>
      <c r="P293" t="str">
        <f>TEXT(tblSales[[#This Row],[Date]],"ddd")</f>
        <v>Wed</v>
      </c>
      <c r="Q293">
        <f>1/COUNTIF(tblSales[Order ID],tblSales[[#This Row],[Order ID]])</f>
        <v>1</v>
      </c>
    </row>
    <row r="294" spans="1:17" x14ac:dyDescent="0.3">
      <c r="A294">
        <v>202018</v>
      </c>
      <c r="B294" s="15">
        <v>45490</v>
      </c>
      <c r="C294">
        <v>119071</v>
      </c>
      <c r="D294">
        <v>300191</v>
      </c>
      <c r="E294" t="s">
        <v>1040</v>
      </c>
      <c r="F294" t="s">
        <v>1051</v>
      </c>
      <c r="G294">
        <v>1</v>
      </c>
      <c r="H294" s="59">
        <v>21.99</v>
      </c>
      <c r="I294" t="s">
        <v>1041</v>
      </c>
      <c r="J294" t="s">
        <v>14</v>
      </c>
      <c r="K294" s="60" t="s">
        <v>14</v>
      </c>
      <c r="L294" s="59">
        <v>0</v>
      </c>
      <c r="M294" s="61">
        <v>21.99</v>
      </c>
      <c r="N294">
        <f ca="1">IF(LEFT(tblSales[[#This Row],[Category]],1)="A",RANDBETWEEN(1,4),RANDBETWEEN(2,7))</f>
        <v>1</v>
      </c>
      <c r="O294" s="61">
        <f>IF(COUNTIF($A$2:A294,A294)=1,SUMIFS(tblSales[Revenue],tblSales[Order ID],tblSales[[#This Row],[Order ID]]),"")</f>
        <v>1666.93</v>
      </c>
      <c r="P294" t="str">
        <f>TEXT(tblSales[[#This Row],[Date]],"ddd")</f>
        <v>Wed</v>
      </c>
      <c r="Q294">
        <f>1/COUNTIF(tblSales[Order ID],tblSales[[#This Row],[Order ID]])</f>
        <v>0.25</v>
      </c>
    </row>
    <row r="295" spans="1:17" x14ac:dyDescent="0.3">
      <c r="A295">
        <v>202018</v>
      </c>
      <c r="B295" s="15">
        <v>45490</v>
      </c>
      <c r="C295">
        <v>119071</v>
      </c>
      <c r="D295">
        <v>100252</v>
      </c>
      <c r="E295" t="s">
        <v>1046</v>
      </c>
      <c r="F295" t="s">
        <v>158</v>
      </c>
      <c r="G295">
        <v>3</v>
      </c>
      <c r="H295" s="59">
        <v>449</v>
      </c>
      <c r="I295" t="s">
        <v>1041</v>
      </c>
      <c r="J295" t="s">
        <v>14</v>
      </c>
      <c r="K295" s="60" t="s">
        <v>14</v>
      </c>
      <c r="L295" s="59">
        <v>0</v>
      </c>
      <c r="M295" s="61">
        <v>1347</v>
      </c>
      <c r="N295">
        <f ca="1">IF(LEFT(tblSales[[#This Row],[Category]],1)="A",RANDBETWEEN(1,4),RANDBETWEEN(2,7))</f>
        <v>2</v>
      </c>
      <c r="O295" s="61" t="str">
        <f>IF(COUNTIF($A$2:A295,A295)=1,SUMIFS(tblSales[Revenue],tblSales[Order ID],tblSales[[#This Row],[Order ID]]),"")</f>
        <v/>
      </c>
      <c r="P295" t="str">
        <f>TEXT(tblSales[[#This Row],[Date]],"ddd")</f>
        <v>Wed</v>
      </c>
      <c r="Q295">
        <f>1/COUNTIF(tblSales[Order ID],tblSales[[#This Row],[Order ID]])</f>
        <v>0.25</v>
      </c>
    </row>
    <row r="296" spans="1:17" x14ac:dyDescent="0.3">
      <c r="A296">
        <v>202018</v>
      </c>
      <c r="B296" s="15">
        <v>45490</v>
      </c>
      <c r="C296">
        <v>119071</v>
      </c>
      <c r="D296">
        <v>200549</v>
      </c>
      <c r="E296" t="s">
        <v>1043</v>
      </c>
      <c r="F296" t="s">
        <v>1042</v>
      </c>
      <c r="G296">
        <v>2</v>
      </c>
      <c r="H296" s="59">
        <v>18.989999999999998</v>
      </c>
      <c r="I296" t="s">
        <v>1041</v>
      </c>
      <c r="J296" t="s">
        <v>14</v>
      </c>
      <c r="K296" s="60" t="s">
        <v>14</v>
      </c>
      <c r="L296" s="59">
        <v>0</v>
      </c>
      <c r="M296" s="61">
        <v>37.979999999999997</v>
      </c>
      <c r="N296">
        <f ca="1">IF(LEFT(tblSales[[#This Row],[Category]],1)="A",RANDBETWEEN(1,4),RANDBETWEEN(2,7))</f>
        <v>3</v>
      </c>
      <c r="O296" s="61" t="str">
        <f>IF(COUNTIF($A$2:A296,A296)=1,SUMIFS(tblSales[Revenue],tblSales[Order ID],tblSales[[#This Row],[Order ID]]),"")</f>
        <v/>
      </c>
      <c r="P296" t="str">
        <f>TEXT(tblSales[[#This Row],[Date]],"ddd")</f>
        <v>Wed</v>
      </c>
      <c r="Q296">
        <f>1/COUNTIF(tblSales[Order ID],tblSales[[#This Row],[Order ID]])</f>
        <v>0.25</v>
      </c>
    </row>
    <row r="297" spans="1:17" x14ac:dyDescent="0.3">
      <c r="A297">
        <v>202018</v>
      </c>
      <c r="B297" s="15">
        <v>45490</v>
      </c>
      <c r="C297">
        <v>119071</v>
      </c>
      <c r="D297">
        <v>200556</v>
      </c>
      <c r="E297" t="s">
        <v>1043</v>
      </c>
      <c r="F297" t="s">
        <v>1044</v>
      </c>
      <c r="G297">
        <v>4</v>
      </c>
      <c r="H297" s="59">
        <v>64.989999999999995</v>
      </c>
      <c r="I297" t="s">
        <v>1041</v>
      </c>
      <c r="J297" t="s">
        <v>14</v>
      </c>
      <c r="K297" s="60" t="s">
        <v>14</v>
      </c>
      <c r="L297" s="59">
        <v>0</v>
      </c>
      <c r="M297" s="61">
        <v>259.95999999999998</v>
      </c>
      <c r="N297">
        <f ca="1">IF(LEFT(tblSales[[#This Row],[Category]],1)="A",RANDBETWEEN(1,4),RANDBETWEEN(2,7))</f>
        <v>4</v>
      </c>
      <c r="O297" s="61" t="str">
        <f>IF(COUNTIF($A$2:A297,A297)=1,SUMIFS(tblSales[Revenue],tblSales[Order ID],tblSales[[#This Row],[Order ID]]),"")</f>
        <v/>
      </c>
      <c r="P297" t="str">
        <f>TEXT(tblSales[[#This Row],[Date]],"ddd")</f>
        <v>Wed</v>
      </c>
      <c r="Q297">
        <f>1/COUNTIF(tblSales[Order ID],tblSales[[#This Row],[Order ID]])</f>
        <v>0.25</v>
      </c>
    </row>
    <row r="298" spans="1:17" x14ac:dyDescent="0.3">
      <c r="A298">
        <v>202019</v>
      </c>
      <c r="B298" s="15">
        <v>45485</v>
      </c>
      <c r="C298">
        <v>106630</v>
      </c>
      <c r="D298">
        <v>200556</v>
      </c>
      <c r="E298" t="s">
        <v>1043</v>
      </c>
      <c r="F298" t="s">
        <v>1044</v>
      </c>
      <c r="G298">
        <v>4</v>
      </c>
      <c r="H298" s="59">
        <v>64.989999999999995</v>
      </c>
      <c r="I298" t="s">
        <v>1041</v>
      </c>
      <c r="J298" t="s">
        <v>14</v>
      </c>
      <c r="K298" s="60" t="s">
        <v>14</v>
      </c>
      <c r="L298" s="59">
        <v>0</v>
      </c>
      <c r="M298" s="61">
        <v>259.95999999999998</v>
      </c>
      <c r="N298">
        <f ca="1">IF(LEFT(tblSales[[#This Row],[Category]],1)="A",RANDBETWEEN(1,4),RANDBETWEEN(2,7))</f>
        <v>1</v>
      </c>
      <c r="O298" s="61">
        <f>IF(COUNTIF($A$2:A298,A298)=1,SUMIFS(tblSales[Revenue],tblSales[Order ID],tblSales[[#This Row],[Order ID]]),"")</f>
        <v>259.95999999999998</v>
      </c>
      <c r="P298" t="str">
        <f>TEXT(tblSales[[#This Row],[Date]],"ddd")</f>
        <v>Fri</v>
      </c>
      <c r="Q298">
        <f>1/COUNTIF(tblSales[Order ID],tblSales[[#This Row],[Order ID]])</f>
        <v>1</v>
      </c>
    </row>
    <row r="299" spans="1:17" x14ac:dyDescent="0.3">
      <c r="A299">
        <v>202020</v>
      </c>
      <c r="B299" s="15">
        <v>45492</v>
      </c>
      <c r="C299">
        <v>111955</v>
      </c>
      <c r="D299">
        <v>200559</v>
      </c>
      <c r="E299" t="s">
        <v>1043</v>
      </c>
      <c r="F299" t="s">
        <v>1045</v>
      </c>
      <c r="G299">
        <v>2</v>
      </c>
      <c r="H299" s="59">
        <v>59.99</v>
      </c>
      <c r="I299" t="s">
        <v>1041</v>
      </c>
      <c r="J299" t="s">
        <v>14</v>
      </c>
      <c r="K299" s="60" t="s">
        <v>14</v>
      </c>
      <c r="L299" s="59">
        <v>0</v>
      </c>
      <c r="M299" s="61">
        <v>119.98</v>
      </c>
      <c r="N299">
        <f ca="1">IF(LEFT(tblSales[[#This Row],[Category]],1)="A",RANDBETWEEN(1,4),RANDBETWEEN(2,7))</f>
        <v>2</v>
      </c>
      <c r="O299" s="61">
        <f>IF(COUNTIF($A$2:A299,A299)=1,SUMIFS(tblSales[Revenue],tblSales[Order ID],tblSales[[#This Row],[Order ID]]),"")</f>
        <v>119.98</v>
      </c>
      <c r="P299" t="str">
        <f>TEXT(tblSales[[#This Row],[Date]],"ddd")</f>
        <v>Fri</v>
      </c>
      <c r="Q299">
        <f>1/COUNTIF(tblSales[Order ID],tblSales[[#This Row],[Order ID]])</f>
        <v>1</v>
      </c>
    </row>
    <row r="300" spans="1:17" x14ac:dyDescent="0.3">
      <c r="A300">
        <v>202021</v>
      </c>
      <c r="B300" s="15">
        <v>45483</v>
      </c>
      <c r="C300">
        <v>122867</v>
      </c>
      <c r="D300">
        <v>200559</v>
      </c>
      <c r="E300" t="s">
        <v>1043</v>
      </c>
      <c r="F300" t="s">
        <v>1045</v>
      </c>
      <c r="G300">
        <v>1</v>
      </c>
      <c r="H300" s="59">
        <v>59.99</v>
      </c>
      <c r="I300" t="s">
        <v>1041</v>
      </c>
      <c r="J300" t="s">
        <v>14</v>
      </c>
      <c r="K300" s="60" t="s">
        <v>14</v>
      </c>
      <c r="L300" s="59">
        <v>0</v>
      </c>
      <c r="M300" s="61">
        <v>59.99</v>
      </c>
      <c r="N300">
        <f ca="1">IF(LEFT(tblSales[[#This Row],[Category]],1)="A",RANDBETWEEN(1,4),RANDBETWEEN(2,7))</f>
        <v>3</v>
      </c>
      <c r="O300" s="61">
        <f>IF(COUNTIF($A$2:A300,A300)=1,SUMIFS(tblSales[Revenue],tblSales[Order ID],tblSales[[#This Row],[Order ID]]),"")</f>
        <v>59.99</v>
      </c>
      <c r="P300" t="str">
        <f>TEXT(tblSales[[#This Row],[Date]],"ddd")</f>
        <v>Wed</v>
      </c>
      <c r="Q300">
        <f>1/COUNTIF(tblSales[Order ID],tblSales[[#This Row],[Order ID]])</f>
        <v>1</v>
      </c>
    </row>
    <row r="301" spans="1:17" x14ac:dyDescent="0.3">
      <c r="A301">
        <v>202022</v>
      </c>
      <c r="B301" s="15">
        <v>45486</v>
      </c>
      <c r="C301">
        <v>124240</v>
      </c>
      <c r="D301">
        <v>100250</v>
      </c>
      <c r="E301" t="s">
        <v>1046</v>
      </c>
      <c r="F301" t="s">
        <v>202</v>
      </c>
      <c r="G301">
        <v>1</v>
      </c>
      <c r="H301" s="59">
        <v>189</v>
      </c>
      <c r="I301" t="s">
        <v>1041</v>
      </c>
      <c r="J301" t="s">
        <v>14</v>
      </c>
      <c r="K301" s="60" t="s">
        <v>14</v>
      </c>
      <c r="L301" s="59">
        <v>0</v>
      </c>
      <c r="M301" s="61">
        <v>189</v>
      </c>
      <c r="N301">
        <f ca="1">IF(LEFT(tblSales[[#This Row],[Category]],1)="A",RANDBETWEEN(1,4),RANDBETWEEN(2,7))</f>
        <v>3</v>
      </c>
      <c r="O301" s="61">
        <f>IF(COUNTIF($A$2:A301,A301)=1,SUMIFS(tblSales[Revenue],tblSales[Order ID],tblSales[[#This Row],[Order ID]]),"")</f>
        <v>189</v>
      </c>
      <c r="P301" t="str">
        <f>TEXT(tblSales[[#This Row],[Date]],"ddd")</f>
        <v>Sat</v>
      </c>
      <c r="Q301">
        <f>1/COUNTIF(tblSales[Order ID],tblSales[[#This Row],[Order ID]])</f>
        <v>1</v>
      </c>
    </row>
    <row r="302" spans="1:17" x14ac:dyDescent="0.3">
      <c r="A302">
        <v>202023</v>
      </c>
      <c r="B302" s="15">
        <v>45485</v>
      </c>
      <c r="C302">
        <v>131853</v>
      </c>
      <c r="D302">
        <v>100252</v>
      </c>
      <c r="E302" t="s">
        <v>1046</v>
      </c>
      <c r="F302" t="s">
        <v>158</v>
      </c>
      <c r="G302">
        <v>4</v>
      </c>
      <c r="H302" s="59">
        <v>449</v>
      </c>
      <c r="I302" t="s">
        <v>120</v>
      </c>
      <c r="J302" t="s">
        <v>1047</v>
      </c>
      <c r="K302" s="60">
        <v>0.1</v>
      </c>
      <c r="L302" s="59">
        <v>179.60000000000002</v>
      </c>
      <c r="M302" s="61">
        <v>1616.4</v>
      </c>
      <c r="N302">
        <f ca="1">IF(LEFT(tblSales[[#This Row],[Category]],1)="A",RANDBETWEEN(1,4),RANDBETWEEN(2,7))</f>
        <v>4</v>
      </c>
      <c r="O302" s="61">
        <f>IF(COUNTIF($A$2:A302,A302)=1,SUMIFS(tblSales[Revenue],tblSales[Order ID],tblSales[[#This Row],[Order ID]]),"")</f>
        <v>1616.4</v>
      </c>
      <c r="P302" t="str">
        <f>TEXT(tblSales[[#This Row],[Date]],"ddd")</f>
        <v>Fri</v>
      </c>
      <c r="Q302">
        <f>1/COUNTIF(tblSales[Order ID],tblSales[[#This Row],[Order ID]])</f>
        <v>1</v>
      </c>
    </row>
    <row r="303" spans="1:17" x14ac:dyDescent="0.3">
      <c r="A303">
        <v>202024</v>
      </c>
      <c r="B303" s="15">
        <v>45492</v>
      </c>
      <c r="C303">
        <v>106963</v>
      </c>
      <c r="D303">
        <v>100254</v>
      </c>
      <c r="E303" t="s">
        <v>1046</v>
      </c>
      <c r="F303" t="s">
        <v>164</v>
      </c>
      <c r="G303">
        <v>3</v>
      </c>
      <c r="H303" s="59">
        <v>799</v>
      </c>
      <c r="I303" t="s">
        <v>1041</v>
      </c>
      <c r="J303" t="s">
        <v>14</v>
      </c>
      <c r="K303" s="60" t="s">
        <v>14</v>
      </c>
      <c r="L303" s="59">
        <v>0</v>
      </c>
      <c r="M303" s="61">
        <v>2397</v>
      </c>
      <c r="N303">
        <f ca="1">IF(LEFT(tblSales[[#This Row],[Category]],1)="A",RANDBETWEEN(1,4),RANDBETWEEN(2,7))</f>
        <v>4</v>
      </c>
      <c r="O303" s="61">
        <f>IF(COUNTIF($A$2:A303,A303)=1,SUMIFS(tblSales[Revenue],tblSales[Order ID],tblSales[[#This Row],[Order ID]]),"")</f>
        <v>3150.9399999999996</v>
      </c>
      <c r="P303" t="str">
        <f>TEXT(tblSales[[#This Row],[Date]],"ddd")</f>
        <v>Fri</v>
      </c>
      <c r="Q303">
        <f>1/COUNTIF(tblSales[Order ID],tblSales[[#This Row],[Order ID]])</f>
        <v>0.25</v>
      </c>
    </row>
    <row r="304" spans="1:17" x14ac:dyDescent="0.3">
      <c r="A304">
        <v>202024</v>
      </c>
      <c r="B304" s="15">
        <v>45492</v>
      </c>
      <c r="C304">
        <v>106963</v>
      </c>
      <c r="D304">
        <v>300188</v>
      </c>
      <c r="E304" t="s">
        <v>1040</v>
      </c>
      <c r="F304" t="s">
        <v>1060</v>
      </c>
      <c r="G304">
        <v>5</v>
      </c>
      <c r="H304" s="59">
        <v>64.989999999999995</v>
      </c>
      <c r="I304" t="s">
        <v>1041</v>
      </c>
      <c r="J304" t="s">
        <v>14</v>
      </c>
      <c r="K304" s="60" t="s">
        <v>14</v>
      </c>
      <c r="L304" s="59">
        <v>0</v>
      </c>
      <c r="M304" s="61">
        <v>324.95</v>
      </c>
      <c r="N304">
        <f ca="1">IF(LEFT(tblSales[[#This Row],[Category]],1)="A",RANDBETWEEN(1,4),RANDBETWEEN(2,7))</f>
        <v>2</v>
      </c>
      <c r="O304" s="61" t="str">
        <f>IF(COUNTIF($A$2:A304,A304)=1,SUMIFS(tblSales[Revenue],tblSales[Order ID],tblSales[[#This Row],[Order ID]]),"")</f>
        <v/>
      </c>
      <c r="P304" t="str">
        <f>TEXT(tblSales[[#This Row],[Date]],"ddd")</f>
        <v>Fri</v>
      </c>
      <c r="Q304">
        <f>1/COUNTIF(tblSales[Order ID],tblSales[[#This Row],[Order ID]])</f>
        <v>0.25</v>
      </c>
    </row>
    <row r="305" spans="1:17" x14ac:dyDescent="0.3">
      <c r="A305">
        <v>202024</v>
      </c>
      <c r="B305" s="15">
        <v>45492</v>
      </c>
      <c r="C305">
        <v>106963</v>
      </c>
      <c r="D305">
        <v>100251</v>
      </c>
      <c r="E305" t="s">
        <v>1046</v>
      </c>
      <c r="F305" t="s">
        <v>150</v>
      </c>
      <c r="G305">
        <v>1</v>
      </c>
      <c r="H305" s="59">
        <v>399</v>
      </c>
      <c r="I305" t="s">
        <v>1041</v>
      </c>
      <c r="J305" t="s">
        <v>14</v>
      </c>
      <c r="K305" s="60" t="s">
        <v>14</v>
      </c>
      <c r="L305" s="59">
        <v>0</v>
      </c>
      <c r="M305" s="61">
        <v>399</v>
      </c>
      <c r="N305">
        <f ca="1">IF(LEFT(tblSales[[#This Row],[Category]],1)="A",RANDBETWEEN(1,4),RANDBETWEEN(2,7))</f>
        <v>4</v>
      </c>
      <c r="O305" s="61" t="str">
        <f>IF(COUNTIF($A$2:A305,A305)=1,SUMIFS(tblSales[Revenue],tblSales[Order ID],tblSales[[#This Row],[Order ID]]),"")</f>
        <v/>
      </c>
      <c r="P305" t="str">
        <f>TEXT(tblSales[[#This Row],[Date]],"ddd")</f>
        <v>Fri</v>
      </c>
      <c r="Q305">
        <f>1/COUNTIF(tblSales[Order ID],tblSales[[#This Row],[Order ID]])</f>
        <v>0.25</v>
      </c>
    </row>
    <row r="306" spans="1:17" x14ac:dyDescent="0.3">
      <c r="A306">
        <v>202024</v>
      </c>
      <c r="B306" s="15">
        <v>45492</v>
      </c>
      <c r="C306">
        <v>106963</v>
      </c>
      <c r="D306">
        <v>300185</v>
      </c>
      <c r="E306" t="s">
        <v>1040</v>
      </c>
      <c r="F306" t="s">
        <v>1049</v>
      </c>
      <c r="G306">
        <v>1</v>
      </c>
      <c r="H306" s="59">
        <v>29.99</v>
      </c>
      <c r="I306" t="s">
        <v>1041</v>
      </c>
      <c r="J306" t="s">
        <v>14</v>
      </c>
      <c r="K306" s="60" t="s">
        <v>14</v>
      </c>
      <c r="L306" s="59">
        <v>0</v>
      </c>
      <c r="M306" s="61">
        <v>29.99</v>
      </c>
      <c r="N306">
        <f ca="1">IF(LEFT(tblSales[[#This Row],[Category]],1)="A",RANDBETWEEN(1,4),RANDBETWEEN(2,7))</f>
        <v>3</v>
      </c>
      <c r="O306" s="61" t="str">
        <f>IF(COUNTIF($A$2:A306,A306)=1,SUMIFS(tblSales[Revenue],tblSales[Order ID],tblSales[[#This Row],[Order ID]]),"")</f>
        <v/>
      </c>
      <c r="P306" t="str">
        <f>TEXT(tblSales[[#This Row],[Date]],"ddd")</f>
        <v>Fri</v>
      </c>
      <c r="Q306">
        <f>1/COUNTIF(tblSales[Order ID],tblSales[[#This Row],[Order ID]])</f>
        <v>0.25</v>
      </c>
    </row>
    <row r="307" spans="1:17" x14ac:dyDescent="0.3">
      <c r="A307">
        <v>202025</v>
      </c>
      <c r="B307" s="15">
        <v>45487</v>
      </c>
      <c r="C307">
        <v>113697</v>
      </c>
      <c r="D307">
        <v>100248</v>
      </c>
      <c r="E307" t="s">
        <v>1046</v>
      </c>
      <c r="F307" t="s">
        <v>168</v>
      </c>
      <c r="G307">
        <v>2</v>
      </c>
      <c r="H307" s="59">
        <v>199</v>
      </c>
      <c r="I307" t="s">
        <v>1041</v>
      </c>
      <c r="J307" t="s">
        <v>14</v>
      </c>
      <c r="K307" s="60" t="s">
        <v>14</v>
      </c>
      <c r="L307" s="59">
        <v>0</v>
      </c>
      <c r="M307" s="61">
        <v>398</v>
      </c>
      <c r="N307">
        <f ca="1">IF(LEFT(tblSales[[#This Row],[Category]],1)="A",RANDBETWEEN(1,4),RANDBETWEEN(2,7))</f>
        <v>6</v>
      </c>
      <c r="O307" s="61">
        <f>IF(COUNTIF($A$2:A307,A307)=1,SUMIFS(tblSales[Revenue],tblSales[Order ID],tblSales[[#This Row],[Order ID]]),"")</f>
        <v>398</v>
      </c>
      <c r="P307" t="str">
        <f>TEXT(tblSales[[#This Row],[Date]],"ddd")</f>
        <v>Sun</v>
      </c>
      <c r="Q307">
        <f>1/COUNTIF(tblSales[Order ID],tblSales[[#This Row],[Order ID]])</f>
        <v>1</v>
      </c>
    </row>
    <row r="308" spans="1:17" x14ac:dyDescent="0.3">
      <c r="A308">
        <v>202026</v>
      </c>
      <c r="B308" s="15">
        <v>45485</v>
      </c>
      <c r="C308">
        <v>122862</v>
      </c>
      <c r="D308">
        <v>200554</v>
      </c>
      <c r="E308" t="s">
        <v>1043</v>
      </c>
      <c r="F308" t="s">
        <v>1048</v>
      </c>
      <c r="G308">
        <v>1</v>
      </c>
      <c r="H308" s="59">
        <v>67.989999999999995</v>
      </c>
      <c r="I308" t="s">
        <v>120</v>
      </c>
      <c r="J308" t="s">
        <v>1064</v>
      </c>
      <c r="K308" s="60">
        <v>0.1</v>
      </c>
      <c r="L308" s="59">
        <v>6.7989999999999995</v>
      </c>
      <c r="M308" s="61">
        <v>61.190999999999995</v>
      </c>
      <c r="N308">
        <f ca="1">IF(LEFT(tblSales[[#This Row],[Category]],1)="A",RANDBETWEEN(1,4),RANDBETWEEN(2,7))</f>
        <v>3</v>
      </c>
      <c r="O308" s="61">
        <f>IF(COUNTIF($A$2:A308,A308)=1,SUMIFS(tblSales[Revenue],tblSales[Order ID],tblSales[[#This Row],[Order ID]]),"")</f>
        <v>78.281999999999996</v>
      </c>
      <c r="P308" t="str">
        <f>TEXT(tblSales[[#This Row],[Date]],"ddd")</f>
        <v>Fri</v>
      </c>
      <c r="Q308">
        <f>1/COUNTIF(tblSales[Order ID],tblSales[[#This Row],[Order ID]])</f>
        <v>0.5</v>
      </c>
    </row>
    <row r="309" spans="1:17" x14ac:dyDescent="0.3">
      <c r="A309">
        <v>202026</v>
      </c>
      <c r="B309" s="15">
        <v>45485</v>
      </c>
      <c r="C309">
        <v>122862</v>
      </c>
      <c r="D309">
        <v>200549</v>
      </c>
      <c r="E309" t="s">
        <v>1043</v>
      </c>
      <c r="F309" t="s">
        <v>1042</v>
      </c>
      <c r="G309">
        <v>1</v>
      </c>
      <c r="H309" s="59">
        <v>18.989999999999998</v>
      </c>
      <c r="I309" t="s">
        <v>120</v>
      </c>
      <c r="J309" t="s">
        <v>1064</v>
      </c>
      <c r="K309" s="60">
        <v>0.1</v>
      </c>
      <c r="L309" s="59">
        <v>1.899</v>
      </c>
      <c r="M309" s="61">
        <v>17.090999999999998</v>
      </c>
      <c r="N309">
        <f ca="1">IF(LEFT(tblSales[[#This Row],[Category]],1)="A",RANDBETWEEN(1,4),RANDBETWEEN(2,7))</f>
        <v>1</v>
      </c>
      <c r="O309" s="61" t="str">
        <f>IF(COUNTIF($A$2:A309,A309)=1,SUMIFS(tblSales[Revenue],tblSales[Order ID],tblSales[[#This Row],[Order ID]]),"")</f>
        <v/>
      </c>
      <c r="P309" t="str">
        <f>TEXT(tblSales[[#This Row],[Date]],"ddd")</f>
        <v>Fri</v>
      </c>
      <c r="Q309">
        <f>1/COUNTIF(tblSales[Order ID],tblSales[[#This Row],[Order ID]])</f>
        <v>0.5</v>
      </c>
    </row>
    <row r="310" spans="1:17" x14ac:dyDescent="0.3">
      <c r="A310">
        <v>202027</v>
      </c>
      <c r="B310" s="15">
        <v>45490</v>
      </c>
      <c r="C310">
        <v>132016</v>
      </c>
      <c r="D310">
        <v>200550</v>
      </c>
      <c r="E310" t="s">
        <v>1043</v>
      </c>
      <c r="F310" t="s">
        <v>1057</v>
      </c>
      <c r="G310">
        <v>1</v>
      </c>
      <c r="H310" s="59">
        <v>15.99</v>
      </c>
      <c r="I310" t="s">
        <v>120</v>
      </c>
      <c r="J310" t="s">
        <v>1047</v>
      </c>
      <c r="K310" s="60">
        <v>0.1</v>
      </c>
      <c r="L310" s="59">
        <v>1.5990000000000002</v>
      </c>
      <c r="M310" s="61">
        <v>14.391</v>
      </c>
      <c r="N310">
        <f ca="1">IF(LEFT(tblSales[[#This Row],[Category]],1)="A",RANDBETWEEN(1,4),RANDBETWEEN(2,7))</f>
        <v>1</v>
      </c>
      <c r="O310" s="61">
        <f>IF(COUNTIF($A$2:A310,A310)=1,SUMIFS(tblSales[Revenue],tblSales[Order ID],tblSales[[#This Row],[Order ID]]),"")</f>
        <v>916.11899999999991</v>
      </c>
      <c r="P310" t="str">
        <f>TEXT(tblSales[[#This Row],[Date]],"ddd")</f>
        <v>Wed</v>
      </c>
      <c r="Q310">
        <f>1/COUNTIF(tblSales[Order ID],tblSales[[#This Row],[Order ID]])</f>
        <v>0.2</v>
      </c>
    </row>
    <row r="311" spans="1:17" x14ac:dyDescent="0.3">
      <c r="A311">
        <v>202027</v>
      </c>
      <c r="B311" s="15">
        <v>45490</v>
      </c>
      <c r="C311">
        <v>132016</v>
      </c>
      <c r="D311">
        <v>300191</v>
      </c>
      <c r="E311" t="s">
        <v>1040</v>
      </c>
      <c r="F311" t="s">
        <v>1051</v>
      </c>
      <c r="G311">
        <v>3</v>
      </c>
      <c r="H311" s="59">
        <v>21.99</v>
      </c>
      <c r="I311" t="s">
        <v>120</v>
      </c>
      <c r="J311" t="s">
        <v>1047</v>
      </c>
      <c r="K311" s="60">
        <v>0.1</v>
      </c>
      <c r="L311" s="59">
        <v>6.5970000000000004</v>
      </c>
      <c r="M311" s="61">
        <v>59.372999999999998</v>
      </c>
      <c r="N311">
        <f ca="1">IF(LEFT(tblSales[[#This Row],[Category]],1)="A",RANDBETWEEN(1,4),RANDBETWEEN(2,7))</f>
        <v>3</v>
      </c>
      <c r="O311" s="61" t="str">
        <f>IF(COUNTIF($A$2:A311,A311)=1,SUMIFS(tblSales[Revenue],tblSales[Order ID],tblSales[[#This Row],[Order ID]]),"")</f>
        <v/>
      </c>
      <c r="P311" t="str">
        <f>TEXT(tblSales[[#This Row],[Date]],"ddd")</f>
        <v>Wed</v>
      </c>
      <c r="Q311">
        <f>1/COUNTIF(tblSales[Order ID],tblSales[[#This Row],[Order ID]])</f>
        <v>0.2</v>
      </c>
    </row>
    <row r="312" spans="1:17" x14ac:dyDescent="0.3">
      <c r="A312">
        <v>202027</v>
      </c>
      <c r="B312" s="15">
        <v>45490</v>
      </c>
      <c r="C312">
        <v>132016</v>
      </c>
      <c r="D312">
        <v>300185</v>
      </c>
      <c r="E312" t="s">
        <v>1040</v>
      </c>
      <c r="F312" t="s">
        <v>1049</v>
      </c>
      <c r="G312">
        <v>4</v>
      </c>
      <c r="H312" s="59">
        <v>29.99</v>
      </c>
      <c r="I312" t="s">
        <v>120</v>
      </c>
      <c r="J312" t="s">
        <v>1047</v>
      </c>
      <c r="K312" s="60">
        <v>0.1</v>
      </c>
      <c r="L312" s="59">
        <v>11.996</v>
      </c>
      <c r="M312" s="61">
        <v>107.964</v>
      </c>
      <c r="N312">
        <f ca="1">IF(LEFT(tblSales[[#This Row],[Category]],1)="A",RANDBETWEEN(1,4),RANDBETWEEN(2,7))</f>
        <v>2</v>
      </c>
      <c r="O312" s="61" t="str">
        <f>IF(COUNTIF($A$2:A312,A312)=1,SUMIFS(tblSales[Revenue],tblSales[Order ID],tblSales[[#This Row],[Order ID]]),"")</f>
        <v/>
      </c>
      <c r="P312" t="str">
        <f>TEXT(tblSales[[#This Row],[Date]],"ddd")</f>
        <v>Wed</v>
      </c>
      <c r="Q312">
        <f>1/COUNTIF(tblSales[Order ID],tblSales[[#This Row],[Order ID]])</f>
        <v>0.2</v>
      </c>
    </row>
    <row r="313" spans="1:17" x14ac:dyDescent="0.3">
      <c r="A313">
        <v>202027</v>
      </c>
      <c r="B313" s="15">
        <v>45490</v>
      </c>
      <c r="C313">
        <v>132016</v>
      </c>
      <c r="D313">
        <v>100250</v>
      </c>
      <c r="E313" t="s">
        <v>1046</v>
      </c>
      <c r="F313" t="s">
        <v>202</v>
      </c>
      <c r="G313">
        <v>4</v>
      </c>
      <c r="H313" s="59">
        <v>189</v>
      </c>
      <c r="I313" t="s">
        <v>120</v>
      </c>
      <c r="J313" t="s">
        <v>1047</v>
      </c>
      <c r="K313" s="60">
        <v>0.1</v>
      </c>
      <c r="L313" s="59">
        <v>75.600000000000009</v>
      </c>
      <c r="M313" s="61">
        <v>680.4</v>
      </c>
      <c r="N313">
        <f ca="1">IF(LEFT(tblSales[[#This Row],[Category]],1)="A",RANDBETWEEN(1,4),RANDBETWEEN(2,7))</f>
        <v>6</v>
      </c>
      <c r="O313" s="61" t="str">
        <f>IF(COUNTIF($A$2:A313,A313)=1,SUMIFS(tblSales[Revenue],tblSales[Order ID],tblSales[[#This Row],[Order ID]]),"")</f>
        <v/>
      </c>
      <c r="P313" t="str">
        <f>TEXT(tblSales[[#This Row],[Date]],"ddd")</f>
        <v>Wed</v>
      </c>
      <c r="Q313">
        <f>1/COUNTIF(tblSales[Order ID],tblSales[[#This Row],[Order ID]])</f>
        <v>0.2</v>
      </c>
    </row>
    <row r="314" spans="1:17" x14ac:dyDescent="0.3">
      <c r="A314">
        <v>202027</v>
      </c>
      <c r="B314" s="15">
        <v>45490</v>
      </c>
      <c r="C314">
        <v>132016</v>
      </c>
      <c r="D314">
        <v>200559</v>
      </c>
      <c r="E314" t="s">
        <v>1043</v>
      </c>
      <c r="F314" t="s">
        <v>1045</v>
      </c>
      <c r="G314">
        <v>1</v>
      </c>
      <c r="H314" s="59">
        <v>59.99</v>
      </c>
      <c r="I314" t="s">
        <v>120</v>
      </c>
      <c r="J314" t="s">
        <v>1047</v>
      </c>
      <c r="K314" s="60">
        <v>0.1</v>
      </c>
      <c r="L314" s="59">
        <v>5.9990000000000006</v>
      </c>
      <c r="M314" s="61">
        <v>53.991</v>
      </c>
      <c r="N314">
        <f ca="1">IF(LEFT(tblSales[[#This Row],[Category]],1)="A",RANDBETWEEN(1,4),RANDBETWEEN(2,7))</f>
        <v>2</v>
      </c>
      <c r="O314" s="61" t="str">
        <f>IF(COUNTIF($A$2:A314,A314)=1,SUMIFS(tblSales[Revenue],tblSales[Order ID],tblSales[[#This Row],[Order ID]]),"")</f>
        <v/>
      </c>
      <c r="P314" t="str">
        <f>TEXT(tblSales[[#This Row],[Date]],"ddd")</f>
        <v>Wed</v>
      </c>
      <c r="Q314">
        <f>1/COUNTIF(tblSales[Order ID],tblSales[[#This Row],[Order ID]])</f>
        <v>0.2</v>
      </c>
    </row>
    <row r="315" spans="1:17" x14ac:dyDescent="0.3">
      <c r="A315">
        <v>202028</v>
      </c>
      <c r="B315" s="15">
        <v>45491</v>
      </c>
      <c r="C315">
        <v>117687</v>
      </c>
      <c r="D315">
        <v>200551</v>
      </c>
      <c r="E315" t="s">
        <v>1043</v>
      </c>
      <c r="F315" t="s">
        <v>1062</v>
      </c>
      <c r="G315">
        <v>1</v>
      </c>
      <c r="H315" s="59">
        <v>79.989999999999995</v>
      </c>
      <c r="I315" t="s">
        <v>1041</v>
      </c>
      <c r="J315" t="s">
        <v>14</v>
      </c>
      <c r="K315" s="60" t="s">
        <v>14</v>
      </c>
      <c r="L315" s="59">
        <v>0</v>
      </c>
      <c r="M315" s="61">
        <v>79.989999999999995</v>
      </c>
      <c r="N315">
        <f ca="1">IF(LEFT(tblSales[[#This Row],[Category]],1)="A",RANDBETWEEN(1,4),RANDBETWEEN(2,7))</f>
        <v>1</v>
      </c>
      <c r="O315" s="61">
        <f>IF(COUNTIF($A$2:A315,A315)=1,SUMIFS(tblSales[Revenue],tblSales[Order ID],tblSales[[#This Row],[Order ID]]),"")</f>
        <v>79.989999999999995</v>
      </c>
      <c r="P315" t="str">
        <f>TEXT(tblSales[[#This Row],[Date]],"ddd")</f>
        <v>Thu</v>
      </c>
      <c r="Q315">
        <f>1/COUNTIF(tblSales[Order ID],tblSales[[#This Row],[Order ID]])</f>
        <v>1</v>
      </c>
    </row>
    <row r="316" spans="1:17" x14ac:dyDescent="0.3">
      <c r="A316">
        <v>202029</v>
      </c>
      <c r="B316" s="15">
        <v>45488</v>
      </c>
      <c r="C316">
        <v>129149</v>
      </c>
      <c r="D316">
        <v>300188</v>
      </c>
      <c r="E316" t="s">
        <v>1040</v>
      </c>
      <c r="F316" t="s">
        <v>1060</v>
      </c>
      <c r="G316">
        <v>1</v>
      </c>
      <c r="H316" s="59">
        <v>64.989999999999995</v>
      </c>
      <c r="I316" t="s">
        <v>1041</v>
      </c>
      <c r="J316" t="s">
        <v>14</v>
      </c>
      <c r="K316" s="60" t="s">
        <v>14</v>
      </c>
      <c r="L316" s="59">
        <v>0</v>
      </c>
      <c r="M316" s="61">
        <v>64.989999999999995</v>
      </c>
      <c r="N316">
        <f ca="1">IF(LEFT(tblSales[[#This Row],[Category]],1)="A",RANDBETWEEN(1,4),RANDBETWEEN(2,7))</f>
        <v>4</v>
      </c>
      <c r="O316" s="61">
        <f>IF(COUNTIF($A$2:A316,A316)=1,SUMIFS(tblSales[Revenue],tblSales[Order ID],tblSales[[#This Row],[Order ID]]),"")</f>
        <v>64.989999999999995</v>
      </c>
      <c r="P316" t="str">
        <f>TEXT(tblSales[[#This Row],[Date]],"ddd")</f>
        <v>Mon</v>
      </c>
      <c r="Q316">
        <f>1/COUNTIF(tblSales[Order ID],tblSales[[#This Row],[Order ID]])</f>
        <v>1</v>
      </c>
    </row>
    <row r="317" spans="1:17" x14ac:dyDescent="0.3">
      <c r="A317">
        <v>202030</v>
      </c>
      <c r="B317" s="15">
        <v>45484</v>
      </c>
      <c r="C317">
        <v>122137</v>
      </c>
      <c r="D317">
        <v>100250</v>
      </c>
      <c r="E317" t="s">
        <v>1046</v>
      </c>
      <c r="F317" t="s">
        <v>202</v>
      </c>
      <c r="G317">
        <v>4</v>
      </c>
      <c r="H317" s="59">
        <v>189</v>
      </c>
      <c r="I317" t="s">
        <v>1041</v>
      </c>
      <c r="J317" t="s">
        <v>14</v>
      </c>
      <c r="K317" s="60" t="s">
        <v>14</v>
      </c>
      <c r="L317" s="59">
        <v>0</v>
      </c>
      <c r="M317" s="61">
        <v>756</v>
      </c>
      <c r="N317">
        <f ca="1">IF(LEFT(tblSales[[#This Row],[Category]],1)="A",RANDBETWEEN(1,4),RANDBETWEEN(2,7))</f>
        <v>3</v>
      </c>
      <c r="O317" s="61">
        <f>IF(COUNTIF($A$2:A317,A317)=1,SUMIFS(tblSales[Revenue],tblSales[Order ID],tblSales[[#This Row],[Order ID]]),"")</f>
        <v>756</v>
      </c>
      <c r="P317" t="str">
        <f>TEXT(tblSales[[#This Row],[Date]],"ddd")</f>
        <v>Thu</v>
      </c>
      <c r="Q317">
        <f>1/COUNTIF(tblSales[Order ID],tblSales[[#This Row],[Order ID]])</f>
        <v>1</v>
      </c>
    </row>
    <row r="318" spans="1:17" x14ac:dyDescent="0.3">
      <c r="A318">
        <v>202031</v>
      </c>
      <c r="B318" s="15">
        <v>45488</v>
      </c>
      <c r="C318">
        <v>123955</v>
      </c>
      <c r="D318">
        <v>300187</v>
      </c>
      <c r="E318" t="s">
        <v>1040</v>
      </c>
      <c r="F318" t="s">
        <v>1058</v>
      </c>
      <c r="G318">
        <v>2</v>
      </c>
      <c r="H318" s="59">
        <v>54.99</v>
      </c>
      <c r="I318" t="s">
        <v>1041</v>
      </c>
      <c r="J318" t="s">
        <v>14</v>
      </c>
      <c r="K318" s="60" t="s">
        <v>14</v>
      </c>
      <c r="L318" s="59">
        <v>0</v>
      </c>
      <c r="M318" s="61">
        <v>109.98</v>
      </c>
      <c r="N318">
        <f ca="1">IF(LEFT(tblSales[[#This Row],[Category]],1)="A",RANDBETWEEN(1,4),RANDBETWEEN(2,7))</f>
        <v>3</v>
      </c>
      <c r="O318" s="61">
        <f>IF(COUNTIF($A$2:A318,A318)=1,SUMIFS(tblSales[Revenue],tblSales[Order ID],tblSales[[#This Row],[Order ID]]),"")</f>
        <v>109.98</v>
      </c>
      <c r="P318" t="str">
        <f>TEXT(tblSales[[#This Row],[Date]],"ddd")</f>
        <v>Mon</v>
      </c>
      <c r="Q318">
        <f>1/COUNTIF(tblSales[Order ID],tblSales[[#This Row],[Order ID]])</f>
        <v>1</v>
      </c>
    </row>
    <row r="319" spans="1:17" x14ac:dyDescent="0.3">
      <c r="A319">
        <v>202032</v>
      </c>
      <c r="B319" s="15">
        <v>45488</v>
      </c>
      <c r="C319">
        <v>109878</v>
      </c>
      <c r="D319">
        <v>100254</v>
      </c>
      <c r="E319" t="s">
        <v>1046</v>
      </c>
      <c r="F319" t="s">
        <v>164</v>
      </c>
      <c r="G319">
        <v>3</v>
      </c>
      <c r="H319" s="59">
        <v>799</v>
      </c>
      <c r="I319" t="s">
        <v>1041</v>
      </c>
      <c r="J319" t="s">
        <v>14</v>
      </c>
      <c r="K319" s="60" t="s">
        <v>14</v>
      </c>
      <c r="L319" s="59">
        <v>0</v>
      </c>
      <c r="M319" s="61">
        <v>2397</v>
      </c>
      <c r="N319">
        <f ca="1">IF(LEFT(tblSales[[#This Row],[Category]],1)="A",RANDBETWEEN(1,4),RANDBETWEEN(2,7))</f>
        <v>4</v>
      </c>
      <c r="O319" s="61">
        <f>IF(COUNTIF($A$2:A319,A319)=1,SUMIFS(tblSales[Revenue],tblSales[Order ID],tblSales[[#This Row],[Order ID]]),"")</f>
        <v>2764.9199999999996</v>
      </c>
      <c r="P319" t="str">
        <f>TEXT(tblSales[[#This Row],[Date]],"ddd")</f>
        <v>Mon</v>
      </c>
      <c r="Q319">
        <f>1/COUNTIF(tblSales[Order ID],tblSales[[#This Row],[Order ID]])</f>
        <v>0.25</v>
      </c>
    </row>
    <row r="320" spans="1:17" x14ac:dyDescent="0.3">
      <c r="A320">
        <v>202032</v>
      </c>
      <c r="B320" s="15">
        <v>45488</v>
      </c>
      <c r="C320">
        <v>109878</v>
      </c>
      <c r="D320">
        <v>200559</v>
      </c>
      <c r="E320" t="s">
        <v>1043</v>
      </c>
      <c r="F320" t="s">
        <v>1045</v>
      </c>
      <c r="G320">
        <v>3</v>
      </c>
      <c r="H320" s="59">
        <v>59.99</v>
      </c>
      <c r="I320" t="s">
        <v>1041</v>
      </c>
      <c r="J320" t="s">
        <v>14</v>
      </c>
      <c r="K320" s="60" t="s">
        <v>14</v>
      </c>
      <c r="L320" s="59">
        <v>0</v>
      </c>
      <c r="M320" s="61">
        <v>179.97</v>
      </c>
      <c r="N320">
        <f ca="1">IF(LEFT(tblSales[[#This Row],[Category]],1)="A",RANDBETWEEN(1,4),RANDBETWEEN(2,7))</f>
        <v>3</v>
      </c>
      <c r="O320" s="61" t="str">
        <f>IF(COUNTIF($A$2:A320,A320)=1,SUMIFS(tblSales[Revenue],tblSales[Order ID],tblSales[[#This Row],[Order ID]]),"")</f>
        <v/>
      </c>
      <c r="P320" t="str">
        <f>TEXT(tblSales[[#This Row],[Date]],"ddd")</f>
        <v>Mon</v>
      </c>
      <c r="Q320">
        <f>1/COUNTIF(tblSales[Order ID],tblSales[[#This Row],[Order ID]])</f>
        <v>0.25</v>
      </c>
    </row>
    <row r="321" spans="1:17" x14ac:dyDescent="0.3">
      <c r="A321">
        <v>202032</v>
      </c>
      <c r="B321" s="15">
        <v>45488</v>
      </c>
      <c r="C321">
        <v>109878</v>
      </c>
      <c r="D321">
        <v>300185</v>
      </c>
      <c r="E321" t="s">
        <v>1040</v>
      </c>
      <c r="F321" t="s">
        <v>1049</v>
      </c>
      <c r="G321">
        <v>4</v>
      </c>
      <c r="H321" s="59">
        <v>29.99</v>
      </c>
      <c r="I321" t="s">
        <v>1041</v>
      </c>
      <c r="J321" t="s">
        <v>14</v>
      </c>
      <c r="K321" s="60" t="s">
        <v>14</v>
      </c>
      <c r="L321" s="59">
        <v>0</v>
      </c>
      <c r="M321" s="61">
        <v>119.96</v>
      </c>
      <c r="N321">
        <f ca="1">IF(LEFT(tblSales[[#This Row],[Category]],1)="A",RANDBETWEEN(1,4),RANDBETWEEN(2,7))</f>
        <v>4</v>
      </c>
      <c r="O321" s="61" t="str">
        <f>IF(COUNTIF($A$2:A321,A321)=1,SUMIFS(tblSales[Revenue],tblSales[Order ID],tblSales[[#This Row],[Order ID]]),"")</f>
        <v/>
      </c>
      <c r="P321" t="str">
        <f>TEXT(tblSales[[#This Row],[Date]],"ddd")</f>
        <v>Mon</v>
      </c>
      <c r="Q321">
        <f>1/COUNTIF(tblSales[Order ID],tblSales[[#This Row],[Order ID]])</f>
        <v>0.25</v>
      </c>
    </row>
    <row r="322" spans="1:17" x14ac:dyDescent="0.3">
      <c r="A322">
        <v>202032</v>
      </c>
      <c r="B322" s="15">
        <v>45488</v>
      </c>
      <c r="C322">
        <v>109878</v>
      </c>
      <c r="D322">
        <v>200554</v>
      </c>
      <c r="E322" t="s">
        <v>1043</v>
      </c>
      <c r="F322" t="s">
        <v>1048</v>
      </c>
      <c r="G322">
        <v>1</v>
      </c>
      <c r="H322" s="59">
        <v>67.989999999999995</v>
      </c>
      <c r="I322" t="s">
        <v>1041</v>
      </c>
      <c r="J322" t="s">
        <v>14</v>
      </c>
      <c r="K322" s="60" t="s">
        <v>14</v>
      </c>
      <c r="L322" s="59">
        <v>0</v>
      </c>
      <c r="M322" s="61">
        <v>67.989999999999995</v>
      </c>
      <c r="N322">
        <f ca="1">IF(LEFT(tblSales[[#This Row],[Category]],1)="A",RANDBETWEEN(1,4),RANDBETWEEN(2,7))</f>
        <v>3</v>
      </c>
      <c r="O322" s="61" t="str">
        <f>IF(COUNTIF($A$2:A322,A322)=1,SUMIFS(tblSales[Revenue],tblSales[Order ID],tblSales[[#This Row],[Order ID]]),"")</f>
        <v/>
      </c>
      <c r="P322" t="str">
        <f>TEXT(tblSales[[#This Row],[Date]],"ddd")</f>
        <v>Mon</v>
      </c>
      <c r="Q322">
        <f>1/COUNTIF(tblSales[Order ID],tblSales[[#This Row],[Order ID]])</f>
        <v>0.25</v>
      </c>
    </row>
    <row r="323" spans="1:17" x14ac:dyDescent="0.3">
      <c r="A323">
        <v>202033</v>
      </c>
      <c r="B323" s="15">
        <v>45488</v>
      </c>
      <c r="C323">
        <v>118997</v>
      </c>
      <c r="D323">
        <v>100252</v>
      </c>
      <c r="E323" t="s">
        <v>1046</v>
      </c>
      <c r="F323" t="s">
        <v>158</v>
      </c>
      <c r="G323">
        <v>1</v>
      </c>
      <c r="H323" s="59">
        <v>449</v>
      </c>
      <c r="I323" t="s">
        <v>1041</v>
      </c>
      <c r="J323" t="s">
        <v>14</v>
      </c>
      <c r="K323" s="60" t="s">
        <v>14</v>
      </c>
      <c r="L323" s="59">
        <v>0</v>
      </c>
      <c r="M323" s="61">
        <v>449</v>
      </c>
      <c r="N323">
        <f ca="1">IF(LEFT(tblSales[[#This Row],[Category]],1)="A",RANDBETWEEN(1,4),RANDBETWEEN(2,7))</f>
        <v>7</v>
      </c>
      <c r="O323" s="61">
        <f>IF(COUNTIF($A$2:A323,A323)=1,SUMIFS(tblSales[Revenue],tblSales[Order ID],tblSales[[#This Row],[Order ID]]),"")</f>
        <v>709.98</v>
      </c>
      <c r="P323" t="str">
        <f>TEXT(tblSales[[#This Row],[Date]],"ddd")</f>
        <v>Mon</v>
      </c>
      <c r="Q323">
        <f>1/COUNTIF(tblSales[Order ID],tblSales[[#This Row],[Order ID]])</f>
        <v>0.25</v>
      </c>
    </row>
    <row r="324" spans="1:17" x14ac:dyDescent="0.3">
      <c r="A324">
        <v>202033</v>
      </c>
      <c r="B324" s="15">
        <v>45488</v>
      </c>
      <c r="C324">
        <v>118997</v>
      </c>
      <c r="D324">
        <v>200555</v>
      </c>
      <c r="E324" t="s">
        <v>1043</v>
      </c>
      <c r="F324" t="s">
        <v>1063</v>
      </c>
      <c r="G324">
        <v>1</v>
      </c>
      <c r="H324" s="59">
        <v>39.99</v>
      </c>
      <c r="I324" t="s">
        <v>1041</v>
      </c>
      <c r="J324" t="s">
        <v>14</v>
      </c>
      <c r="K324" s="60" t="s">
        <v>14</v>
      </c>
      <c r="L324" s="59">
        <v>0</v>
      </c>
      <c r="M324" s="61">
        <v>39.99</v>
      </c>
      <c r="N324">
        <f ca="1">IF(LEFT(tblSales[[#This Row],[Category]],1)="A",RANDBETWEEN(1,4),RANDBETWEEN(2,7))</f>
        <v>3</v>
      </c>
      <c r="O324" s="61" t="str">
        <f>IF(COUNTIF($A$2:A324,A324)=1,SUMIFS(tblSales[Revenue],tblSales[Order ID],tblSales[[#This Row],[Order ID]]),"")</f>
        <v/>
      </c>
      <c r="P324" t="str">
        <f>TEXT(tblSales[[#This Row],[Date]],"ddd")</f>
        <v>Mon</v>
      </c>
      <c r="Q324">
        <f>1/COUNTIF(tblSales[Order ID],tblSales[[#This Row],[Order ID]])</f>
        <v>0.25</v>
      </c>
    </row>
    <row r="325" spans="1:17" x14ac:dyDescent="0.3">
      <c r="A325">
        <v>202033</v>
      </c>
      <c r="B325" s="15">
        <v>45488</v>
      </c>
      <c r="C325">
        <v>118997</v>
      </c>
      <c r="D325">
        <v>300191</v>
      </c>
      <c r="E325" t="s">
        <v>1040</v>
      </c>
      <c r="F325" t="s">
        <v>1051</v>
      </c>
      <c r="G325">
        <v>1</v>
      </c>
      <c r="H325" s="59">
        <v>21.99</v>
      </c>
      <c r="I325" t="s">
        <v>1041</v>
      </c>
      <c r="J325" t="s">
        <v>14</v>
      </c>
      <c r="K325" s="60" t="s">
        <v>14</v>
      </c>
      <c r="L325" s="59">
        <v>0</v>
      </c>
      <c r="M325" s="61">
        <v>21.99</v>
      </c>
      <c r="N325">
        <f ca="1">IF(LEFT(tblSales[[#This Row],[Category]],1)="A",RANDBETWEEN(1,4),RANDBETWEEN(2,7))</f>
        <v>3</v>
      </c>
      <c r="O325" s="61" t="str">
        <f>IF(COUNTIF($A$2:A325,A325)=1,SUMIFS(tblSales[Revenue],tblSales[Order ID],tblSales[[#This Row],[Order ID]]),"")</f>
        <v/>
      </c>
      <c r="P325" t="str">
        <f>TEXT(tblSales[[#This Row],[Date]],"ddd")</f>
        <v>Mon</v>
      </c>
      <c r="Q325">
        <f>1/COUNTIF(tblSales[Order ID],tblSales[[#This Row],[Order ID]])</f>
        <v>0.25</v>
      </c>
    </row>
    <row r="326" spans="1:17" x14ac:dyDescent="0.3">
      <c r="A326">
        <v>202033</v>
      </c>
      <c r="B326" s="15">
        <v>45488</v>
      </c>
      <c r="C326">
        <v>118997</v>
      </c>
      <c r="D326">
        <v>100248</v>
      </c>
      <c r="E326" t="s">
        <v>1046</v>
      </c>
      <c r="F326" t="s">
        <v>168</v>
      </c>
      <c r="G326">
        <v>1</v>
      </c>
      <c r="H326" s="59">
        <v>199</v>
      </c>
      <c r="I326" t="s">
        <v>1041</v>
      </c>
      <c r="J326" t="s">
        <v>14</v>
      </c>
      <c r="K326" s="60" t="s">
        <v>14</v>
      </c>
      <c r="L326" s="59">
        <v>0</v>
      </c>
      <c r="M326" s="61">
        <v>199</v>
      </c>
      <c r="N326">
        <f ca="1">IF(LEFT(tblSales[[#This Row],[Category]],1)="A",RANDBETWEEN(1,4),RANDBETWEEN(2,7))</f>
        <v>6</v>
      </c>
      <c r="O326" s="61" t="str">
        <f>IF(COUNTIF($A$2:A326,A326)=1,SUMIFS(tblSales[Revenue],tblSales[Order ID],tblSales[[#This Row],[Order ID]]),"")</f>
        <v/>
      </c>
      <c r="P326" t="str">
        <f>TEXT(tblSales[[#This Row],[Date]],"ddd")</f>
        <v>Mon</v>
      </c>
      <c r="Q326">
        <f>1/COUNTIF(tblSales[Order ID],tblSales[[#This Row],[Order ID]])</f>
        <v>0.25</v>
      </c>
    </row>
    <row r="327" spans="1:17" x14ac:dyDescent="0.3">
      <c r="A327">
        <v>202034</v>
      </c>
      <c r="B327" s="15">
        <v>45486</v>
      </c>
      <c r="C327">
        <v>120688</v>
      </c>
      <c r="D327">
        <v>200549</v>
      </c>
      <c r="E327" t="s">
        <v>1043</v>
      </c>
      <c r="F327" t="s">
        <v>1042</v>
      </c>
      <c r="G327">
        <v>2</v>
      </c>
      <c r="H327" s="59">
        <v>18.989999999999998</v>
      </c>
      <c r="I327" t="s">
        <v>1041</v>
      </c>
      <c r="J327" t="s">
        <v>14</v>
      </c>
      <c r="K327" s="60" t="s">
        <v>14</v>
      </c>
      <c r="L327" s="59">
        <v>0</v>
      </c>
      <c r="M327" s="61">
        <v>37.979999999999997</v>
      </c>
      <c r="N327">
        <f ca="1">IF(LEFT(tblSales[[#This Row],[Category]],1)="A",RANDBETWEEN(1,4),RANDBETWEEN(2,7))</f>
        <v>2</v>
      </c>
      <c r="O327" s="61">
        <f>IF(COUNTIF($A$2:A327,A327)=1,SUMIFS(tblSales[Revenue],tblSales[Order ID],tblSales[[#This Row],[Order ID]]),"")</f>
        <v>37.979999999999997</v>
      </c>
      <c r="P327" t="str">
        <f>TEXT(tblSales[[#This Row],[Date]],"ddd")</f>
        <v>Sat</v>
      </c>
      <c r="Q327">
        <f>1/COUNTIF(tblSales[Order ID],tblSales[[#This Row],[Order ID]])</f>
        <v>1</v>
      </c>
    </row>
    <row r="328" spans="1:17" x14ac:dyDescent="0.3">
      <c r="A328">
        <v>202035</v>
      </c>
      <c r="B328" s="15">
        <v>45485</v>
      </c>
      <c r="C328">
        <v>117857</v>
      </c>
      <c r="D328">
        <v>200559</v>
      </c>
      <c r="E328" t="s">
        <v>1043</v>
      </c>
      <c r="F328" t="s">
        <v>1045</v>
      </c>
      <c r="G328">
        <v>4</v>
      </c>
      <c r="H328" s="59">
        <v>59.99</v>
      </c>
      <c r="I328" t="s">
        <v>1041</v>
      </c>
      <c r="J328" t="s">
        <v>14</v>
      </c>
      <c r="K328" s="60" t="s">
        <v>14</v>
      </c>
      <c r="L328" s="59">
        <v>0</v>
      </c>
      <c r="M328" s="61">
        <v>239.96</v>
      </c>
      <c r="N328">
        <f ca="1">IF(LEFT(tblSales[[#This Row],[Category]],1)="A",RANDBETWEEN(1,4),RANDBETWEEN(2,7))</f>
        <v>2</v>
      </c>
      <c r="O328" s="61">
        <f>IF(COUNTIF($A$2:A328,A328)=1,SUMIFS(tblSales[Revenue],tblSales[Order ID],tblSales[[#This Row],[Order ID]]),"")</f>
        <v>315.92</v>
      </c>
      <c r="P328" t="str">
        <f>TEXT(tblSales[[#This Row],[Date]],"ddd")</f>
        <v>Fri</v>
      </c>
      <c r="Q328">
        <f>1/COUNTIF(tblSales[Order ID],tblSales[[#This Row],[Order ID]])</f>
        <v>0.5</v>
      </c>
    </row>
    <row r="329" spans="1:17" x14ac:dyDescent="0.3">
      <c r="A329">
        <v>202035</v>
      </c>
      <c r="B329" s="15">
        <v>45485</v>
      </c>
      <c r="C329">
        <v>117857</v>
      </c>
      <c r="D329">
        <v>200549</v>
      </c>
      <c r="E329" t="s">
        <v>1043</v>
      </c>
      <c r="F329" t="s">
        <v>1042</v>
      </c>
      <c r="G329">
        <v>4</v>
      </c>
      <c r="H329" s="59">
        <v>18.989999999999998</v>
      </c>
      <c r="I329" t="s">
        <v>1041</v>
      </c>
      <c r="J329" t="s">
        <v>14</v>
      </c>
      <c r="K329" s="60" t="s">
        <v>14</v>
      </c>
      <c r="L329" s="59">
        <v>0</v>
      </c>
      <c r="M329" s="61">
        <v>75.959999999999994</v>
      </c>
      <c r="N329">
        <f ca="1">IF(LEFT(tblSales[[#This Row],[Category]],1)="A",RANDBETWEEN(1,4),RANDBETWEEN(2,7))</f>
        <v>2</v>
      </c>
      <c r="O329" s="61" t="str">
        <f>IF(COUNTIF($A$2:A329,A329)=1,SUMIFS(tblSales[Revenue],tblSales[Order ID],tblSales[[#This Row],[Order ID]]),"")</f>
        <v/>
      </c>
      <c r="P329" t="str">
        <f>TEXT(tblSales[[#This Row],[Date]],"ddd")</f>
        <v>Fri</v>
      </c>
      <c r="Q329">
        <f>1/COUNTIF(tblSales[Order ID],tblSales[[#This Row],[Order ID]])</f>
        <v>0.5</v>
      </c>
    </row>
    <row r="330" spans="1:17" x14ac:dyDescent="0.3">
      <c r="A330">
        <v>202036</v>
      </c>
      <c r="B330" s="15">
        <v>45486</v>
      </c>
      <c r="C330">
        <v>108874</v>
      </c>
      <c r="D330">
        <v>300191</v>
      </c>
      <c r="E330" t="s">
        <v>1040</v>
      </c>
      <c r="F330" t="s">
        <v>1051</v>
      </c>
      <c r="G330">
        <v>4</v>
      </c>
      <c r="H330" s="59">
        <v>21.99</v>
      </c>
      <c r="I330" t="s">
        <v>1041</v>
      </c>
      <c r="J330" t="s">
        <v>14</v>
      </c>
      <c r="K330" s="60" t="s">
        <v>14</v>
      </c>
      <c r="L330" s="59">
        <v>0</v>
      </c>
      <c r="M330" s="61">
        <v>87.96</v>
      </c>
      <c r="N330">
        <f ca="1">IF(LEFT(tblSales[[#This Row],[Category]],1)="A",RANDBETWEEN(1,4),RANDBETWEEN(2,7))</f>
        <v>4</v>
      </c>
      <c r="O330" s="61">
        <f>IF(COUNTIF($A$2:A330,A330)=1,SUMIFS(tblSales[Revenue],tblSales[Order ID],tblSales[[#This Row],[Order ID]]),"")</f>
        <v>87.96</v>
      </c>
      <c r="P330" t="str">
        <f>TEXT(tblSales[[#This Row],[Date]],"ddd")</f>
        <v>Sat</v>
      </c>
      <c r="Q330">
        <f>1/COUNTIF(tblSales[Order ID],tblSales[[#This Row],[Order ID]])</f>
        <v>1</v>
      </c>
    </row>
    <row r="331" spans="1:17" x14ac:dyDescent="0.3">
      <c r="A331">
        <v>202037</v>
      </c>
      <c r="B331" s="15">
        <v>45493</v>
      </c>
      <c r="C331">
        <v>118762</v>
      </c>
      <c r="D331">
        <v>200552</v>
      </c>
      <c r="E331" t="s">
        <v>1043</v>
      </c>
      <c r="F331" t="s">
        <v>1056</v>
      </c>
      <c r="G331">
        <v>1</v>
      </c>
      <c r="H331" s="59">
        <v>49.99</v>
      </c>
      <c r="I331" t="s">
        <v>1041</v>
      </c>
      <c r="J331" t="s">
        <v>14</v>
      </c>
      <c r="K331" s="60" t="s">
        <v>14</v>
      </c>
      <c r="L331" s="59">
        <v>0</v>
      </c>
      <c r="M331" s="61">
        <v>49.99</v>
      </c>
      <c r="N331">
        <f ca="1">IF(LEFT(tblSales[[#This Row],[Category]],1)="A",RANDBETWEEN(1,4),RANDBETWEEN(2,7))</f>
        <v>4</v>
      </c>
      <c r="O331" s="61">
        <f>IF(COUNTIF($A$2:A331,A331)=1,SUMIFS(tblSales[Revenue],tblSales[Order ID],tblSales[[#This Row],[Order ID]]),"")</f>
        <v>79.98</v>
      </c>
      <c r="P331" t="str">
        <f>TEXT(tblSales[[#This Row],[Date]],"ddd")</f>
        <v>Sat</v>
      </c>
      <c r="Q331">
        <f>1/COUNTIF(tblSales[Order ID],tblSales[[#This Row],[Order ID]])</f>
        <v>0.5</v>
      </c>
    </row>
    <row r="332" spans="1:17" x14ac:dyDescent="0.3">
      <c r="A332">
        <v>202037</v>
      </c>
      <c r="B332" s="15">
        <v>45493</v>
      </c>
      <c r="C332">
        <v>118762</v>
      </c>
      <c r="D332">
        <v>300185</v>
      </c>
      <c r="E332" t="s">
        <v>1040</v>
      </c>
      <c r="F332" t="s">
        <v>1049</v>
      </c>
      <c r="G332">
        <v>1</v>
      </c>
      <c r="H332" s="59">
        <v>29.99</v>
      </c>
      <c r="I332" t="s">
        <v>1041</v>
      </c>
      <c r="J332" t="s">
        <v>14</v>
      </c>
      <c r="K332" s="60" t="s">
        <v>14</v>
      </c>
      <c r="L332" s="59">
        <v>0</v>
      </c>
      <c r="M332" s="61">
        <v>29.99</v>
      </c>
      <c r="N332">
        <f ca="1">IF(LEFT(tblSales[[#This Row],[Category]],1)="A",RANDBETWEEN(1,4),RANDBETWEEN(2,7))</f>
        <v>4</v>
      </c>
      <c r="O332" s="61" t="str">
        <f>IF(COUNTIF($A$2:A332,A332)=1,SUMIFS(tblSales[Revenue],tblSales[Order ID],tblSales[[#This Row],[Order ID]]),"")</f>
        <v/>
      </c>
      <c r="P332" t="str">
        <f>TEXT(tblSales[[#This Row],[Date]],"ddd")</f>
        <v>Sat</v>
      </c>
      <c r="Q332">
        <f>1/COUNTIF(tblSales[Order ID],tblSales[[#This Row],[Order ID]])</f>
        <v>0.5</v>
      </c>
    </row>
    <row r="333" spans="1:17" x14ac:dyDescent="0.3">
      <c r="A333">
        <v>202038</v>
      </c>
      <c r="B333" s="15">
        <v>45493</v>
      </c>
      <c r="C333">
        <v>123418</v>
      </c>
      <c r="D333">
        <v>300191</v>
      </c>
      <c r="E333" t="s">
        <v>1040</v>
      </c>
      <c r="F333" t="s">
        <v>1051</v>
      </c>
      <c r="G333">
        <v>2</v>
      </c>
      <c r="H333" s="59">
        <v>21.99</v>
      </c>
      <c r="I333" t="s">
        <v>1041</v>
      </c>
      <c r="J333" t="s">
        <v>14</v>
      </c>
      <c r="K333" s="60" t="s">
        <v>14</v>
      </c>
      <c r="L333" s="59">
        <v>0</v>
      </c>
      <c r="M333" s="61">
        <v>43.98</v>
      </c>
      <c r="N333">
        <f ca="1">IF(LEFT(tblSales[[#This Row],[Category]],1)="A",RANDBETWEEN(1,4),RANDBETWEEN(2,7))</f>
        <v>3</v>
      </c>
      <c r="O333" s="61">
        <f>IF(COUNTIF($A$2:A333,A333)=1,SUMIFS(tblSales[Revenue],tblSales[Order ID],tblSales[[#This Row],[Order ID]]),"")</f>
        <v>43.98</v>
      </c>
      <c r="P333" t="str">
        <f>TEXT(tblSales[[#This Row],[Date]],"ddd")</f>
        <v>Sat</v>
      </c>
      <c r="Q333">
        <f>1/COUNTIF(tblSales[Order ID],tblSales[[#This Row],[Order ID]])</f>
        <v>1</v>
      </c>
    </row>
    <row r="334" spans="1:17" x14ac:dyDescent="0.3">
      <c r="A334">
        <v>202039</v>
      </c>
      <c r="B334" s="15">
        <v>45484</v>
      </c>
      <c r="C334">
        <v>115885</v>
      </c>
      <c r="D334">
        <v>100250</v>
      </c>
      <c r="E334" t="s">
        <v>1046</v>
      </c>
      <c r="F334" t="s">
        <v>202</v>
      </c>
      <c r="G334">
        <v>2</v>
      </c>
      <c r="H334" s="59">
        <v>189</v>
      </c>
      <c r="I334" t="s">
        <v>1041</v>
      </c>
      <c r="J334" t="s">
        <v>14</v>
      </c>
      <c r="K334" s="60" t="s">
        <v>14</v>
      </c>
      <c r="L334" s="59">
        <v>0</v>
      </c>
      <c r="M334" s="61">
        <v>378</v>
      </c>
      <c r="N334">
        <f ca="1">IF(LEFT(tblSales[[#This Row],[Category]],1)="A",RANDBETWEEN(1,4),RANDBETWEEN(2,7))</f>
        <v>2</v>
      </c>
      <c r="O334" s="61">
        <f>IF(COUNTIF($A$2:A334,A334)=1,SUMIFS(tblSales[Revenue],tblSales[Order ID],tblSales[[#This Row],[Order ID]]),"")</f>
        <v>1323</v>
      </c>
      <c r="P334" t="str">
        <f>TEXT(tblSales[[#This Row],[Date]],"ddd")</f>
        <v>Thu</v>
      </c>
      <c r="Q334">
        <f>1/COUNTIF(tblSales[Order ID],tblSales[[#This Row],[Order ID]])</f>
        <v>0.5</v>
      </c>
    </row>
    <row r="335" spans="1:17" x14ac:dyDescent="0.3">
      <c r="A335">
        <v>202039</v>
      </c>
      <c r="B335" s="15">
        <v>45484</v>
      </c>
      <c r="C335">
        <v>115885</v>
      </c>
      <c r="D335">
        <v>100250</v>
      </c>
      <c r="E335" t="s">
        <v>1046</v>
      </c>
      <c r="F335" t="s">
        <v>202</v>
      </c>
      <c r="G335">
        <v>5</v>
      </c>
      <c r="H335" s="59">
        <v>189</v>
      </c>
      <c r="I335" t="s">
        <v>1041</v>
      </c>
      <c r="J335" t="s">
        <v>14</v>
      </c>
      <c r="K335" s="60" t="s">
        <v>14</v>
      </c>
      <c r="L335" s="59">
        <v>0</v>
      </c>
      <c r="M335" s="61">
        <v>945</v>
      </c>
      <c r="N335">
        <f ca="1">IF(LEFT(tblSales[[#This Row],[Category]],1)="A",RANDBETWEEN(1,4),RANDBETWEEN(2,7))</f>
        <v>2</v>
      </c>
      <c r="O335" s="61" t="str">
        <f>IF(COUNTIF($A$2:A335,A335)=1,SUMIFS(tblSales[Revenue],tblSales[Order ID],tblSales[[#This Row],[Order ID]]),"")</f>
        <v/>
      </c>
      <c r="P335" t="str">
        <f>TEXT(tblSales[[#This Row],[Date]],"ddd")</f>
        <v>Thu</v>
      </c>
      <c r="Q335">
        <f>1/COUNTIF(tblSales[Order ID],tblSales[[#This Row],[Order ID]])</f>
        <v>0.5</v>
      </c>
    </row>
    <row r="336" spans="1:17" x14ac:dyDescent="0.3">
      <c r="A336">
        <v>202040</v>
      </c>
      <c r="B336" s="15">
        <v>45492</v>
      </c>
      <c r="C336">
        <v>111920</v>
      </c>
      <c r="D336">
        <v>100252</v>
      </c>
      <c r="E336" t="s">
        <v>1046</v>
      </c>
      <c r="F336" t="s">
        <v>158</v>
      </c>
      <c r="G336">
        <v>1</v>
      </c>
      <c r="H336" s="59">
        <v>449</v>
      </c>
      <c r="I336" t="s">
        <v>1041</v>
      </c>
      <c r="J336" t="s">
        <v>14</v>
      </c>
      <c r="K336" s="60" t="s">
        <v>14</v>
      </c>
      <c r="L336" s="59">
        <v>0</v>
      </c>
      <c r="M336" s="61">
        <v>449</v>
      </c>
      <c r="N336">
        <f ca="1">IF(LEFT(tblSales[[#This Row],[Category]],1)="A",RANDBETWEEN(1,4),RANDBETWEEN(2,7))</f>
        <v>4</v>
      </c>
      <c r="O336" s="61">
        <f>IF(COUNTIF($A$2:A336,A336)=1,SUMIFS(tblSales[Revenue],tblSales[Order ID],tblSales[[#This Row],[Order ID]]),"")</f>
        <v>638</v>
      </c>
      <c r="P336" t="str">
        <f>TEXT(tblSales[[#This Row],[Date]],"ddd")</f>
        <v>Fri</v>
      </c>
      <c r="Q336">
        <f>1/COUNTIF(tblSales[Order ID],tblSales[[#This Row],[Order ID]])</f>
        <v>0.5</v>
      </c>
    </row>
    <row r="337" spans="1:17" x14ac:dyDescent="0.3">
      <c r="A337">
        <v>202040</v>
      </c>
      <c r="B337" s="15">
        <v>45492</v>
      </c>
      <c r="C337">
        <v>111920</v>
      </c>
      <c r="D337">
        <v>100250</v>
      </c>
      <c r="E337" t="s">
        <v>1046</v>
      </c>
      <c r="F337" t="s">
        <v>202</v>
      </c>
      <c r="G337">
        <v>1</v>
      </c>
      <c r="H337" s="59">
        <v>189</v>
      </c>
      <c r="I337" t="s">
        <v>1041</v>
      </c>
      <c r="J337" t="s">
        <v>14</v>
      </c>
      <c r="K337" s="60" t="s">
        <v>14</v>
      </c>
      <c r="L337" s="59">
        <v>0</v>
      </c>
      <c r="M337" s="61">
        <v>189</v>
      </c>
      <c r="N337">
        <f ca="1">IF(LEFT(tblSales[[#This Row],[Category]],1)="A",RANDBETWEEN(1,4),RANDBETWEEN(2,7))</f>
        <v>7</v>
      </c>
      <c r="O337" s="61" t="str">
        <f>IF(COUNTIF($A$2:A337,A337)=1,SUMIFS(tblSales[Revenue],tblSales[Order ID],tblSales[[#This Row],[Order ID]]),"")</f>
        <v/>
      </c>
      <c r="P337" t="str">
        <f>TEXT(tblSales[[#This Row],[Date]],"ddd")</f>
        <v>Fri</v>
      </c>
      <c r="Q337">
        <f>1/COUNTIF(tblSales[Order ID],tblSales[[#This Row],[Order ID]])</f>
        <v>0.5</v>
      </c>
    </row>
    <row r="338" spans="1:17" x14ac:dyDescent="0.3">
      <c r="A338">
        <v>202041</v>
      </c>
      <c r="B338" s="15">
        <v>45484</v>
      </c>
      <c r="C338">
        <v>130193</v>
      </c>
      <c r="D338">
        <v>100252</v>
      </c>
      <c r="E338" t="s">
        <v>1046</v>
      </c>
      <c r="F338" t="s">
        <v>158</v>
      </c>
      <c r="G338">
        <v>2</v>
      </c>
      <c r="H338" s="59">
        <v>449</v>
      </c>
      <c r="I338" t="s">
        <v>120</v>
      </c>
      <c r="J338" t="s">
        <v>1047</v>
      </c>
      <c r="K338" s="60">
        <v>0.1</v>
      </c>
      <c r="L338" s="59">
        <v>89.800000000000011</v>
      </c>
      <c r="M338" s="61">
        <v>808.2</v>
      </c>
      <c r="N338">
        <f ca="1">IF(LEFT(tblSales[[#This Row],[Category]],1)="A",RANDBETWEEN(1,4),RANDBETWEEN(2,7))</f>
        <v>3</v>
      </c>
      <c r="O338" s="61">
        <f>IF(COUNTIF($A$2:A338,A338)=1,SUMIFS(tblSales[Revenue],tblSales[Order ID],tblSales[[#This Row],[Order ID]]),"")</f>
        <v>889.173</v>
      </c>
      <c r="P338" t="str">
        <f>TEXT(tblSales[[#This Row],[Date]],"ddd")</f>
        <v>Thu</v>
      </c>
      <c r="Q338">
        <f>1/COUNTIF(tblSales[Order ID],tblSales[[#This Row],[Order ID]])</f>
        <v>0.5</v>
      </c>
    </row>
    <row r="339" spans="1:17" x14ac:dyDescent="0.3">
      <c r="A339">
        <v>202041</v>
      </c>
      <c r="B339" s="15">
        <v>45484</v>
      </c>
      <c r="C339">
        <v>130193</v>
      </c>
      <c r="D339">
        <v>300185</v>
      </c>
      <c r="E339" t="s">
        <v>1040</v>
      </c>
      <c r="F339" t="s">
        <v>1049</v>
      </c>
      <c r="G339">
        <v>3</v>
      </c>
      <c r="H339" s="59">
        <v>29.99</v>
      </c>
      <c r="I339" t="s">
        <v>120</v>
      </c>
      <c r="J339" t="s">
        <v>1047</v>
      </c>
      <c r="K339" s="60">
        <v>0.1</v>
      </c>
      <c r="L339" s="59">
        <v>8.9969999999999999</v>
      </c>
      <c r="M339" s="61">
        <v>80.972999999999999</v>
      </c>
      <c r="N339">
        <f ca="1">IF(LEFT(tblSales[[#This Row],[Category]],1)="A",RANDBETWEEN(1,4),RANDBETWEEN(2,7))</f>
        <v>3</v>
      </c>
      <c r="O339" s="61" t="str">
        <f>IF(COUNTIF($A$2:A339,A339)=1,SUMIFS(tblSales[Revenue],tblSales[Order ID],tblSales[[#This Row],[Order ID]]),"")</f>
        <v/>
      </c>
      <c r="P339" t="str">
        <f>TEXT(tblSales[[#This Row],[Date]],"ddd")</f>
        <v>Thu</v>
      </c>
      <c r="Q339">
        <f>1/COUNTIF(tblSales[Order ID],tblSales[[#This Row],[Order ID]])</f>
        <v>0.5</v>
      </c>
    </row>
    <row r="340" spans="1:17" x14ac:dyDescent="0.3">
      <c r="A340">
        <v>202042</v>
      </c>
      <c r="B340" s="15">
        <v>45485</v>
      </c>
      <c r="C340">
        <v>105038</v>
      </c>
      <c r="D340">
        <v>200549</v>
      </c>
      <c r="E340" t="s">
        <v>1043</v>
      </c>
      <c r="F340" t="s">
        <v>1042</v>
      </c>
      <c r="G340">
        <v>3</v>
      </c>
      <c r="H340" s="59">
        <v>18.989999999999998</v>
      </c>
      <c r="I340" t="s">
        <v>120</v>
      </c>
      <c r="J340" t="s">
        <v>1052</v>
      </c>
      <c r="K340" s="60">
        <v>0.15</v>
      </c>
      <c r="L340" s="59">
        <v>8.5454999999999988</v>
      </c>
      <c r="M340" s="61">
        <v>48.424500000000002</v>
      </c>
      <c r="N340">
        <f ca="1">IF(LEFT(tblSales[[#This Row],[Category]],1)="A",RANDBETWEEN(1,4),RANDBETWEEN(2,7))</f>
        <v>1</v>
      </c>
      <c r="O340" s="61">
        <f>IF(COUNTIF($A$2:A340,A340)=1,SUMIFS(tblSales[Revenue],tblSales[Order ID],tblSales[[#This Row],[Order ID]]),"")</f>
        <v>327.15649999999999</v>
      </c>
      <c r="P340" t="str">
        <f>TEXT(tblSales[[#This Row],[Date]],"ddd")</f>
        <v>Fri</v>
      </c>
      <c r="Q340">
        <f>1/COUNTIF(tblSales[Order ID],tblSales[[#This Row],[Order ID]])</f>
        <v>0.25</v>
      </c>
    </row>
    <row r="341" spans="1:17" x14ac:dyDescent="0.3">
      <c r="A341">
        <v>202042</v>
      </c>
      <c r="B341" s="15">
        <v>45485</v>
      </c>
      <c r="C341">
        <v>105038</v>
      </c>
      <c r="D341">
        <v>300187</v>
      </c>
      <c r="E341" t="s">
        <v>1040</v>
      </c>
      <c r="F341" t="s">
        <v>1058</v>
      </c>
      <c r="G341">
        <v>2</v>
      </c>
      <c r="H341" s="59">
        <v>54.99</v>
      </c>
      <c r="I341" t="s">
        <v>120</v>
      </c>
      <c r="J341" t="s">
        <v>1052</v>
      </c>
      <c r="K341" s="60">
        <v>0.15</v>
      </c>
      <c r="L341" s="59">
        <v>16.497</v>
      </c>
      <c r="M341" s="61">
        <v>93.483000000000004</v>
      </c>
      <c r="N341">
        <f ca="1">IF(LEFT(tblSales[[#This Row],[Category]],1)="A",RANDBETWEEN(1,4),RANDBETWEEN(2,7))</f>
        <v>2</v>
      </c>
      <c r="O341" s="61" t="str">
        <f>IF(COUNTIF($A$2:A341,A341)=1,SUMIFS(tblSales[Revenue],tblSales[Order ID],tblSales[[#This Row],[Order ID]]),"")</f>
        <v/>
      </c>
      <c r="P341" t="str">
        <f>TEXT(tblSales[[#This Row],[Date]],"ddd")</f>
        <v>Fri</v>
      </c>
      <c r="Q341">
        <f>1/COUNTIF(tblSales[Order ID],tblSales[[#This Row],[Order ID]])</f>
        <v>0.25</v>
      </c>
    </row>
    <row r="342" spans="1:17" x14ac:dyDescent="0.3">
      <c r="A342">
        <v>202042</v>
      </c>
      <c r="B342" s="15">
        <v>45485</v>
      </c>
      <c r="C342">
        <v>105038</v>
      </c>
      <c r="D342">
        <v>300191</v>
      </c>
      <c r="E342" t="s">
        <v>1040</v>
      </c>
      <c r="F342" t="s">
        <v>1051</v>
      </c>
      <c r="G342">
        <v>4</v>
      </c>
      <c r="H342" s="59">
        <v>21.99</v>
      </c>
      <c r="I342" t="s">
        <v>120</v>
      </c>
      <c r="J342" t="s">
        <v>1052</v>
      </c>
      <c r="K342" s="60">
        <v>0.15</v>
      </c>
      <c r="L342" s="59">
        <v>13.193999999999999</v>
      </c>
      <c r="M342" s="61">
        <v>74.765999999999991</v>
      </c>
      <c r="N342">
        <f ca="1">IF(LEFT(tblSales[[#This Row],[Category]],1)="A",RANDBETWEEN(1,4),RANDBETWEEN(2,7))</f>
        <v>4</v>
      </c>
      <c r="O342" s="61" t="str">
        <f>IF(COUNTIF($A$2:A342,A342)=1,SUMIFS(tblSales[Revenue],tblSales[Order ID],tblSales[[#This Row],[Order ID]]),"")</f>
        <v/>
      </c>
      <c r="P342" t="str">
        <f>TEXT(tblSales[[#This Row],[Date]],"ddd")</f>
        <v>Fri</v>
      </c>
      <c r="Q342">
        <f>1/COUNTIF(tblSales[Order ID],tblSales[[#This Row],[Order ID]])</f>
        <v>0.25</v>
      </c>
    </row>
    <row r="343" spans="1:17" x14ac:dyDescent="0.3">
      <c r="A343">
        <v>202042</v>
      </c>
      <c r="B343" s="15">
        <v>45485</v>
      </c>
      <c r="C343">
        <v>105038</v>
      </c>
      <c r="D343">
        <v>200556</v>
      </c>
      <c r="E343" t="s">
        <v>1043</v>
      </c>
      <c r="F343" t="s">
        <v>1044</v>
      </c>
      <c r="G343">
        <v>2</v>
      </c>
      <c r="H343" s="59">
        <v>64.989999999999995</v>
      </c>
      <c r="I343" t="s">
        <v>120</v>
      </c>
      <c r="J343" t="s">
        <v>1052</v>
      </c>
      <c r="K343" s="60">
        <v>0.15</v>
      </c>
      <c r="L343" s="59">
        <v>19.496999999999996</v>
      </c>
      <c r="M343" s="61">
        <v>110.48299999999999</v>
      </c>
      <c r="N343">
        <f ca="1">IF(LEFT(tblSales[[#This Row],[Category]],1)="A",RANDBETWEEN(1,4),RANDBETWEEN(2,7))</f>
        <v>4</v>
      </c>
      <c r="O343" s="61" t="str">
        <f>IF(COUNTIF($A$2:A343,A343)=1,SUMIFS(tblSales[Revenue],tblSales[Order ID],tblSales[[#This Row],[Order ID]]),"")</f>
        <v/>
      </c>
      <c r="P343" t="str">
        <f>TEXT(tblSales[[#This Row],[Date]],"ddd")</f>
        <v>Fri</v>
      </c>
      <c r="Q343">
        <f>1/COUNTIF(tblSales[Order ID],tblSales[[#This Row],[Order ID]])</f>
        <v>0.25</v>
      </c>
    </row>
    <row r="344" spans="1:17" x14ac:dyDescent="0.3">
      <c r="A344">
        <v>202043</v>
      </c>
      <c r="B344" s="15">
        <v>45483</v>
      </c>
      <c r="C344">
        <v>125418</v>
      </c>
      <c r="D344">
        <v>300186</v>
      </c>
      <c r="E344" t="s">
        <v>1040</v>
      </c>
      <c r="F344" t="s">
        <v>1061</v>
      </c>
      <c r="G344">
        <v>1</v>
      </c>
      <c r="H344" s="59">
        <v>49.99</v>
      </c>
      <c r="I344" t="s">
        <v>1041</v>
      </c>
      <c r="J344" t="s">
        <v>14</v>
      </c>
      <c r="K344" s="60" t="s">
        <v>14</v>
      </c>
      <c r="L344" s="59">
        <v>0</v>
      </c>
      <c r="M344" s="61">
        <v>49.99</v>
      </c>
      <c r="N344">
        <f ca="1">IF(LEFT(tblSales[[#This Row],[Category]],1)="A",RANDBETWEEN(1,4),RANDBETWEEN(2,7))</f>
        <v>1</v>
      </c>
      <c r="O344" s="61">
        <f>IF(COUNTIF($A$2:A344,A344)=1,SUMIFS(tblSales[Revenue],tblSales[Order ID],tblSales[[#This Row],[Order ID]]),"")</f>
        <v>930.97</v>
      </c>
      <c r="P344" t="str">
        <f>TEXT(tblSales[[#This Row],[Date]],"ddd")</f>
        <v>Wed</v>
      </c>
      <c r="Q344">
        <f>1/COUNTIF(tblSales[Order ID],tblSales[[#This Row],[Order ID]])</f>
        <v>0.25</v>
      </c>
    </row>
    <row r="345" spans="1:17" x14ac:dyDescent="0.3">
      <c r="A345">
        <v>202043</v>
      </c>
      <c r="B345" s="15">
        <v>45483</v>
      </c>
      <c r="C345">
        <v>125418</v>
      </c>
      <c r="D345">
        <v>100250</v>
      </c>
      <c r="E345" t="s">
        <v>1046</v>
      </c>
      <c r="F345" t="s">
        <v>202</v>
      </c>
      <c r="G345">
        <v>4</v>
      </c>
      <c r="H345" s="59">
        <v>189</v>
      </c>
      <c r="I345" t="s">
        <v>1041</v>
      </c>
      <c r="J345" t="s">
        <v>14</v>
      </c>
      <c r="K345" s="60" t="s">
        <v>14</v>
      </c>
      <c r="L345" s="59">
        <v>0</v>
      </c>
      <c r="M345" s="61">
        <v>756</v>
      </c>
      <c r="N345">
        <f ca="1">IF(LEFT(tblSales[[#This Row],[Category]],1)="A",RANDBETWEEN(1,4),RANDBETWEEN(2,7))</f>
        <v>5</v>
      </c>
      <c r="O345" s="61" t="str">
        <f>IF(COUNTIF($A$2:A345,A345)=1,SUMIFS(tblSales[Revenue],tblSales[Order ID],tblSales[[#This Row],[Order ID]]),"")</f>
        <v/>
      </c>
      <c r="P345" t="str">
        <f>TEXT(tblSales[[#This Row],[Date]],"ddd")</f>
        <v>Wed</v>
      </c>
      <c r="Q345">
        <f>1/COUNTIF(tblSales[Order ID],tblSales[[#This Row],[Order ID]])</f>
        <v>0.25</v>
      </c>
    </row>
    <row r="346" spans="1:17" x14ac:dyDescent="0.3">
      <c r="A346">
        <v>202043</v>
      </c>
      <c r="B346" s="15">
        <v>45483</v>
      </c>
      <c r="C346">
        <v>125418</v>
      </c>
      <c r="D346">
        <v>200559</v>
      </c>
      <c r="E346" t="s">
        <v>1043</v>
      </c>
      <c r="F346" t="s">
        <v>1045</v>
      </c>
      <c r="G346">
        <v>1</v>
      </c>
      <c r="H346" s="59">
        <v>59.99</v>
      </c>
      <c r="I346" t="s">
        <v>1041</v>
      </c>
      <c r="J346" t="s">
        <v>14</v>
      </c>
      <c r="K346" s="60" t="s">
        <v>14</v>
      </c>
      <c r="L346" s="59">
        <v>0</v>
      </c>
      <c r="M346" s="61">
        <v>59.99</v>
      </c>
      <c r="N346">
        <f ca="1">IF(LEFT(tblSales[[#This Row],[Category]],1)="A",RANDBETWEEN(1,4),RANDBETWEEN(2,7))</f>
        <v>1</v>
      </c>
      <c r="O346" s="61" t="str">
        <f>IF(COUNTIF($A$2:A346,A346)=1,SUMIFS(tblSales[Revenue],tblSales[Order ID],tblSales[[#This Row],[Order ID]]),"")</f>
        <v/>
      </c>
      <c r="P346" t="str">
        <f>TEXT(tblSales[[#This Row],[Date]],"ddd")</f>
        <v>Wed</v>
      </c>
      <c r="Q346">
        <f>1/COUNTIF(tblSales[Order ID],tblSales[[#This Row],[Order ID]])</f>
        <v>0.25</v>
      </c>
    </row>
    <row r="347" spans="1:17" x14ac:dyDescent="0.3">
      <c r="A347">
        <v>202043</v>
      </c>
      <c r="B347" s="15">
        <v>45483</v>
      </c>
      <c r="C347">
        <v>125418</v>
      </c>
      <c r="D347">
        <v>300188</v>
      </c>
      <c r="E347" t="s">
        <v>1040</v>
      </c>
      <c r="F347" t="s">
        <v>1060</v>
      </c>
      <c r="G347">
        <v>1</v>
      </c>
      <c r="H347" s="59">
        <v>64.989999999999995</v>
      </c>
      <c r="I347" t="s">
        <v>1041</v>
      </c>
      <c r="J347" t="s">
        <v>14</v>
      </c>
      <c r="K347" s="60" t="s">
        <v>14</v>
      </c>
      <c r="L347" s="59">
        <v>0</v>
      </c>
      <c r="M347" s="61">
        <v>64.989999999999995</v>
      </c>
      <c r="N347">
        <f ca="1">IF(LEFT(tblSales[[#This Row],[Category]],1)="A",RANDBETWEEN(1,4),RANDBETWEEN(2,7))</f>
        <v>2</v>
      </c>
      <c r="O347" s="61" t="str">
        <f>IF(COUNTIF($A$2:A347,A347)=1,SUMIFS(tblSales[Revenue],tblSales[Order ID],tblSales[[#This Row],[Order ID]]),"")</f>
        <v/>
      </c>
      <c r="P347" t="str">
        <f>TEXT(tblSales[[#This Row],[Date]],"ddd")</f>
        <v>Wed</v>
      </c>
      <c r="Q347">
        <f>1/COUNTIF(tblSales[Order ID],tblSales[[#This Row],[Order ID]])</f>
        <v>0.25</v>
      </c>
    </row>
    <row r="348" spans="1:17" x14ac:dyDescent="0.3">
      <c r="A348">
        <v>202044</v>
      </c>
      <c r="B348" s="15">
        <v>45486</v>
      </c>
      <c r="C348">
        <v>102573</v>
      </c>
      <c r="D348">
        <v>200551</v>
      </c>
      <c r="E348" t="s">
        <v>1043</v>
      </c>
      <c r="F348" t="s">
        <v>1062</v>
      </c>
      <c r="G348">
        <v>5</v>
      </c>
      <c r="H348" s="59">
        <v>79.989999999999995</v>
      </c>
      <c r="I348" t="s">
        <v>1041</v>
      </c>
      <c r="J348" t="s">
        <v>14</v>
      </c>
      <c r="K348" s="60" t="s">
        <v>14</v>
      </c>
      <c r="L348" s="59">
        <v>0</v>
      </c>
      <c r="M348" s="61">
        <v>399.95</v>
      </c>
      <c r="N348">
        <f ca="1">IF(LEFT(tblSales[[#This Row],[Category]],1)="A",RANDBETWEEN(1,4),RANDBETWEEN(2,7))</f>
        <v>3</v>
      </c>
      <c r="O348" s="61">
        <f>IF(COUNTIF($A$2:A348,A348)=1,SUMIFS(tblSales[Revenue],tblSales[Order ID],tblSales[[#This Row],[Order ID]]),"")</f>
        <v>1266.92</v>
      </c>
      <c r="P348" t="str">
        <f>TEXT(tblSales[[#This Row],[Date]],"ddd")</f>
        <v>Sat</v>
      </c>
      <c r="Q348">
        <f>1/COUNTIF(tblSales[Order ID],tblSales[[#This Row],[Order ID]])</f>
        <v>0.25</v>
      </c>
    </row>
    <row r="349" spans="1:17" x14ac:dyDescent="0.3">
      <c r="A349">
        <v>202044</v>
      </c>
      <c r="B349" s="15">
        <v>45486</v>
      </c>
      <c r="C349">
        <v>102573</v>
      </c>
      <c r="D349">
        <v>200549</v>
      </c>
      <c r="E349" t="s">
        <v>1043</v>
      </c>
      <c r="F349" t="s">
        <v>1042</v>
      </c>
      <c r="G349">
        <v>2</v>
      </c>
      <c r="H349" s="59">
        <v>18.989999999999998</v>
      </c>
      <c r="I349" t="s">
        <v>1041</v>
      </c>
      <c r="J349" t="s">
        <v>14</v>
      </c>
      <c r="K349" s="60" t="s">
        <v>14</v>
      </c>
      <c r="L349" s="59">
        <v>0</v>
      </c>
      <c r="M349" s="61">
        <v>37.979999999999997</v>
      </c>
      <c r="N349">
        <f ca="1">IF(LEFT(tblSales[[#This Row],[Category]],1)="A",RANDBETWEEN(1,4),RANDBETWEEN(2,7))</f>
        <v>1</v>
      </c>
      <c r="O349" s="61" t="str">
        <f>IF(COUNTIF($A$2:A349,A349)=1,SUMIFS(tblSales[Revenue],tblSales[Order ID],tblSales[[#This Row],[Order ID]]),"")</f>
        <v/>
      </c>
      <c r="P349" t="str">
        <f>TEXT(tblSales[[#This Row],[Date]],"ddd")</f>
        <v>Sat</v>
      </c>
      <c r="Q349">
        <f>1/COUNTIF(tblSales[Order ID],tblSales[[#This Row],[Order ID]])</f>
        <v>0.25</v>
      </c>
    </row>
    <row r="350" spans="1:17" x14ac:dyDescent="0.3">
      <c r="A350">
        <v>202044</v>
      </c>
      <c r="B350" s="15">
        <v>45486</v>
      </c>
      <c r="C350">
        <v>102573</v>
      </c>
      <c r="D350">
        <v>300185</v>
      </c>
      <c r="E350" t="s">
        <v>1040</v>
      </c>
      <c r="F350" t="s">
        <v>1049</v>
      </c>
      <c r="G350">
        <v>1</v>
      </c>
      <c r="H350" s="59">
        <v>29.99</v>
      </c>
      <c r="I350" t="s">
        <v>1041</v>
      </c>
      <c r="J350" t="s">
        <v>14</v>
      </c>
      <c r="K350" s="60" t="s">
        <v>14</v>
      </c>
      <c r="L350" s="59">
        <v>0</v>
      </c>
      <c r="M350" s="61">
        <v>29.99</v>
      </c>
      <c r="N350">
        <f ca="1">IF(LEFT(tblSales[[#This Row],[Category]],1)="A",RANDBETWEEN(1,4),RANDBETWEEN(2,7))</f>
        <v>2</v>
      </c>
      <c r="O350" s="61" t="str">
        <f>IF(COUNTIF($A$2:A350,A350)=1,SUMIFS(tblSales[Revenue],tblSales[Order ID],tblSales[[#This Row],[Order ID]]),"")</f>
        <v/>
      </c>
      <c r="P350" t="str">
        <f>TEXT(tblSales[[#This Row],[Date]],"ddd")</f>
        <v>Sat</v>
      </c>
      <c r="Q350">
        <f>1/COUNTIF(tblSales[Order ID],tblSales[[#This Row],[Order ID]])</f>
        <v>0.25</v>
      </c>
    </row>
    <row r="351" spans="1:17" x14ac:dyDescent="0.3">
      <c r="A351">
        <v>202044</v>
      </c>
      <c r="B351" s="15">
        <v>45486</v>
      </c>
      <c r="C351">
        <v>102573</v>
      </c>
      <c r="D351">
        <v>100254</v>
      </c>
      <c r="E351" t="s">
        <v>1046</v>
      </c>
      <c r="F351" t="s">
        <v>164</v>
      </c>
      <c r="G351">
        <v>1</v>
      </c>
      <c r="H351" s="59">
        <v>799</v>
      </c>
      <c r="I351" t="s">
        <v>1041</v>
      </c>
      <c r="J351" t="s">
        <v>14</v>
      </c>
      <c r="K351" s="60" t="s">
        <v>14</v>
      </c>
      <c r="L351" s="59">
        <v>0</v>
      </c>
      <c r="M351" s="61">
        <v>799</v>
      </c>
      <c r="N351">
        <f ca="1">IF(LEFT(tblSales[[#This Row],[Category]],1)="A",RANDBETWEEN(1,4),RANDBETWEEN(2,7))</f>
        <v>3</v>
      </c>
      <c r="O351" s="61" t="str">
        <f>IF(COUNTIF($A$2:A351,A351)=1,SUMIFS(tblSales[Revenue],tblSales[Order ID],tblSales[[#This Row],[Order ID]]),"")</f>
        <v/>
      </c>
      <c r="P351" t="str">
        <f>TEXT(tblSales[[#This Row],[Date]],"ddd")</f>
        <v>Sat</v>
      </c>
      <c r="Q351">
        <f>1/COUNTIF(tblSales[Order ID],tblSales[[#This Row],[Order ID]])</f>
        <v>0.25</v>
      </c>
    </row>
    <row r="352" spans="1:17" x14ac:dyDescent="0.3">
      <c r="A352">
        <v>202045</v>
      </c>
      <c r="B352" s="15">
        <v>45489</v>
      </c>
      <c r="C352">
        <v>117138</v>
      </c>
      <c r="D352">
        <v>200549</v>
      </c>
      <c r="E352" t="s">
        <v>1043</v>
      </c>
      <c r="F352" t="s">
        <v>1042</v>
      </c>
      <c r="G352">
        <v>1</v>
      </c>
      <c r="H352" s="59">
        <v>18.989999999999998</v>
      </c>
      <c r="I352" t="s">
        <v>1041</v>
      </c>
      <c r="J352" t="s">
        <v>14</v>
      </c>
      <c r="K352" s="60" t="s">
        <v>14</v>
      </c>
      <c r="L352" s="59">
        <v>0</v>
      </c>
      <c r="M352" s="61">
        <v>18.989999999999998</v>
      </c>
      <c r="N352">
        <f ca="1">IF(LEFT(tblSales[[#This Row],[Category]],1)="A",RANDBETWEEN(1,4),RANDBETWEEN(2,7))</f>
        <v>3</v>
      </c>
      <c r="O352" s="61">
        <f>IF(COUNTIF($A$2:A352,A352)=1,SUMIFS(tblSales[Revenue],tblSales[Order ID],tblSales[[#This Row],[Order ID]]),"")</f>
        <v>243.90999999999997</v>
      </c>
      <c r="P352" t="str">
        <f>TEXT(tblSales[[#This Row],[Date]],"ddd")</f>
        <v>Tue</v>
      </c>
      <c r="Q352">
        <f>1/COUNTIF(tblSales[Order ID],tblSales[[#This Row],[Order ID]])</f>
        <v>0.2</v>
      </c>
    </row>
    <row r="353" spans="1:17" x14ac:dyDescent="0.3">
      <c r="A353">
        <v>202045</v>
      </c>
      <c r="B353" s="15">
        <v>45489</v>
      </c>
      <c r="C353">
        <v>117138</v>
      </c>
      <c r="D353">
        <v>300185</v>
      </c>
      <c r="E353" t="s">
        <v>1040</v>
      </c>
      <c r="F353" t="s">
        <v>1049</v>
      </c>
      <c r="G353">
        <v>2</v>
      </c>
      <c r="H353" s="59">
        <v>29.99</v>
      </c>
      <c r="I353" t="s">
        <v>1041</v>
      </c>
      <c r="J353" t="s">
        <v>14</v>
      </c>
      <c r="K353" s="60" t="s">
        <v>14</v>
      </c>
      <c r="L353" s="59">
        <v>0</v>
      </c>
      <c r="M353" s="61">
        <v>59.98</v>
      </c>
      <c r="N353">
        <f ca="1">IF(LEFT(tblSales[[#This Row],[Category]],1)="A",RANDBETWEEN(1,4),RANDBETWEEN(2,7))</f>
        <v>3</v>
      </c>
      <c r="O353" s="61" t="str">
        <f>IF(COUNTIF($A$2:A353,A353)=1,SUMIFS(tblSales[Revenue],tblSales[Order ID],tblSales[[#This Row],[Order ID]]),"")</f>
        <v/>
      </c>
      <c r="P353" t="str">
        <f>TEXT(tblSales[[#This Row],[Date]],"ddd")</f>
        <v>Tue</v>
      </c>
      <c r="Q353">
        <f>1/COUNTIF(tblSales[Order ID],tblSales[[#This Row],[Order ID]])</f>
        <v>0.2</v>
      </c>
    </row>
    <row r="354" spans="1:17" x14ac:dyDescent="0.3">
      <c r="A354">
        <v>202045</v>
      </c>
      <c r="B354" s="15">
        <v>45489</v>
      </c>
      <c r="C354">
        <v>117138</v>
      </c>
      <c r="D354">
        <v>300191</v>
      </c>
      <c r="E354" t="s">
        <v>1040</v>
      </c>
      <c r="F354" t="s">
        <v>1051</v>
      </c>
      <c r="G354">
        <v>1</v>
      </c>
      <c r="H354" s="59">
        <v>21.99</v>
      </c>
      <c r="I354" t="s">
        <v>1041</v>
      </c>
      <c r="J354" t="s">
        <v>14</v>
      </c>
      <c r="K354" s="60" t="s">
        <v>14</v>
      </c>
      <c r="L354" s="59">
        <v>0</v>
      </c>
      <c r="M354" s="61">
        <v>21.99</v>
      </c>
      <c r="N354">
        <f ca="1">IF(LEFT(tblSales[[#This Row],[Category]],1)="A",RANDBETWEEN(1,4),RANDBETWEEN(2,7))</f>
        <v>2</v>
      </c>
      <c r="O354" s="61" t="str">
        <f>IF(COUNTIF($A$2:A354,A354)=1,SUMIFS(tblSales[Revenue],tblSales[Order ID],tblSales[[#This Row],[Order ID]]),"")</f>
        <v/>
      </c>
      <c r="P354" t="str">
        <f>TEXT(tblSales[[#This Row],[Date]],"ddd")</f>
        <v>Tue</v>
      </c>
      <c r="Q354">
        <f>1/COUNTIF(tblSales[Order ID],tblSales[[#This Row],[Order ID]])</f>
        <v>0.2</v>
      </c>
    </row>
    <row r="355" spans="1:17" x14ac:dyDescent="0.3">
      <c r="A355">
        <v>202045</v>
      </c>
      <c r="B355" s="15">
        <v>45489</v>
      </c>
      <c r="C355">
        <v>117138</v>
      </c>
      <c r="D355">
        <v>300187</v>
      </c>
      <c r="E355" t="s">
        <v>1040</v>
      </c>
      <c r="F355" t="s">
        <v>1058</v>
      </c>
      <c r="G355">
        <v>1</v>
      </c>
      <c r="H355" s="59">
        <v>54.99</v>
      </c>
      <c r="I355" t="s">
        <v>1041</v>
      </c>
      <c r="J355" t="s">
        <v>14</v>
      </c>
      <c r="K355" s="60" t="s">
        <v>14</v>
      </c>
      <c r="L355" s="59">
        <v>0</v>
      </c>
      <c r="M355" s="61">
        <v>54.99</v>
      </c>
      <c r="N355">
        <f ca="1">IF(LEFT(tblSales[[#This Row],[Category]],1)="A",RANDBETWEEN(1,4),RANDBETWEEN(2,7))</f>
        <v>2</v>
      </c>
      <c r="O355" s="61" t="str">
        <f>IF(COUNTIF($A$2:A355,A355)=1,SUMIFS(tblSales[Revenue],tblSales[Order ID],tblSales[[#This Row],[Order ID]]),"")</f>
        <v/>
      </c>
      <c r="P355" t="str">
        <f>TEXT(tblSales[[#This Row],[Date]],"ddd")</f>
        <v>Tue</v>
      </c>
      <c r="Q355">
        <f>1/COUNTIF(tblSales[Order ID],tblSales[[#This Row],[Order ID]])</f>
        <v>0.2</v>
      </c>
    </row>
    <row r="356" spans="1:17" x14ac:dyDescent="0.3">
      <c r="A356">
        <v>202045</v>
      </c>
      <c r="B356" s="15">
        <v>45489</v>
      </c>
      <c r="C356">
        <v>117138</v>
      </c>
      <c r="D356">
        <v>300191</v>
      </c>
      <c r="E356" t="s">
        <v>1040</v>
      </c>
      <c r="F356" t="s">
        <v>1051</v>
      </c>
      <c r="G356">
        <v>4</v>
      </c>
      <c r="H356" s="59">
        <v>21.99</v>
      </c>
      <c r="I356" t="s">
        <v>1041</v>
      </c>
      <c r="J356" t="s">
        <v>14</v>
      </c>
      <c r="K356" s="60" t="s">
        <v>14</v>
      </c>
      <c r="L356" s="59">
        <v>0</v>
      </c>
      <c r="M356" s="61">
        <v>87.96</v>
      </c>
      <c r="N356">
        <f ca="1">IF(LEFT(tblSales[[#This Row],[Category]],1)="A",RANDBETWEEN(1,4),RANDBETWEEN(2,7))</f>
        <v>4</v>
      </c>
      <c r="O356" s="61" t="str">
        <f>IF(COUNTIF($A$2:A356,A356)=1,SUMIFS(tblSales[Revenue],tblSales[Order ID],tblSales[[#This Row],[Order ID]]),"")</f>
        <v/>
      </c>
      <c r="P356" t="str">
        <f>TEXT(tblSales[[#This Row],[Date]],"ddd")</f>
        <v>Tue</v>
      </c>
      <c r="Q356">
        <f>1/COUNTIF(tblSales[Order ID],tblSales[[#This Row],[Order ID]])</f>
        <v>0.2</v>
      </c>
    </row>
    <row r="357" spans="1:17" x14ac:dyDescent="0.3">
      <c r="A357">
        <v>202046</v>
      </c>
      <c r="B357" s="15">
        <v>45492</v>
      </c>
      <c r="C357">
        <v>126726</v>
      </c>
      <c r="D357">
        <v>300185</v>
      </c>
      <c r="E357" t="s">
        <v>1040</v>
      </c>
      <c r="F357" t="s">
        <v>1049</v>
      </c>
      <c r="G357">
        <v>1</v>
      </c>
      <c r="H357" s="59">
        <v>29.99</v>
      </c>
      <c r="I357" t="s">
        <v>1041</v>
      </c>
      <c r="J357" t="s">
        <v>14</v>
      </c>
      <c r="K357" s="60" t="s">
        <v>14</v>
      </c>
      <c r="L357" s="59">
        <v>0</v>
      </c>
      <c r="M357" s="61">
        <v>29.99</v>
      </c>
      <c r="N357">
        <f ca="1">IF(LEFT(tblSales[[#This Row],[Category]],1)="A",RANDBETWEEN(1,4),RANDBETWEEN(2,7))</f>
        <v>3</v>
      </c>
      <c r="O357" s="61">
        <f>IF(COUNTIF($A$2:A357,A357)=1,SUMIFS(tblSales[Revenue],tblSales[Order ID],tblSales[[#This Row],[Order ID]]),"")</f>
        <v>369.9</v>
      </c>
      <c r="P357" t="str">
        <f>TEXT(tblSales[[#This Row],[Date]],"ddd")</f>
        <v>Fri</v>
      </c>
      <c r="Q357">
        <f>1/COUNTIF(tblSales[Order ID],tblSales[[#This Row],[Order ID]])</f>
        <v>0.25</v>
      </c>
    </row>
    <row r="358" spans="1:17" x14ac:dyDescent="0.3">
      <c r="A358">
        <v>202046</v>
      </c>
      <c r="B358" s="15">
        <v>45492</v>
      </c>
      <c r="C358">
        <v>126726</v>
      </c>
      <c r="D358">
        <v>300188</v>
      </c>
      <c r="E358" t="s">
        <v>1040</v>
      </c>
      <c r="F358" t="s">
        <v>1060</v>
      </c>
      <c r="G358">
        <v>2</v>
      </c>
      <c r="H358" s="59">
        <v>64.989999999999995</v>
      </c>
      <c r="I358" t="s">
        <v>1041</v>
      </c>
      <c r="J358" t="s">
        <v>14</v>
      </c>
      <c r="K358" s="60" t="s">
        <v>14</v>
      </c>
      <c r="L358" s="59">
        <v>0</v>
      </c>
      <c r="M358" s="61">
        <v>129.97999999999999</v>
      </c>
      <c r="N358">
        <f ca="1">IF(LEFT(tblSales[[#This Row],[Category]],1)="A",RANDBETWEEN(1,4),RANDBETWEEN(2,7))</f>
        <v>2</v>
      </c>
      <c r="O358" s="61" t="str">
        <f>IF(COUNTIF($A$2:A358,A358)=1,SUMIFS(tblSales[Revenue],tblSales[Order ID],tblSales[[#This Row],[Order ID]]),"")</f>
        <v/>
      </c>
      <c r="P358" t="str">
        <f>TEXT(tblSales[[#This Row],[Date]],"ddd")</f>
        <v>Fri</v>
      </c>
      <c r="Q358">
        <f>1/COUNTIF(tblSales[Order ID],tblSales[[#This Row],[Order ID]])</f>
        <v>0.25</v>
      </c>
    </row>
    <row r="359" spans="1:17" x14ac:dyDescent="0.3">
      <c r="A359">
        <v>202046</v>
      </c>
      <c r="B359" s="15">
        <v>45492</v>
      </c>
      <c r="C359">
        <v>126726</v>
      </c>
      <c r="D359">
        <v>300185</v>
      </c>
      <c r="E359" t="s">
        <v>1040</v>
      </c>
      <c r="F359" t="s">
        <v>1049</v>
      </c>
      <c r="G359">
        <v>2</v>
      </c>
      <c r="H359" s="59">
        <v>29.99</v>
      </c>
      <c r="I359" t="s">
        <v>1041</v>
      </c>
      <c r="J359" t="s">
        <v>14</v>
      </c>
      <c r="K359" s="60" t="s">
        <v>14</v>
      </c>
      <c r="L359" s="59">
        <v>0</v>
      </c>
      <c r="M359" s="61">
        <v>59.98</v>
      </c>
      <c r="N359">
        <f ca="1">IF(LEFT(tblSales[[#This Row],[Category]],1)="A",RANDBETWEEN(1,4),RANDBETWEEN(2,7))</f>
        <v>1</v>
      </c>
      <c r="O359" s="61" t="str">
        <f>IF(COUNTIF($A$2:A359,A359)=1,SUMIFS(tblSales[Revenue],tblSales[Order ID],tblSales[[#This Row],[Order ID]]),"")</f>
        <v/>
      </c>
      <c r="P359" t="str">
        <f>TEXT(tblSales[[#This Row],[Date]],"ddd")</f>
        <v>Fri</v>
      </c>
      <c r="Q359">
        <f>1/COUNTIF(tblSales[Order ID],tblSales[[#This Row],[Order ID]])</f>
        <v>0.25</v>
      </c>
    </row>
    <row r="360" spans="1:17" x14ac:dyDescent="0.3">
      <c r="A360">
        <v>202046</v>
      </c>
      <c r="B360" s="15">
        <v>45492</v>
      </c>
      <c r="C360">
        <v>126726</v>
      </c>
      <c r="D360">
        <v>200553</v>
      </c>
      <c r="E360" t="s">
        <v>1043</v>
      </c>
      <c r="F360" t="s">
        <v>1055</v>
      </c>
      <c r="G360">
        <v>5</v>
      </c>
      <c r="H360" s="59">
        <v>29.99</v>
      </c>
      <c r="I360" t="s">
        <v>1041</v>
      </c>
      <c r="J360" t="s">
        <v>14</v>
      </c>
      <c r="K360" s="60" t="s">
        <v>14</v>
      </c>
      <c r="L360" s="59">
        <v>0</v>
      </c>
      <c r="M360" s="61">
        <v>149.94999999999999</v>
      </c>
      <c r="N360">
        <f ca="1">IF(LEFT(tblSales[[#This Row],[Category]],1)="A",RANDBETWEEN(1,4),RANDBETWEEN(2,7))</f>
        <v>1</v>
      </c>
      <c r="O360" s="61" t="str">
        <f>IF(COUNTIF($A$2:A360,A360)=1,SUMIFS(tblSales[Revenue],tblSales[Order ID],tblSales[[#This Row],[Order ID]]),"")</f>
        <v/>
      </c>
      <c r="P360" t="str">
        <f>TEXT(tblSales[[#This Row],[Date]],"ddd")</f>
        <v>Fri</v>
      </c>
      <c r="Q360">
        <f>1/COUNTIF(tblSales[Order ID],tblSales[[#This Row],[Order ID]])</f>
        <v>0.25</v>
      </c>
    </row>
    <row r="361" spans="1:17" x14ac:dyDescent="0.3">
      <c r="A361">
        <v>202047</v>
      </c>
      <c r="B361" s="15">
        <v>45487</v>
      </c>
      <c r="C361">
        <v>131883</v>
      </c>
      <c r="D361">
        <v>300191</v>
      </c>
      <c r="E361" t="s">
        <v>1040</v>
      </c>
      <c r="F361" t="s">
        <v>1051</v>
      </c>
      <c r="G361">
        <v>1</v>
      </c>
      <c r="H361" s="59">
        <v>21.99</v>
      </c>
      <c r="I361" t="s">
        <v>1041</v>
      </c>
      <c r="J361" t="s">
        <v>14</v>
      </c>
      <c r="K361" s="60" t="s">
        <v>14</v>
      </c>
      <c r="L361" s="59">
        <v>0</v>
      </c>
      <c r="M361" s="61">
        <v>21.99</v>
      </c>
      <c r="N361">
        <f ca="1">IF(LEFT(tblSales[[#This Row],[Category]],1)="A",RANDBETWEEN(1,4),RANDBETWEEN(2,7))</f>
        <v>3</v>
      </c>
      <c r="O361" s="61">
        <f>IF(COUNTIF($A$2:A361,A361)=1,SUMIFS(tblSales[Revenue],tblSales[Order ID],tblSales[[#This Row],[Order ID]]),"")</f>
        <v>501.91</v>
      </c>
      <c r="P361" t="str">
        <f>TEXT(tblSales[[#This Row],[Date]],"ddd")</f>
        <v>Sun</v>
      </c>
      <c r="Q361">
        <f>1/COUNTIF(tblSales[Order ID],tblSales[[#This Row],[Order ID]])</f>
        <v>0.2</v>
      </c>
    </row>
    <row r="362" spans="1:17" x14ac:dyDescent="0.3">
      <c r="A362">
        <v>202047</v>
      </c>
      <c r="B362" s="15">
        <v>45487</v>
      </c>
      <c r="C362">
        <v>131883</v>
      </c>
      <c r="D362">
        <v>200559</v>
      </c>
      <c r="E362" t="s">
        <v>1043</v>
      </c>
      <c r="F362" t="s">
        <v>1045</v>
      </c>
      <c r="G362">
        <v>5</v>
      </c>
      <c r="H362" s="59">
        <v>59.99</v>
      </c>
      <c r="I362" t="s">
        <v>1041</v>
      </c>
      <c r="J362" t="s">
        <v>14</v>
      </c>
      <c r="K362" s="60" t="s">
        <v>14</v>
      </c>
      <c r="L362" s="59">
        <v>0</v>
      </c>
      <c r="M362" s="61">
        <v>299.95</v>
      </c>
      <c r="N362">
        <f ca="1">IF(LEFT(tblSales[[#This Row],[Category]],1)="A",RANDBETWEEN(1,4),RANDBETWEEN(2,7))</f>
        <v>4</v>
      </c>
      <c r="O362" s="61" t="str">
        <f>IF(COUNTIF($A$2:A362,A362)=1,SUMIFS(tblSales[Revenue],tblSales[Order ID],tblSales[[#This Row],[Order ID]]),"")</f>
        <v/>
      </c>
      <c r="P362" t="str">
        <f>TEXT(tblSales[[#This Row],[Date]],"ddd")</f>
        <v>Sun</v>
      </c>
      <c r="Q362">
        <f>1/COUNTIF(tblSales[Order ID],tblSales[[#This Row],[Order ID]])</f>
        <v>0.2</v>
      </c>
    </row>
    <row r="363" spans="1:17" x14ac:dyDescent="0.3">
      <c r="A363">
        <v>202047</v>
      </c>
      <c r="B363" s="15">
        <v>45487</v>
      </c>
      <c r="C363">
        <v>131883</v>
      </c>
      <c r="D363">
        <v>200559</v>
      </c>
      <c r="E363" t="s">
        <v>1043</v>
      </c>
      <c r="F363" t="s">
        <v>1045</v>
      </c>
      <c r="G363">
        <v>1</v>
      </c>
      <c r="H363" s="59">
        <v>59.99</v>
      </c>
      <c r="I363" t="s">
        <v>1041</v>
      </c>
      <c r="J363" t="s">
        <v>14</v>
      </c>
      <c r="K363" s="60" t="s">
        <v>14</v>
      </c>
      <c r="L363" s="59">
        <v>0</v>
      </c>
      <c r="M363" s="61">
        <v>59.99</v>
      </c>
      <c r="N363">
        <f ca="1">IF(LEFT(tblSales[[#This Row],[Category]],1)="A",RANDBETWEEN(1,4),RANDBETWEEN(2,7))</f>
        <v>2</v>
      </c>
      <c r="O363" s="61" t="str">
        <f>IF(COUNTIF($A$2:A363,A363)=1,SUMIFS(tblSales[Revenue],tblSales[Order ID],tblSales[[#This Row],[Order ID]]),"")</f>
        <v/>
      </c>
      <c r="P363" t="str">
        <f>TEXT(tblSales[[#This Row],[Date]],"ddd")</f>
        <v>Sun</v>
      </c>
      <c r="Q363">
        <f>1/COUNTIF(tblSales[Order ID],tblSales[[#This Row],[Order ID]])</f>
        <v>0.2</v>
      </c>
    </row>
    <row r="364" spans="1:17" x14ac:dyDescent="0.3">
      <c r="A364">
        <v>202047</v>
      </c>
      <c r="B364" s="15">
        <v>45487</v>
      </c>
      <c r="C364">
        <v>131883</v>
      </c>
      <c r="D364">
        <v>200559</v>
      </c>
      <c r="E364" t="s">
        <v>1043</v>
      </c>
      <c r="F364" t="s">
        <v>1045</v>
      </c>
      <c r="G364">
        <v>1</v>
      </c>
      <c r="H364" s="59">
        <v>59.99</v>
      </c>
      <c r="I364" t="s">
        <v>1041</v>
      </c>
      <c r="J364" t="s">
        <v>14</v>
      </c>
      <c r="K364" s="60" t="s">
        <v>14</v>
      </c>
      <c r="L364" s="59">
        <v>0</v>
      </c>
      <c r="M364" s="61">
        <v>59.99</v>
      </c>
      <c r="N364">
        <f ca="1">IF(LEFT(tblSales[[#This Row],[Category]],1)="A",RANDBETWEEN(1,4),RANDBETWEEN(2,7))</f>
        <v>1</v>
      </c>
      <c r="O364" s="61" t="str">
        <f>IF(COUNTIF($A$2:A364,A364)=1,SUMIFS(tblSales[Revenue],tblSales[Order ID],tblSales[[#This Row],[Order ID]]),"")</f>
        <v/>
      </c>
      <c r="P364" t="str">
        <f>TEXT(tblSales[[#This Row],[Date]],"ddd")</f>
        <v>Sun</v>
      </c>
      <c r="Q364">
        <f>1/COUNTIF(tblSales[Order ID],tblSales[[#This Row],[Order ID]])</f>
        <v>0.2</v>
      </c>
    </row>
    <row r="365" spans="1:17" x14ac:dyDescent="0.3">
      <c r="A365">
        <v>202047</v>
      </c>
      <c r="B365" s="15">
        <v>45487</v>
      </c>
      <c r="C365">
        <v>131883</v>
      </c>
      <c r="D365">
        <v>200559</v>
      </c>
      <c r="E365" t="s">
        <v>1043</v>
      </c>
      <c r="F365" t="s">
        <v>1045</v>
      </c>
      <c r="G365">
        <v>1</v>
      </c>
      <c r="H365" s="59">
        <v>59.99</v>
      </c>
      <c r="I365" t="s">
        <v>1041</v>
      </c>
      <c r="J365" t="s">
        <v>14</v>
      </c>
      <c r="K365" s="60" t="s">
        <v>14</v>
      </c>
      <c r="L365" s="59">
        <v>0</v>
      </c>
      <c r="M365" s="61">
        <v>59.99</v>
      </c>
      <c r="N365">
        <f ca="1">IF(LEFT(tblSales[[#This Row],[Category]],1)="A",RANDBETWEEN(1,4),RANDBETWEEN(2,7))</f>
        <v>2</v>
      </c>
      <c r="O365" s="61" t="str">
        <f>IF(COUNTIF($A$2:A365,A365)=1,SUMIFS(tblSales[Revenue],tblSales[Order ID],tblSales[[#This Row],[Order ID]]),"")</f>
        <v/>
      </c>
      <c r="P365" t="str">
        <f>TEXT(tblSales[[#This Row],[Date]],"ddd")</f>
        <v>Sun</v>
      </c>
      <c r="Q365">
        <f>1/COUNTIF(tblSales[Order ID],tblSales[[#This Row],[Order ID]])</f>
        <v>0.2</v>
      </c>
    </row>
    <row r="366" spans="1:17" x14ac:dyDescent="0.3">
      <c r="A366">
        <v>202048</v>
      </c>
      <c r="B366" s="15">
        <v>45487</v>
      </c>
      <c r="C366">
        <v>110640</v>
      </c>
      <c r="D366">
        <v>300191</v>
      </c>
      <c r="E366" t="s">
        <v>1040</v>
      </c>
      <c r="F366" t="s">
        <v>1051</v>
      </c>
      <c r="G366">
        <v>1</v>
      </c>
      <c r="H366" s="59">
        <v>21.99</v>
      </c>
      <c r="I366" t="s">
        <v>1041</v>
      </c>
      <c r="J366" t="s">
        <v>14</v>
      </c>
      <c r="K366" s="60" t="s">
        <v>14</v>
      </c>
      <c r="L366" s="59">
        <v>0</v>
      </c>
      <c r="M366" s="61">
        <v>21.99</v>
      </c>
      <c r="N366">
        <f ca="1">IF(LEFT(tblSales[[#This Row],[Category]],1)="A",RANDBETWEEN(1,4),RANDBETWEEN(2,7))</f>
        <v>1</v>
      </c>
      <c r="O366" s="61">
        <f>IF(COUNTIF($A$2:A366,A366)=1,SUMIFS(tblSales[Revenue],tblSales[Order ID],tblSales[[#This Row],[Order ID]]),"")</f>
        <v>21.99</v>
      </c>
      <c r="P366" t="str">
        <f>TEXT(tblSales[[#This Row],[Date]],"ddd")</f>
        <v>Sun</v>
      </c>
      <c r="Q366">
        <f>1/COUNTIF(tblSales[Order ID],tblSales[[#This Row],[Order ID]])</f>
        <v>1</v>
      </c>
    </row>
    <row r="367" spans="1:17" x14ac:dyDescent="0.3">
      <c r="A367">
        <v>202049</v>
      </c>
      <c r="B367" s="15">
        <v>45484</v>
      </c>
      <c r="C367">
        <v>131827</v>
      </c>
      <c r="D367">
        <v>200549</v>
      </c>
      <c r="E367" t="s">
        <v>1043</v>
      </c>
      <c r="F367" t="s">
        <v>1042</v>
      </c>
      <c r="G367">
        <v>2</v>
      </c>
      <c r="H367" s="59">
        <v>18.989999999999998</v>
      </c>
      <c r="I367" t="s">
        <v>1041</v>
      </c>
      <c r="J367" t="s">
        <v>14</v>
      </c>
      <c r="K367" s="60" t="s">
        <v>14</v>
      </c>
      <c r="L367" s="59">
        <v>0</v>
      </c>
      <c r="M367" s="61">
        <v>37.979999999999997</v>
      </c>
      <c r="N367">
        <f ca="1">IF(LEFT(tblSales[[#This Row],[Category]],1)="A",RANDBETWEEN(1,4),RANDBETWEEN(2,7))</f>
        <v>1</v>
      </c>
      <c r="O367" s="61">
        <f>IF(COUNTIF($A$2:A367,A367)=1,SUMIFS(tblSales[Revenue],tblSales[Order ID],tblSales[[#This Row],[Order ID]]),"")</f>
        <v>37.979999999999997</v>
      </c>
      <c r="P367" t="str">
        <f>TEXT(tblSales[[#This Row],[Date]],"ddd")</f>
        <v>Thu</v>
      </c>
      <c r="Q367">
        <f>1/COUNTIF(tblSales[Order ID],tblSales[[#This Row],[Order ID]])</f>
        <v>1</v>
      </c>
    </row>
    <row r="368" spans="1:17" x14ac:dyDescent="0.3">
      <c r="A368">
        <v>202050</v>
      </c>
      <c r="B368" s="15">
        <v>45481</v>
      </c>
      <c r="C368">
        <v>126116</v>
      </c>
      <c r="D368">
        <v>300185</v>
      </c>
      <c r="E368" t="s">
        <v>1040</v>
      </c>
      <c r="F368" t="s">
        <v>1049</v>
      </c>
      <c r="G368">
        <v>2</v>
      </c>
      <c r="H368" s="59">
        <v>29.99</v>
      </c>
      <c r="I368" t="s">
        <v>1041</v>
      </c>
      <c r="J368" t="s">
        <v>14</v>
      </c>
      <c r="K368" s="60" t="s">
        <v>14</v>
      </c>
      <c r="L368" s="59">
        <v>0</v>
      </c>
      <c r="M368" s="61">
        <v>59.98</v>
      </c>
      <c r="N368">
        <f ca="1">IF(LEFT(tblSales[[#This Row],[Category]],1)="A",RANDBETWEEN(1,4),RANDBETWEEN(2,7))</f>
        <v>2</v>
      </c>
      <c r="O368" s="61">
        <f>IF(COUNTIF($A$2:A368,A368)=1,SUMIFS(tblSales[Revenue],tblSales[Order ID],tblSales[[#This Row],[Order ID]]),"")</f>
        <v>59.98</v>
      </c>
      <c r="P368" t="str">
        <f>TEXT(tblSales[[#This Row],[Date]],"ddd")</f>
        <v>Mon</v>
      </c>
      <c r="Q368">
        <f>1/COUNTIF(tblSales[Order ID],tblSales[[#This Row],[Order ID]])</f>
        <v>1</v>
      </c>
    </row>
    <row r="369" spans="1:17" x14ac:dyDescent="0.3">
      <c r="A369">
        <v>202051</v>
      </c>
      <c r="B369" s="15">
        <v>45491</v>
      </c>
      <c r="C369">
        <v>102309</v>
      </c>
      <c r="D369">
        <v>300191</v>
      </c>
      <c r="E369" t="s">
        <v>1040</v>
      </c>
      <c r="F369" t="s">
        <v>1051</v>
      </c>
      <c r="G369">
        <v>2</v>
      </c>
      <c r="H369" s="59">
        <v>21.99</v>
      </c>
      <c r="I369" t="s">
        <v>1041</v>
      </c>
      <c r="J369" t="s">
        <v>14</v>
      </c>
      <c r="K369" s="60" t="s">
        <v>14</v>
      </c>
      <c r="L369" s="59">
        <v>0</v>
      </c>
      <c r="M369" s="61">
        <v>43.98</v>
      </c>
      <c r="N369">
        <f ca="1">IF(LEFT(tblSales[[#This Row],[Category]],1)="A",RANDBETWEEN(1,4),RANDBETWEEN(2,7))</f>
        <v>3</v>
      </c>
      <c r="O369" s="61">
        <f>IF(COUNTIF($A$2:A369,A369)=1,SUMIFS(tblSales[Revenue],tblSales[Order ID],tblSales[[#This Row],[Order ID]]),"")</f>
        <v>43.98</v>
      </c>
      <c r="P369" t="str">
        <f>TEXT(tblSales[[#This Row],[Date]],"ddd")</f>
        <v>Thu</v>
      </c>
      <c r="Q369">
        <f>1/COUNTIF(tblSales[Order ID],tblSales[[#This Row],[Order ID]])</f>
        <v>1</v>
      </c>
    </row>
    <row r="370" spans="1:17" x14ac:dyDescent="0.3">
      <c r="A370">
        <v>202052</v>
      </c>
      <c r="B370" s="15">
        <v>45493</v>
      </c>
      <c r="C370">
        <v>122156</v>
      </c>
      <c r="D370">
        <v>200559</v>
      </c>
      <c r="E370" t="s">
        <v>1043</v>
      </c>
      <c r="F370" t="s">
        <v>1045</v>
      </c>
      <c r="G370">
        <v>4</v>
      </c>
      <c r="H370" s="59">
        <v>59.99</v>
      </c>
      <c r="I370" t="s">
        <v>1041</v>
      </c>
      <c r="J370" t="s">
        <v>14</v>
      </c>
      <c r="K370" s="60" t="s">
        <v>14</v>
      </c>
      <c r="L370" s="59">
        <v>0</v>
      </c>
      <c r="M370" s="61">
        <v>239.96</v>
      </c>
      <c r="N370">
        <f ca="1">IF(LEFT(tblSales[[#This Row],[Category]],1)="A",RANDBETWEEN(1,4),RANDBETWEEN(2,7))</f>
        <v>3</v>
      </c>
      <c r="O370" s="61">
        <f>IF(COUNTIF($A$2:A370,A370)=1,SUMIFS(tblSales[Revenue],tblSales[Order ID],tblSales[[#This Row],[Order ID]]),"")</f>
        <v>239.96</v>
      </c>
      <c r="P370" t="str">
        <f>TEXT(tblSales[[#This Row],[Date]],"ddd")</f>
        <v>Sat</v>
      </c>
      <c r="Q370">
        <f>1/COUNTIF(tblSales[Order ID],tblSales[[#This Row],[Order ID]])</f>
        <v>1</v>
      </c>
    </row>
    <row r="371" spans="1:17" x14ac:dyDescent="0.3">
      <c r="A371">
        <v>202053</v>
      </c>
      <c r="B371" s="15">
        <v>45491</v>
      </c>
      <c r="C371">
        <v>120312</v>
      </c>
      <c r="D371">
        <v>100254</v>
      </c>
      <c r="E371" t="s">
        <v>1046</v>
      </c>
      <c r="F371" t="s">
        <v>164</v>
      </c>
      <c r="G371">
        <v>1</v>
      </c>
      <c r="H371" s="59">
        <v>799</v>
      </c>
      <c r="I371" t="s">
        <v>1041</v>
      </c>
      <c r="J371" t="s">
        <v>14</v>
      </c>
      <c r="K371" s="60" t="s">
        <v>14</v>
      </c>
      <c r="L371" s="59">
        <v>0</v>
      </c>
      <c r="M371" s="61">
        <v>799</v>
      </c>
      <c r="N371">
        <f ca="1">IF(LEFT(tblSales[[#This Row],[Category]],1)="A",RANDBETWEEN(1,4),RANDBETWEEN(2,7))</f>
        <v>2</v>
      </c>
      <c r="O371" s="61">
        <f>IF(COUNTIF($A$2:A371,A371)=1,SUMIFS(tblSales[Revenue],tblSales[Order ID],tblSales[[#This Row],[Order ID]]),"")</f>
        <v>1195.94</v>
      </c>
      <c r="P371" t="str">
        <f>TEXT(tblSales[[#This Row],[Date]],"ddd")</f>
        <v>Thu</v>
      </c>
      <c r="Q371">
        <f>1/COUNTIF(tblSales[Order ID],tblSales[[#This Row],[Order ID]])</f>
        <v>0.16666666666666666</v>
      </c>
    </row>
    <row r="372" spans="1:17" x14ac:dyDescent="0.3">
      <c r="A372">
        <v>202053</v>
      </c>
      <c r="B372" s="15">
        <v>45491</v>
      </c>
      <c r="C372">
        <v>120312</v>
      </c>
      <c r="D372">
        <v>300189</v>
      </c>
      <c r="E372" t="s">
        <v>1040</v>
      </c>
      <c r="F372" t="s">
        <v>1050</v>
      </c>
      <c r="G372">
        <v>1</v>
      </c>
      <c r="H372" s="59">
        <v>24.99</v>
      </c>
      <c r="I372" t="s">
        <v>1041</v>
      </c>
      <c r="J372" t="s">
        <v>14</v>
      </c>
      <c r="K372" s="60" t="s">
        <v>14</v>
      </c>
      <c r="L372" s="59">
        <v>0</v>
      </c>
      <c r="M372" s="61">
        <v>24.99</v>
      </c>
      <c r="N372">
        <f ca="1">IF(LEFT(tblSales[[#This Row],[Category]],1)="A",RANDBETWEEN(1,4),RANDBETWEEN(2,7))</f>
        <v>3</v>
      </c>
      <c r="O372" s="61" t="str">
        <f>IF(COUNTIF($A$2:A372,A372)=1,SUMIFS(tblSales[Revenue],tblSales[Order ID],tblSales[[#This Row],[Order ID]]),"")</f>
        <v/>
      </c>
      <c r="P372" t="str">
        <f>TEXT(tblSales[[#This Row],[Date]],"ddd")</f>
        <v>Thu</v>
      </c>
      <c r="Q372">
        <f>1/COUNTIF(tblSales[Order ID],tblSales[[#This Row],[Order ID]])</f>
        <v>0.16666666666666666</v>
      </c>
    </row>
    <row r="373" spans="1:17" x14ac:dyDescent="0.3">
      <c r="A373">
        <v>202053</v>
      </c>
      <c r="B373" s="15">
        <v>45491</v>
      </c>
      <c r="C373">
        <v>120312</v>
      </c>
      <c r="D373">
        <v>200559</v>
      </c>
      <c r="E373" t="s">
        <v>1043</v>
      </c>
      <c r="F373" t="s">
        <v>1045</v>
      </c>
      <c r="G373">
        <v>1</v>
      </c>
      <c r="H373" s="59">
        <v>59.99</v>
      </c>
      <c r="I373" t="s">
        <v>1041</v>
      </c>
      <c r="J373" t="s">
        <v>14</v>
      </c>
      <c r="K373" s="60" t="s">
        <v>14</v>
      </c>
      <c r="L373" s="59">
        <v>0</v>
      </c>
      <c r="M373" s="61">
        <v>59.99</v>
      </c>
      <c r="N373">
        <f ca="1">IF(LEFT(tblSales[[#This Row],[Category]],1)="A",RANDBETWEEN(1,4),RANDBETWEEN(2,7))</f>
        <v>3</v>
      </c>
      <c r="O373" s="61" t="str">
        <f>IF(COUNTIF($A$2:A373,A373)=1,SUMIFS(tblSales[Revenue],tblSales[Order ID],tblSales[[#This Row],[Order ID]]),"")</f>
        <v/>
      </c>
      <c r="P373" t="str">
        <f>TEXT(tblSales[[#This Row],[Date]],"ddd")</f>
        <v>Thu</v>
      </c>
      <c r="Q373">
        <f>1/COUNTIF(tblSales[Order ID],tblSales[[#This Row],[Order ID]])</f>
        <v>0.16666666666666666</v>
      </c>
    </row>
    <row r="374" spans="1:17" x14ac:dyDescent="0.3">
      <c r="A374">
        <v>202053</v>
      </c>
      <c r="B374" s="15">
        <v>45491</v>
      </c>
      <c r="C374">
        <v>120312</v>
      </c>
      <c r="D374">
        <v>300191</v>
      </c>
      <c r="E374" t="s">
        <v>1040</v>
      </c>
      <c r="F374" t="s">
        <v>1051</v>
      </c>
      <c r="G374">
        <v>1</v>
      </c>
      <c r="H374" s="59">
        <v>21.99</v>
      </c>
      <c r="I374" t="s">
        <v>1041</v>
      </c>
      <c r="J374" t="s">
        <v>14</v>
      </c>
      <c r="K374" s="60" t="s">
        <v>14</v>
      </c>
      <c r="L374" s="59">
        <v>0</v>
      </c>
      <c r="M374" s="61">
        <v>21.99</v>
      </c>
      <c r="N374">
        <f ca="1">IF(LEFT(tblSales[[#This Row],[Category]],1)="A",RANDBETWEEN(1,4),RANDBETWEEN(2,7))</f>
        <v>3</v>
      </c>
      <c r="O374" s="61" t="str">
        <f>IF(COUNTIF($A$2:A374,A374)=1,SUMIFS(tblSales[Revenue],tblSales[Order ID],tblSales[[#This Row],[Order ID]]),"")</f>
        <v/>
      </c>
      <c r="P374" t="str">
        <f>TEXT(tblSales[[#This Row],[Date]],"ddd")</f>
        <v>Thu</v>
      </c>
      <c r="Q374">
        <f>1/COUNTIF(tblSales[Order ID],tblSales[[#This Row],[Order ID]])</f>
        <v>0.16666666666666666</v>
      </c>
    </row>
    <row r="375" spans="1:17" x14ac:dyDescent="0.3">
      <c r="A375">
        <v>202053</v>
      </c>
      <c r="B375" s="15">
        <v>45491</v>
      </c>
      <c r="C375">
        <v>120312</v>
      </c>
      <c r="D375">
        <v>300185</v>
      </c>
      <c r="E375" t="s">
        <v>1040</v>
      </c>
      <c r="F375" t="s">
        <v>1049</v>
      </c>
      <c r="G375">
        <v>1</v>
      </c>
      <c r="H375" s="59">
        <v>29.99</v>
      </c>
      <c r="I375" t="s">
        <v>1041</v>
      </c>
      <c r="J375" t="s">
        <v>14</v>
      </c>
      <c r="K375" s="60" t="s">
        <v>14</v>
      </c>
      <c r="L375" s="59">
        <v>0</v>
      </c>
      <c r="M375" s="61">
        <v>29.99</v>
      </c>
      <c r="N375">
        <f ca="1">IF(LEFT(tblSales[[#This Row],[Category]],1)="A",RANDBETWEEN(1,4),RANDBETWEEN(2,7))</f>
        <v>4</v>
      </c>
      <c r="O375" s="61" t="str">
        <f>IF(COUNTIF($A$2:A375,A375)=1,SUMIFS(tblSales[Revenue],tblSales[Order ID],tblSales[[#This Row],[Order ID]]),"")</f>
        <v/>
      </c>
      <c r="P375" t="str">
        <f>TEXT(tblSales[[#This Row],[Date]],"ddd")</f>
        <v>Thu</v>
      </c>
      <c r="Q375">
        <f>1/COUNTIF(tblSales[Order ID],tblSales[[#This Row],[Order ID]])</f>
        <v>0.16666666666666666</v>
      </c>
    </row>
    <row r="376" spans="1:17" x14ac:dyDescent="0.3">
      <c r="A376">
        <v>202053</v>
      </c>
      <c r="B376" s="15">
        <v>45491</v>
      </c>
      <c r="C376">
        <v>120312</v>
      </c>
      <c r="D376">
        <v>200557</v>
      </c>
      <c r="E376" t="s">
        <v>1043</v>
      </c>
      <c r="F376" t="s">
        <v>1054</v>
      </c>
      <c r="G376">
        <v>2</v>
      </c>
      <c r="H376" s="59">
        <v>129.99</v>
      </c>
      <c r="I376" t="s">
        <v>1041</v>
      </c>
      <c r="J376" t="s">
        <v>14</v>
      </c>
      <c r="K376" s="60" t="s">
        <v>14</v>
      </c>
      <c r="L376" s="59">
        <v>0</v>
      </c>
      <c r="M376" s="61">
        <v>259.98</v>
      </c>
      <c r="N376">
        <f ca="1">IF(LEFT(tblSales[[#This Row],[Category]],1)="A",RANDBETWEEN(1,4),RANDBETWEEN(2,7))</f>
        <v>4</v>
      </c>
      <c r="O376" s="61" t="str">
        <f>IF(COUNTIF($A$2:A376,A376)=1,SUMIFS(tblSales[Revenue],tblSales[Order ID],tblSales[[#This Row],[Order ID]]),"")</f>
        <v/>
      </c>
      <c r="P376" t="str">
        <f>TEXT(tblSales[[#This Row],[Date]],"ddd")</f>
        <v>Thu</v>
      </c>
      <c r="Q376">
        <f>1/COUNTIF(tblSales[Order ID],tblSales[[#This Row],[Order ID]])</f>
        <v>0.16666666666666666</v>
      </c>
    </row>
    <row r="377" spans="1:17" x14ac:dyDescent="0.3">
      <c r="A377">
        <v>202054</v>
      </c>
      <c r="B377" s="15">
        <v>45490</v>
      </c>
      <c r="C377">
        <v>109882</v>
      </c>
      <c r="D377">
        <v>200556</v>
      </c>
      <c r="E377" t="s">
        <v>1043</v>
      </c>
      <c r="F377" t="s">
        <v>1044</v>
      </c>
      <c r="G377">
        <v>2</v>
      </c>
      <c r="H377" s="59">
        <v>64.989999999999995</v>
      </c>
      <c r="I377" t="s">
        <v>1041</v>
      </c>
      <c r="J377" t="s">
        <v>14</v>
      </c>
      <c r="K377" s="60" t="s">
        <v>14</v>
      </c>
      <c r="L377" s="59">
        <v>0</v>
      </c>
      <c r="M377" s="61">
        <v>129.97999999999999</v>
      </c>
      <c r="N377">
        <f ca="1">IF(LEFT(tblSales[[#This Row],[Category]],1)="A",RANDBETWEEN(1,4),RANDBETWEEN(2,7))</f>
        <v>1</v>
      </c>
      <c r="O377" s="61">
        <f>IF(COUNTIF($A$2:A377,A377)=1,SUMIFS(tblSales[Revenue],tblSales[Order ID],tblSales[[#This Row],[Order ID]]),"")</f>
        <v>129.97999999999999</v>
      </c>
      <c r="P377" t="str">
        <f>TEXT(tblSales[[#This Row],[Date]],"ddd")</f>
        <v>Wed</v>
      </c>
      <c r="Q377">
        <f>1/COUNTIF(tblSales[Order ID],tblSales[[#This Row],[Order ID]])</f>
        <v>1</v>
      </c>
    </row>
    <row r="378" spans="1:17" x14ac:dyDescent="0.3">
      <c r="A378">
        <v>202055</v>
      </c>
      <c r="B378" s="15">
        <v>45486</v>
      </c>
      <c r="C378">
        <v>106016</v>
      </c>
      <c r="D378">
        <v>100257</v>
      </c>
      <c r="E378" t="s">
        <v>1046</v>
      </c>
      <c r="F378" t="s">
        <v>180</v>
      </c>
      <c r="G378">
        <v>3</v>
      </c>
      <c r="H378" s="59">
        <v>379</v>
      </c>
      <c r="I378" t="s">
        <v>1041</v>
      </c>
      <c r="J378" t="s">
        <v>14</v>
      </c>
      <c r="K378" s="60" t="s">
        <v>14</v>
      </c>
      <c r="L378" s="59">
        <v>0</v>
      </c>
      <c r="M378" s="61">
        <v>1137</v>
      </c>
      <c r="N378">
        <f ca="1">IF(LEFT(tblSales[[#This Row],[Category]],1)="A",RANDBETWEEN(1,4),RANDBETWEEN(2,7))</f>
        <v>2</v>
      </c>
      <c r="O378" s="61">
        <f>IF(COUNTIF($A$2:A378,A378)=1,SUMIFS(tblSales[Revenue],tblSales[Order ID],tblSales[[#This Row],[Order ID]]),"")</f>
        <v>1137</v>
      </c>
      <c r="P378" t="str">
        <f>TEXT(tblSales[[#This Row],[Date]],"ddd")</f>
        <v>Sat</v>
      </c>
      <c r="Q378">
        <f>1/COUNTIF(tblSales[Order ID],tblSales[[#This Row],[Order ID]])</f>
        <v>1</v>
      </c>
    </row>
    <row r="379" spans="1:17" x14ac:dyDescent="0.3">
      <c r="A379">
        <v>202056</v>
      </c>
      <c r="B379" s="15">
        <v>45486</v>
      </c>
      <c r="C379">
        <v>129937</v>
      </c>
      <c r="D379">
        <v>200556</v>
      </c>
      <c r="E379" t="s">
        <v>1043</v>
      </c>
      <c r="F379" t="s">
        <v>1044</v>
      </c>
      <c r="G379">
        <v>3</v>
      </c>
      <c r="H379" s="59">
        <v>64.989999999999995</v>
      </c>
      <c r="I379" t="s">
        <v>120</v>
      </c>
      <c r="J379" t="s">
        <v>1052</v>
      </c>
      <c r="K379" s="60">
        <v>0.15</v>
      </c>
      <c r="L379" s="59">
        <v>29.245499999999993</v>
      </c>
      <c r="M379" s="61">
        <v>165.72449999999998</v>
      </c>
      <c r="N379">
        <f ca="1">IF(LEFT(tblSales[[#This Row],[Category]],1)="A",RANDBETWEEN(1,4),RANDBETWEEN(2,7))</f>
        <v>4</v>
      </c>
      <c r="O379" s="61">
        <f>IF(COUNTIF($A$2:A379,A379)=1,SUMIFS(tblSales[Revenue],tblSales[Order ID],tblSales[[#This Row],[Order ID]]),"")</f>
        <v>220.96599999999998</v>
      </c>
      <c r="P379" t="str">
        <f>TEXT(tblSales[[#This Row],[Date]],"ddd")</f>
        <v>Sat</v>
      </c>
      <c r="Q379">
        <f>1/COUNTIF(tblSales[Order ID],tblSales[[#This Row],[Order ID]])</f>
        <v>0.5</v>
      </c>
    </row>
    <row r="380" spans="1:17" x14ac:dyDescent="0.3">
      <c r="A380">
        <v>202056</v>
      </c>
      <c r="B380" s="15">
        <v>45486</v>
      </c>
      <c r="C380">
        <v>129937</v>
      </c>
      <c r="D380">
        <v>200556</v>
      </c>
      <c r="E380" t="s">
        <v>1043</v>
      </c>
      <c r="F380" t="s">
        <v>1044</v>
      </c>
      <c r="G380">
        <v>1</v>
      </c>
      <c r="H380" s="59">
        <v>64.989999999999995</v>
      </c>
      <c r="I380" t="s">
        <v>120</v>
      </c>
      <c r="J380" t="s">
        <v>1052</v>
      </c>
      <c r="K380" s="60">
        <v>0.15</v>
      </c>
      <c r="L380" s="59">
        <v>9.7484999999999982</v>
      </c>
      <c r="M380" s="61">
        <v>55.241499999999995</v>
      </c>
      <c r="N380">
        <f ca="1">IF(LEFT(tblSales[[#This Row],[Category]],1)="A",RANDBETWEEN(1,4),RANDBETWEEN(2,7))</f>
        <v>3</v>
      </c>
      <c r="O380" s="61" t="str">
        <f>IF(COUNTIF($A$2:A380,A380)=1,SUMIFS(tblSales[Revenue],tblSales[Order ID],tblSales[[#This Row],[Order ID]]),"")</f>
        <v/>
      </c>
      <c r="P380" t="str">
        <f>TEXT(tblSales[[#This Row],[Date]],"ddd")</f>
        <v>Sat</v>
      </c>
      <c r="Q380">
        <f>1/COUNTIF(tblSales[Order ID],tblSales[[#This Row],[Order ID]])</f>
        <v>0.5</v>
      </c>
    </row>
    <row r="381" spans="1:17" x14ac:dyDescent="0.3">
      <c r="A381">
        <v>202057</v>
      </c>
      <c r="B381" s="15">
        <v>45486</v>
      </c>
      <c r="C381">
        <v>115843</v>
      </c>
      <c r="D381">
        <v>300191</v>
      </c>
      <c r="E381" t="s">
        <v>1040</v>
      </c>
      <c r="F381" t="s">
        <v>1051</v>
      </c>
      <c r="G381">
        <v>1</v>
      </c>
      <c r="H381" s="59">
        <v>21.99</v>
      </c>
      <c r="I381" t="s">
        <v>1041</v>
      </c>
      <c r="J381" t="s">
        <v>14</v>
      </c>
      <c r="K381" s="60" t="s">
        <v>14</v>
      </c>
      <c r="L381" s="59">
        <v>0</v>
      </c>
      <c r="M381" s="61">
        <v>21.99</v>
      </c>
      <c r="N381">
        <f ca="1">IF(LEFT(tblSales[[#This Row],[Category]],1)="A",RANDBETWEEN(1,4),RANDBETWEEN(2,7))</f>
        <v>1</v>
      </c>
      <c r="O381" s="61">
        <f>IF(COUNTIF($A$2:A381,A381)=1,SUMIFS(tblSales[Revenue],tblSales[Order ID],tblSales[[#This Row],[Order ID]]),"")</f>
        <v>777.99</v>
      </c>
      <c r="P381" t="str">
        <f>TEXT(tblSales[[#This Row],[Date]],"ddd")</f>
        <v>Sat</v>
      </c>
      <c r="Q381">
        <f>1/COUNTIF(tblSales[Order ID],tblSales[[#This Row],[Order ID]])</f>
        <v>0.5</v>
      </c>
    </row>
    <row r="382" spans="1:17" x14ac:dyDescent="0.3">
      <c r="A382">
        <v>202057</v>
      </c>
      <c r="B382" s="15">
        <v>45486</v>
      </c>
      <c r="C382">
        <v>115843</v>
      </c>
      <c r="D382">
        <v>100250</v>
      </c>
      <c r="E382" t="s">
        <v>1046</v>
      </c>
      <c r="F382" t="s">
        <v>202</v>
      </c>
      <c r="G382">
        <v>4</v>
      </c>
      <c r="H382" s="59">
        <v>189</v>
      </c>
      <c r="I382" t="s">
        <v>1041</v>
      </c>
      <c r="J382" t="s">
        <v>14</v>
      </c>
      <c r="K382" s="60" t="s">
        <v>14</v>
      </c>
      <c r="L382" s="59">
        <v>0</v>
      </c>
      <c r="M382" s="61">
        <v>756</v>
      </c>
      <c r="N382">
        <f ca="1">IF(LEFT(tblSales[[#This Row],[Category]],1)="A",RANDBETWEEN(1,4),RANDBETWEEN(2,7))</f>
        <v>7</v>
      </c>
      <c r="O382" s="61" t="str">
        <f>IF(COUNTIF($A$2:A382,A382)=1,SUMIFS(tblSales[Revenue],tblSales[Order ID],tblSales[[#This Row],[Order ID]]),"")</f>
        <v/>
      </c>
      <c r="P382" t="str">
        <f>TEXT(tblSales[[#This Row],[Date]],"ddd")</f>
        <v>Sat</v>
      </c>
      <c r="Q382">
        <f>1/COUNTIF(tblSales[Order ID],tblSales[[#This Row],[Order ID]])</f>
        <v>0.5</v>
      </c>
    </row>
    <row r="383" spans="1:17" x14ac:dyDescent="0.3">
      <c r="A383">
        <v>202058</v>
      </c>
      <c r="B383" s="15">
        <v>45492</v>
      </c>
      <c r="C383">
        <v>124112</v>
      </c>
      <c r="D383">
        <v>100254</v>
      </c>
      <c r="E383" t="s">
        <v>1046</v>
      </c>
      <c r="F383" t="s">
        <v>164</v>
      </c>
      <c r="G383">
        <v>1</v>
      </c>
      <c r="H383" s="59">
        <v>799</v>
      </c>
      <c r="I383" t="s">
        <v>120</v>
      </c>
      <c r="J383" t="s">
        <v>1047</v>
      </c>
      <c r="K383" s="60">
        <v>0.1</v>
      </c>
      <c r="L383" s="59">
        <v>79.900000000000006</v>
      </c>
      <c r="M383" s="61">
        <v>719.1</v>
      </c>
      <c r="N383">
        <f ca="1">IF(LEFT(tblSales[[#This Row],[Category]],1)="A",RANDBETWEEN(1,4),RANDBETWEEN(2,7))</f>
        <v>6</v>
      </c>
      <c r="O383" s="61">
        <f>IF(COUNTIF($A$2:A383,A383)=1,SUMIFS(tblSales[Revenue],tblSales[Order ID],tblSales[[#This Row],[Order ID]]),"")</f>
        <v>719.1</v>
      </c>
      <c r="P383" t="str">
        <f>TEXT(tblSales[[#This Row],[Date]],"ddd")</f>
        <v>Fri</v>
      </c>
      <c r="Q383">
        <f>1/COUNTIF(tblSales[Order ID],tblSales[[#This Row],[Order ID]])</f>
        <v>1</v>
      </c>
    </row>
    <row r="384" spans="1:17" x14ac:dyDescent="0.3">
      <c r="A384">
        <v>202059</v>
      </c>
      <c r="B384" s="15">
        <v>45492</v>
      </c>
      <c r="C384">
        <v>121611</v>
      </c>
      <c r="D384">
        <v>100254</v>
      </c>
      <c r="E384" t="s">
        <v>1046</v>
      </c>
      <c r="F384" t="s">
        <v>164</v>
      </c>
      <c r="G384">
        <v>1</v>
      </c>
      <c r="H384" s="59">
        <v>799</v>
      </c>
      <c r="I384" t="s">
        <v>1041</v>
      </c>
      <c r="J384" t="s">
        <v>14</v>
      </c>
      <c r="K384" s="60" t="s">
        <v>14</v>
      </c>
      <c r="L384" s="59">
        <v>0</v>
      </c>
      <c r="M384" s="61">
        <v>799</v>
      </c>
      <c r="N384">
        <f ca="1">IF(LEFT(tblSales[[#This Row],[Category]],1)="A",RANDBETWEEN(1,4),RANDBETWEEN(2,7))</f>
        <v>4</v>
      </c>
      <c r="O384" s="61">
        <f>IF(COUNTIF($A$2:A384,A384)=1,SUMIFS(tblSales[Revenue],tblSales[Order ID],tblSales[[#This Row],[Order ID]]),"")</f>
        <v>1244.97</v>
      </c>
      <c r="P384" t="str">
        <f>TEXT(tblSales[[#This Row],[Date]],"ddd")</f>
        <v>Fri</v>
      </c>
      <c r="Q384">
        <f>1/COUNTIF(tblSales[Order ID],tblSales[[#This Row],[Order ID]])</f>
        <v>0.25</v>
      </c>
    </row>
    <row r="385" spans="1:17" x14ac:dyDescent="0.3">
      <c r="A385">
        <v>202059</v>
      </c>
      <c r="B385" s="15">
        <v>45492</v>
      </c>
      <c r="C385">
        <v>121611</v>
      </c>
      <c r="D385">
        <v>100250</v>
      </c>
      <c r="E385" t="s">
        <v>1046</v>
      </c>
      <c r="F385" t="s">
        <v>202</v>
      </c>
      <c r="G385">
        <v>2</v>
      </c>
      <c r="H385" s="59">
        <v>189</v>
      </c>
      <c r="I385" t="s">
        <v>1041</v>
      </c>
      <c r="J385" t="s">
        <v>14</v>
      </c>
      <c r="K385" s="60" t="s">
        <v>14</v>
      </c>
      <c r="L385" s="59">
        <v>0</v>
      </c>
      <c r="M385" s="61">
        <v>378</v>
      </c>
      <c r="N385">
        <f ca="1">IF(LEFT(tblSales[[#This Row],[Category]],1)="A",RANDBETWEEN(1,4),RANDBETWEEN(2,7))</f>
        <v>2</v>
      </c>
      <c r="O385" s="61" t="str">
        <f>IF(COUNTIF($A$2:A385,A385)=1,SUMIFS(tblSales[Revenue],tblSales[Order ID],tblSales[[#This Row],[Order ID]]),"")</f>
        <v/>
      </c>
      <c r="P385" t="str">
        <f>TEXT(tblSales[[#This Row],[Date]],"ddd")</f>
        <v>Fri</v>
      </c>
      <c r="Q385">
        <f>1/COUNTIF(tblSales[Order ID],tblSales[[#This Row],[Order ID]])</f>
        <v>0.25</v>
      </c>
    </row>
    <row r="386" spans="1:17" x14ac:dyDescent="0.3">
      <c r="A386">
        <v>202059</v>
      </c>
      <c r="B386" s="15">
        <v>45492</v>
      </c>
      <c r="C386">
        <v>121611</v>
      </c>
      <c r="D386">
        <v>200549</v>
      </c>
      <c r="E386" t="s">
        <v>1043</v>
      </c>
      <c r="F386" t="s">
        <v>1042</v>
      </c>
      <c r="G386">
        <v>2</v>
      </c>
      <c r="H386" s="59">
        <v>18.989999999999998</v>
      </c>
      <c r="I386" t="s">
        <v>1041</v>
      </c>
      <c r="J386" t="s">
        <v>14</v>
      </c>
      <c r="K386" s="60" t="s">
        <v>14</v>
      </c>
      <c r="L386" s="59">
        <v>0</v>
      </c>
      <c r="M386" s="61">
        <v>37.979999999999997</v>
      </c>
      <c r="N386">
        <f ca="1">IF(LEFT(tblSales[[#This Row],[Category]],1)="A",RANDBETWEEN(1,4),RANDBETWEEN(2,7))</f>
        <v>3</v>
      </c>
      <c r="O386" s="61" t="str">
        <f>IF(COUNTIF($A$2:A386,A386)=1,SUMIFS(tblSales[Revenue],tblSales[Order ID],tblSales[[#This Row],[Order ID]]),"")</f>
        <v/>
      </c>
      <c r="P386" t="str">
        <f>TEXT(tblSales[[#This Row],[Date]],"ddd")</f>
        <v>Fri</v>
      </c>
      <c r="Q386">
        <f>1/COUNTIF(tblSales[Order ID],tblSales[[#This Row],[Order ID]])</f>
        <v>0.25</v>
      </c>
    </row>
    <row r="387" spans="1:17" x14ac:dyDescent="0.3">
      <c r="A387">
        <v>202059</v>
      </c>
      <c r="B387" s="15">
        <v>45492</v>
      </c>
      <c r="C387">
        <v>121611</v>
      </c>
      <c r="D387">
        <v>300185</v>
      </c>
      <c r="E387" t="s">
        <v>1040</v>
      </c>
      <c r="F387" t="s">
        <v>1049</v>
      </c>
      <c r="G387">
        <v>1</v>
      </c>
      <c r="H387" s="59">
        <v>29.99</v>
      </c>
      <c r="I387" t="s">
        <v>1041</v>
      </c>
      <c r="J387" t="s">
        <v>14</v>
      </c>
      <c r="K387" s="60" t="s">
        <v>14</v>
      </c>
      <c r="L387" s="59">
        <v>0</v>
      </c>
      <c r="M387" s="61">
        <v>29.99</v>
      </c>
      <c r="N387">
        <f ca="1">IF(LEFT(tblSales[[#This Row],[Category]],1)="A",RANDBETWEEN(1,4),RANDBETWEEN(2,7))</f>
        <v>1</v>
      </c>
      <c r="O387" s="61" t="str">
        <f>IF(COUNTIF($A$2:A387,A387)=1,SUMIFS(tblSales[Revenue],tblSales[Order ID],tblSales[[#This Row],[Order ID]]),"")</f>
        <v/>
      </c>
      <c r="P387" t="str">
        <f>TEXT(tblSales[[#This Row],[Date]],"ddd")</f>
        <v>Fri</v>
      </c>
      <c r="Q387">
        <f>1/COUNTIF(tblSales[Order ID],tblSales[[#This Row],[Order ID]])</f>
        <v>0.25</v>
      </c>
    </row>
    <row r="388" spans="1:17" x14ac:dyDescent="0.3">
      <c r="A388">
        <v>202060</v>
      </c>
      <c r="B388" s="15">
        <v>45484</v>
      </c>
      <c r="C388">
        <v>102385</v>
      </c>
      <c r="D388">
        <v>100250</v>
      </c>
      <c r="E388" t="s">
        <v>1046</v>
      </c>
      <c r="F388" t="s">
        <v>202</v>
      </c>
      <c r="G388">
        <v>4</v>
      </c>
      <c r="H388" s="59">
        <v>189</v>
      </c>
      <c r="I388" t="s">
        <v>1041</v>
      </c>
      <c r="J388" t="s">
        <v>14</v>
      </c>
      <c r="K388" s="60" t="s">
        <v>14</v>
      </c>
      <c r="L388" s="59">
        <v>0</v>
      </c>
      <c r="M388" s="61">
        <v>756</v>
      </c>
      <c r="N388">
        <f ca="1">IF(LEFT(tblSales[[#This Row],[Category]],1)="A",RANDBETWEEN(1,4),RANDBETWEEN(2,7))</f>
        <v>4</v>
      </c>
      <c r="O388" s="61">
        <f>IF(COUNTIF($A$2:A388,A388)=1,SUMIFS(tblSales[Revenue],tblSales[Order ID],tblSales[[#This Row],[Order ID]]),"")</f>
        <v>850.95</v>
      </c>
      <c r="P388" t="str">
        <f>TEXT(tblSales[[#This Row],[Date]],"ddd")</f>
        <v>Thu</v>
      </c>
      <c r="Q388">
        <f>1/COUNTIF(tblSales[Order ID],tblSales[[#This Row],[Order ID]])</f>
        <v>0.5</v>
      </c>
    </row>
    <row r="389" spans="1:17" x14ac:dyDescent="0.3">
      <c r="A389">
        <v>202060</v>
      </c>
      <c r="B389" s="15">
        <v>45484</v>
      </c>
      <c r="C389">
        <v>102385</v>
      </c>
      <c r="D389">
        <v>200549</v>
      </c>
      <c r="E389" t="s">
        <v>1043</v>
      </c>
      <c r="F389" t="s">
        <v>1042</v>
      </c>
      <c r="G389">
        <v>5</v>
      </c>
      <c r="H389" s="59">
        <v>18.989999999999998</v>
      </c>
      <c r="I389" t="s">
        <v>1041</v>
      </c>
      <c r="J389" t="s">
        <v>14</v>
      </c>
      <c r="K389" s="60" t="s">
        <v>14</v>
      </c>
      <c r="L389" s="59">
        <v>0</v>
      </c>
      <c r="M389" s="61">
        <v>94.949999999999989</v>
      </c>
      <c r="N389">
        <f ca="1">IF(LEFT(tblSales[[#This Row],[Category]],1)="A",RANDBETWEEN(1,4),RANDBETWEEN(2,7))</f>
        <v>3</v>
      </c>
      <c r="O389" s="61" t="str">
        <f>IF(COUNTIF($A$2:A389,A389)=1,SUMIFS(tblSales[Revenue],tblSales[Order ID],tblSales[[#This Row],[Order ID]]),"")</f>
        <v/>
      </c>
      <c r="P389" t="str">
        <f>TEXT(tblSales[[#This Row],[Date]],"ddd")</f>
        <v>Thu</v>
      </c>
      <c r="Q389">
        <f>1/COUNTIF(tblSales[Order ID],tblSales[[#This Row],[Order ID]])</f>
        <v>0.5</v>
      </c>
    </row>
    <row r="390" spans="1:17" x14ac:dyDescent="0.3">
      <c r="A390">
        <v>202061</v>
      </c>
      <c r="B390" s="15">
        <v>45481</v>
      </c>
      <c r="C390">
        <v>127750</v>
      </c>
      <c r="D390">
        <v>100250</v>
      </c>
      <c r="E390" t="s">
        <v>1046</v>
      </c>
      <c r="F390" t="s">
        <v>202</v>
      </c>
      <c r="G390">
        <v>5</v>
      </c>
      <c r="H390" s="59">
        <v>189</v>
      </c>
      <c r="I390" t="s">
        <v>1041</v>
      </c>
      <c r="J390" t="s">
        <v>14</v>
      </c>
      <c r="K390" s="60" t="s">
        <v>14</v>
      </c>
      <c r="L390" s="59">
        <v>0</v>
      </c>
      <c r="M390" s="61">
        <v>945</v>
      </c>
      <c r="N390">
        <f ca="1">IF(LEFT(tblSales[[#This Row],[Category]],1)="A",RANDBETWEEN(1,4),RANDBETWEEN(2,7))</f>
        <v>3</v>
      </c>
      <c r="O390" s="61">
        <f>IF(COUNTIF($A$2:A390,A390)=1,SUMIFS(tblSales[Revenue],tblSales[Order ID],tblSales[[#This Row],[Order ID]]),"")</f>
        <v>966.99</v>
      </c>
      <c r="P390" t="str">
        <f>TEXT(tblSales[[#This Row],[Date]],"ddd")</f>
        <v>Mon</v>
      </c>
      <c r="Q390">
        <f>1/COUNTIF(tblSales[Order ID],tblSales[[#This Row],[Order ID]])</f>
        <v>0.5</v>
      </c>
    </row>
    <row r="391" spans="1:17" x14ac:dyDescent="0.3">
      <c r="A391">
        <v>202061</v>
      </c>
      <c r="B391" s="15">
        <v>45481</v>
      </c>
      <c r="C391">
        <v>127750</v>
      </c>
      <c r="D391">
        <v>300191</v>
      </c>
      <c r="E391" t="s">
        <v>1040</v>
      </c>
      <c r="F391" t="s">
        <v>1051</v>
      </c>
      <c r="G391">
        <v>1</v>
      </c>
      <c r="H391" s="59">
        <v>21.99</v>
      </c>
      <c r="I391" t="s">
        <v>1041</v>
      </c>
      <c r="J391" t="s">
        <v>14</v>
      </c>
      <c r="K391" s="60" t="s">
        <v>14</v>
      </c>
      <c r="L391" s="59">
        <v>0</v>
      </c>
      <c r="M391" s="61">
        <v>21.99</v>
      </c>
      <c r="N391">
        <f ca="1">IF(LEFT(tblSales[[#This Row],[Category]],1)="A",RANDBETWEEN(1,4),RANDBETWEEN(2,7))</f>
        <v>3</v>
      </c>
      <c r="O391" s="61" t="str">
        <f>IF(COUNTIF($A$2:A391,A391)=1,SUMIFS(tblSales[Revenue],tblSales[Order ID],tblSales[[#This Row],[Order ID]]),"")</f>
        <v/>
      </c>
      <c r="P391" t="str">
        <f>TEXT(tblSales[[#This Row],[Date]],"ddd")</f>
        <v>Mon</v>
      </c>
      <c r="Q391">
        <f>1/COUNTIF(tblSales[Order ID],tblSales[[#This Row],[Order ID]])</f>
        <v>0.5</v>
      </c>
    </row>
    <row r="392" spans="1:17" x14ac:dyDescent="0.3">
      <c r="A392">
        <v>202062</v>
      </c>
      <c r="B392" s="15">
        <v>45486</v>
      </c>
      <c r="C392">
        <v>124697</v>
      </c>
      <c r="D392">
        <v>100248</v>
      </c>
      <c r="E392" t="s">
        <v>1046</v>
      </c>
      <c r="F392" t="s">
        <v>168</v>
      </c>
      <c r="G392">
        <v>1</v>
      </c>
      <c r="H392" s="59">
        <v>199</v>
      </c>
      <c r="I392" t="s">
        <v>120</v>
      </c>
      <c r="J392" t="s">
        <v>1047</v>
      </c>
      <c r="K392" s="60">
        <v>0.1</v>
      </c>
      <c r="L392" s="59">
        <v>19.900000000000002</v>
      </c>
      <c r="M392" s="61">
        <v>179.1</v>
      </c>
      <c r="N392">
        <f ca="1">IF(LEFT(tblSales[[#This Row],[Category]],1)="A",RANDBETWEEN(1,4),RANDBETWEEN(2,7))</f>
        <v>3</v>
      </c>
      <c r="O392" s="61">
        <f>IF(COUNTIF($A$2:A392,A392)=1,SUMIFS(tblSales[Revenue],tblSales[Order ID],tblSales[[#This Row],[Order ID]]),"")</f>
        <v>179.1</v>
      </c>
      <c r="P392" t="str">
        <f>TEXT(tblSales[[#This Row],[Date]],"ddd")</f>
        <v>Sat</v>
      </c>
      <c r="Q392">
        <f>1/COUNTIF(tblSales[Order ID],tblSales[[#This Row],[Order ID]])</f>
        <v>1</v>
      </c>
    </row>
    <row r="393" spans="1:17" x14ac:dyDescent="0.3">
      <c r="A393">
        <v>202063</v>
      </c>
      <c r="B393" s="15">
        <v>45485</v>
      </c>
      <c r="C393">
        <v>104905</v>
      </c>
      <c r="D393">
        <v>200549</v>
      </c>
      <c r="E393" t="s">
        <v>1043</v>
      </c>
      <c r="F393" t="s">
        <v>1042</v>
      </c>
      <c r="G393">
        <v>1</v>
      </c>
      <c r="H393" s="59">
        <v>18.989999999999998</v>
      </c>
      <c r="I393" t="s">
        <v>120</v>
      </c>
      <c r="J393" t="s">
        <v>1047</v>
      </c>
      <c r="K393" s="60">
        <v>0.1</v>
      </c>
      <c r="L393" s="59">
        <v>1.899</v>
      </c>
      <c r="M393" s="61">
        <v>17.090999999999998</v>
      </c>
      <c r="N393">
        <f ca="1">IF(LEFT(tblSales[[#This Row],[Category]],1)="A",RANDBETWEEN(1,4),RANDBETWEEN(2,7))</f>
        <v>1</v>
      </c>
      <c r="O393" s="61">
        <f>IF(COUNTIF($A$2:A393,A393)=1,SUMIFS(tblSales[Revenue],tblSales[Order ID],tblSales[[#This Row],[Order ID]]),"")</f>
        <v>17.090999999999998</v>
      </c>
      <c r="P393" t="str">
        <f>TEXT(tblSales[[#This Row],[Date]],"ddd")</f>
        <v>Fri</v>
      </c>
      <c r="Q393">
        <f>1/COUNTIF(tblSales[Order ID],tblSales[[#This Row],[Order ID]])</f>
        <v>1</v>
      </c>
    </row>
    <row r="394" spans="1:17" x14ac:dyDescent="0.3">
      <c r="A394">
        <v>202064</v>
      </c>
      <c r="B394" s="15">
        <v>45492</v>
      </c>
      <c r="C394">
        <v>104274</v>
      </c>
      <c r="D394">
        <v>100253</v>
      </c>
      <c r="E394" t="s">
        <v>1046</v>
      </c>
      <c r="F394" t="s">
        <v>192</v>
      </c>
      <c r="G394">
        <v>5</v>
      </c>
      <c r="H394" s="59">
        <v>279</v>
      </c>
      <c r="I394" t="s">
        <v>1041</v>
      </c>
      <c r="J394" t="s">
        <v>14</v>
      </c>
      <c r="K394" s="60" t="s">
        <v>14</v>
      </c>
      <c r="L394" s="59">
        <v>0</v>
      </c>
      <c r="M394" s="61">
        <v>1395</v>
      </c>
      <c r="N394">
        <f ca="1">IF(LEFT(tblSales[[#This Row],[Category]],1)="A",RANDBETWEEN(1,4),RANDBETWEEN(2,7))</f>
        <v>4</v>
      </c>
      <c r="O394" s="61">
        <f>IF(COUNTIF($A$2:A394,A394)=1,SUMIFS(tblSales[Revenue],tblSales[Order ID],tblSales[[#This Row],[Order ID]]),"")</f>
        <v>1395</v>
      </c>
      <c r="P394" t="str">
        <f>TEXT(tblSales[[#This Row],[Date]],"ddd")</f>
        <v>Fri</v>
      </c>
      <c r="Q394">
        <f>1/COUNTIF(tblSales[Order ID],tblSales[[#This Row],[Order ID]])</f>
        <v>1</v>
      </c>
    </row>
    <row r="395" spans="1:17" x14ac:dyDescent="0.3">
      <c r="A395">
        <v>202065</v>
      </c>
      <c r="B395" s="15">
        <v>45483</v>
      </c>
      <c r="C395">
        <v>124839</v>
      </c>
      <c r="D395">
        <v>300190</v>
      </c>
      <c r="E395" t="s">
        <v>1040</v>
      </c>
      <c r="F395" t="s">
        <v>1039</v>
      </c>
      <c r="G395">
        <v>2</v>
      </c>
      <c r="H395" s="59">
        <v>35.99</v>
      </c>
      <c r="I395" t="s">
        <v>1041</v>
      </c>
      <c r="J395" t="s">
        <v>14</v>
      </c>
      <c r="K395" s="60" t="s">
        <v>14</v>
      </c>
      <c r="L395" s="59">
        <v>0</v>
      </c>
      <c r="M395" s="61">
        <v>71.98</v>
      </c>
      <c r="N395">
        <f ca="1">IF(LEFT(tblSales[[#This Row],[Category]],1)="A",RANDBETWEEN(1,4),RANDBETWEEN(2,7))</f>
        <v>1</v>
      </c>
      <c r="O395" s="61">
        <f>IF(COUNTIF($A$2:A395,A395)=1,SUMIFS(tblSales[Revenue],tblSales[Order ID],tblSales[[#This Row],[Order ID]]),"")</f>
        <v>90.97</v>
      </c>
      <c r="P395" t="str">
        <f>TEXT(tblSales[[#This Row],[Date]],"ddd")</f>
        <v>Wed</v>
      </c>
      <c r="Q395">
        <f>1/COUNTIF(tblSales[Order ID],tblSales[[#This Row],[Order ID]])</f>
        <v>0.5</v>
      </c>
    </row>
    <row r="396" spans="1:17" x14ac:dyDescent="0.3">
      <c r="A396">
        <v>202065</v>
      </c>
      <c r="B396" s="15">
        <v>45483</v>
      </c>
      <c r="C396">
        <v>124839</v>
      </c>
      <c r="D396">
        <v>200549</v>
      </c>
      <c r="E396" t="s">
        <v>1043</v>
      </c>
      <c r="F396" t="s">
        <v>1042</v>
      </c>
      <c r="G396">
        <v>1</v>
      </c>
      <c r="H396" s="59">
        <v>18.989999999999998</v>
      </c>
      <c r="I396" t="s">
        <v>1041</v>
      </c>
      <c r="J396" t="s">
        <v>14</v>
      </c>
      <c r="K396" s="60" t="s">
        <v>14</v>
      </c>
      <c r="L396" s="59">
        <v>0</v>
      </c>
      <c r="M396" s="61">
        <v>18.989999999999998</v>
      </c>
      <c r="N396">
        <f ca="1">IF(LEFT(tblSales[[#This Row],[Category]],1)="A",RANDBETWEEN(1,4),RANDBETWEEN(2,7))</f>
        <v>1</v>
      </c>
      <c r="O396" s="61" t="str">
        <f>IF(COUNTIF($A$2:A396,A396)=1,SUMIFS(tblSales[Revenue],tblSales[Order ID],tblSales[[#This Row],[Order ID]]),"")</f>
        <v/>
      </c>
      <c r="P396" t="str">
        <f>TEXT(tblSales[[#This Row],[Date]],"ddd")</f>
        <v>Wed</v>
      </c>
      <c r="Q396">
        <f>1/COUNTIF(tblSales[Order ID],tblSales[[#This Row],[Order ID]])</f>
        <v>0.5</v>
      </c>
    </row>
    <row r="397" spans="1:17" x14ac:dyDescent="0.3">
      <c r="A397">
        <v>202066</v>
      </c>
      <c r="B397" s="15">
        <v>45493</v>
      </c>
      <c r="C397">
        <v>106386</v>
      </c>
      <c r="D397">
        <v>100254</v>
      </c>
      <c r="E397" t="s">
        <v>1046</v>
      </c>
      <c r="F397" t="s">
        <v>164</v>
      </c>
      <c r="G397">
        <v>5</v>
      </c>
      <c r="H397" s="59">
        <v>799</v>
      </c>
      <c r="I397" t="s">
        <v>1041</v>
      </c>
      <c r="J397" t="s">
        <v>14</v>
      </c>
      <c r="K397" s="60" t="s">
        <v>14</v>
      </c>
      <c r="L397" s="59">
        <v>0</v>
      </c>
      <c r="M397" s="61">
        <v>3995</v>
      </c>
      <c r="N397">
        <f ca="1">IF(LEFT(tblSales[[#This Row],[Category]],1)="A",RANDBETWEEN(1,4),RANDBETWEEN(2,7))</f>
        <v>2</v>
      </c>
      <c r="O397" s="61">
        <f>IF(COUNTIF($A$2:A397,A397)=1,SUMIFS(tblSales[Revenue],tblSales[Order ID],tblSales[[#This Row],[Order ID]]),"")</f>
        <v>4125.95</v>
      </c>
      <c r="P397" t="str">
        <f>TEXT(tblSales[[#This Row],[Date]],"ddd")</f>
        <v>Sat</v>
      </c>
      <c r="Q397">
        <f>1/COUNTIF(tblSales[Order ID],tblSales[[#This Row],[Order ID]])</f>
        <v>0.25</v>
      </c>
    </row>
    <row r="398" spans="1:17" x14ac:dyDescent="0.3">
      <c r="A398">
        <v>202066</v>
      </c>
      <c r="B398" s="15">
        <v>45493</v>
      </c>
      <c r="C398">
        <v>106386</v>
      </c>
      <c r="D398">
        <v>200549</v>
      </c>
      <c r="E398" t="s">
        <v>1043</v>
      </c>
      <c r="F398" t="s">
        <v>1042</v>
      </c>
      <c r="G398">
        <v>3</v>
      </c>
      <c r="H398" s="59">
        <v>18.989999999999998</v>
      </c>
      <c r="I398" t="s">
        <v>1041</v>
      </c>
      <c r="J398" t="s">
        <v>14</v>
      </c>
      <c r="K398" s="60" t="s">
        <v>14</v>
      </c>
      <c r="L398" s="59">
        <v>0</v>
      </c>
      <c r="M398" s="61">
        <v>56.97</v>
      </c>
      <c r="N398">
        <f ca="1">IF(LEFT(tblSales[[#This Row],[Category]],1)="A",RANDBETWEEN(1,4),RANDBETWEEN(2,7))</f>
        <v>3</v>
      </c>
      <c r="O398" s="61" t="str">
        <f>IF(COUNTIF($A$2:A398,A398)=1,SUMIFS(tblSales[Revenue],tblSales[Order ID],tblSales[[#This Row],[Order ID]]),"")</f>
        <v/>
      </c>
      <c r="P398" t="str">
        <f>TEXT(tblSales[[#This Row],[Date]],"ddd")</f>
        <v>Sat</v>
      </c>
      <c r="Q398">
        <f>1/COUNTIF(tblSales[Order ID],tblSales[[#This Row],[Order ID]])</f>
        <v>0.25</v>
      </c>
    </row>
    <row r="399" spans="1:17" x14ac:dyDescent="0.3">
      <c r="A399">
        <v>202066</v>
      </c>
      <c r="B399" s="15">
        <v>45493</v>
      </c>
      <c r="C399">
        <v>106386</v>
      </c>
      <c r="D399">
        <v>200549</v>
      </c>
      <c r="E399" t="s">
        <v>1043</v>
      </c>
      <c r="F399" t="s">
        <v>1042</v>
      </c>
      <c r="G399">
        <v>1</v>
      </c>
      <c r="H399" s="59">
        <v>18.989999999999998</v>
      </c>
      <c r="I399" t="s">
        <v>1041</v>
      </c>
      <c r="J399" t="s">
        <v>14</v>
      </c>
      <c r="K399" s="60" t="s">
        <v>14</v>
      </c>
      <c r="L399" s="59">
        <v>0</v>
      </c>
      <c r="M399" s="61">
        <v>18.989999999999998</v>
      </c>
      <c r="N399">
        <f ca="1">IF(LEFT(tblSales[[#This Row],[Category]],1)="A",RANDBETWEEN(1,4),RANDBETWEEN(2,7))</f>
        <v>3</v>
      </c>
      <c r="O399" s="61" t="str">
        <f>IF(COUNTIF($A$2:A399,A399)=1,SUMIFS(tblSales[Revenue],tblSales[Order ID],tblSales[[#This Row],[Order ID]]),"")</f>
        <v/>
      </c>
      <c r="P399" t="str">
        <f>TEXT(tblSales[[#This Row],[Date]],"ddd")</f>
        <v>Sat</v>
      </c>
      <c r="Q399">
        <f>1/COUNTIF(tblSales[Order ID],tblSales[[#This Row],[Order ID]])</f>
        <v>0.25</v>
      </c>
    </row>
    <row r="400" spans="1:17" x14ac:dyDescent="0.3">
      <c r="A400">
        <v>202066</v>
      </c>
      <c r="B400" s="15">
        <v>45493</v>
      </c>
      <c r="C400">
        <v>106386</v>
      </c>
      <c r="D400">
        <v>300187</v>
      </c>
      <c r="E400" t="s">
        <v>1040</v>
      </c>
      <c r="F400" t="s">
        <v>1058</v>
      </c>
      <c r="G400">
        <v>1</v>
      </c>
      <c r="H400" s="59">
        <v>54.99</v>
      </c>
      <c r="I400" t="s">
        <v>1041</v>
      </c>
      <c r="J400" t="s">
        <v>14</v>
      </c>
      <c r="K400" s="60" t="s">
        <v>14</v>
      </c>
      <c r="L400" s="59">
        <v>0</v>
      </c>
      <c r="M400" s="61">
        <v>54.99</v>
      </c>
      <c r="N400">
        <f ca="1">IF(LEFT(tblSales[[#This Row],[Category]],1)="A",RANDBETWEEN(1,4),RANDBETWEEN(2,7))</f>
        <v>1</v>
      </c>
      <c r="O400" s="61" t="str">
        <f>IF(COUNTIF($A$2:A400,A400)=1,SUMIFS(tblSales[Revenue],tblSales[Order ID],tblSales[[#This Row],[Order ID]]),"")</f>
        <v/>
      </c>
      <c r="P400" t="str">
        <f>TEXT(tblSales[[#This Row],[Date]],"ddd")</f>
        <v>Sat</v>
      </c>
      <c r="Q400">
        <f>1/COUNTIF(tblSales[Order ID],tblSales[[#This Row],[Order ID]])</f>
        <v>0.25</v>
      </c>
    </row>
    <row r="401" spans="1:17" x14ac:dyDescent="0.3">
      <c r="A401">
        <v>202067</v>
      </c>
      <c r="B401" s="15">
        <v>45490</v>
      </c>
      <c r="C401">
        <v>111301</v>
      </c>
      <c r="D401">
        <v>200559</v>
      </c>
      <c r="E401" t="s">
        <v>1043</v>
      </c>
      <c r="F401" t="s">
        <v>1045</v>
      </c>
      <c r="G401">
        <v>2</v>
      </c>
      <c r="H401" s="59">
        <v>59.99</v>
      </c>
      <c r="I401" t="s">
        <v>1041</v>
      </c>
      <c r="J401" t="s">
        <v>14</v>
      </c>
      <c r="K401" s="60" t="s">
        <v>14</v>
      </c>
      <c r="L401" s="59">
        <v>0</v>
      </c>
      <c r="M401" s="61">
        <v>119.98</v>
      </c>
      <c r="N401">
        <f ca="1">IF(LEFT(tblSales[[#This Row],[Category]],1)="A",RANDBETWEEN(1,4),RANDBETWEEN(2,7))</f>
        <v>1</v>
      </c>
      <c r="O401" s="61">
        <f>IF(COUNTIF($A$2:A401,A401)=1,SUMIFS(tblSales[Revenue],tblSales[Order ID],tblSales[[#This Row],[Order ID]]),"")</f>
        <v>359.94</v>
      </c>
      <c r="P401" t="str">
        <f>TEXT(tblSales[[#This Row],[Date]],"ddd")</f>
        <v>Wed</v>
      </c>
      <c r="Q401">
        <f>1/COUNTIF(tblSales[Order ID],tblSales[[#This Row],[Order ID]])</f>
        <v>0.5</v>
      </c>
    </row>
    <row r="402" spans="1:17" x14ac:dyDescent="0.3">
      <c r="A402">
        <v>202067</v>
      </c>
      <c r="B402" s="15">
        <v>45490</v>
      </c>
      <c r="C402">
        <v>111301</v>
      </c>
      <c r="D402">
        <v>200559</v>
      </c>
      <c r="E402" t="s">
        <v>1043</v>
      </c>
      <c r="F402" t="s">
        <v>1045</v>
      </c>
      <c r="G402">
        <v>4</v>
      </c>
      <c r="H402" s="59">
        <v>59.99</v>
      </c>
      <c r="I402" t="s">
        <v>1041</v>
      </c>
      <c r="J402" t="s">
        <v>14</v>
      </c>
      <c r="K402" s="60" t="s">
        <v>14</v>
      </c>
      <c r="L402" s="59">
        <v>0</v>
      </c>
      <c r="M402" s="61">
        <v>239.96</v>
      </c>
      <c r="N402">
        <f ca="1">IF(LEFT(tblSales[[#This Row],[Category]],1)="A",RANDBETWEEN(1,4),RANDBETWEEN(2,7))</f>
        <v>3</v>
      </c>
      <c r="O402" s="61" t="str">
        <f>IF(COUNTIF($A$2:A402,A402)=1,SUMIFS(tblSales[Revenue],tblSales[Order ID],tblSales[[#This Row],[Order ID]]),"")</f>
        <v/>
      </c>
      <c r="P402" t="str">
        <f>TEXT(tblSales[[#This Row],[Date]],"ddd")</f>
        <v>Wed</v>
      </c>
      <c r="Q402">
        <f>1/COUNTIF(tblSales[Order ID],tblSales[[#This Row],[Order ID]])</f>
        <v>0.5</v>
      </c>
    </row>
    <row r="403" spans="1:17" x14ac:dyDescent="0.3">
      <c r="A403">
        <v>202068</v>
      </c>
      <c r="B403" s="15">
        <v>45492</v>
      </c>
      <c r="C403">
        <v>122599</v>
      </c>
      <c r="D403">
        <v>200559</v>
      </c>
      <c r="E403" t="s">
        <v>1043</v>
      </c>
      <c r="F403" t="s">
        <v>1045</v>
      </c>
      <c r="G403">
        <v>1</v>
      </c>
      <c r="H403" s="59">
        <v>59.99</v>
      </c>
      <c r="I403" t="s">
        <v>1041</v>
      </c>
      <c r="J403" t="s">
        <v>14</v>
      </c>
      <c r="K403" s="60" t="s">
        <v>14</v>
      </c>
      <c r="L403" s="59">
        <v>0</v>
      </c>
      <c r="M403" s="61">
        <v>59.99</v>
      </c>
      <c r="N403">
        <f ca="1">IF(LEFT(tblSales[[#This Row],[Category]],1)="A",RANDBETWEEN(1,4),RANDBETWEEN(2,7))</f>
        <v>1</v>
      </c>
      <c r="O403" s="61">
        <f>IF(COUNTIF($A$2:A403,A403)=1,SUMIFS(tblSales[Revenue],tblSales[Order ID],tblSales[[#This Row],[Order ID]]),"")</f>
        <v>75.98</v>
      </c>
      <c r="P403" t="str">
        <f>TEXT(tblSales[[#This Row],[Date]],"ddd")</f>
        <v>Fri</v>
      </c>
      <c r="Q403">
        <f>1/COUNTIF(tblSales[Order ID],tblSales[[#This Row],[Order ID]])</f>
        <v>0.5</v>
      </c>
    </row>
    <row r="404" spans="1:17" x14ac:dyDescent="0.3">
      <c r="A404">
        <v>202068</v>
      </c>
      <c r="B404" s="15">
        <v>45492</v>
      </c>
      <c r="C404">
        <v>122599</v>
      </c>
      <c r="D404">
        <v>200550</v>
      </c>
      <c r="E404" t="s">
        <v>1043</v>
      </c>
      <c r="F404" t="s">
        <v>1057</v>
      </c>
      <c r="G404">
        <v>1</v>
      </c>
      <c r="H404" s="59">
        <v>15.99</v>
      </c>
      <c r="I404" t="s">
        <v>1041</v>
      </c>
      <c r="J404" t="s">
        <v>14</v>
      </c>
      <c r="K404" s="60" t="s">
        <v>14</v>
      </c>
      <c r="L404" s="59">
        <v>0</v>
      </c>
      <c r="M404" s="61">
        <v>15.99</v>
      </c>
      <c r="N404">
        <f ca="1">IF(LEFT(tblSales[[#This Row],[Category]],1)="A",RANDBETWEEN(1,4),RANDBETWEEN(2,7))</f>
        <v>1</v>
      </c>
      <c r="O404" s="61" t="str">
        <f>IF(COUNTIF($A$2:A404,A404)=1,SUMIFS(tblSales[Revenue],tblSales[Order ID],tblSales[[#This Row],[Order ID]]),"")</f>
        <v/>
      </c>
      <c r="P404" t="str">
        <f>TEXT(tblSales[[#This Row],[Date]],"ddd")</f>
        <v>Fri</v>
      </c>
      <c r="Q404">
        <f>1/COUNTIF(tblSales[Order ID],tblSales[[#This Row],[Order ID]])</f>
        <v>0.5</v>
      </c>
    </row>
    <row r="405" spans="1:17" x14ac:dyDescent="0.3">
      <c r="A405">
        <v>202069</v>
      </c>
      <c r="B405" s="15">
        <v>45493</v>
      </c>
      <c r="C405">
        <v>116894</v>
      </c>
      <c r="D405">
        <v>300187</v>
      </c>
      <c r="E405" t="s">
        <v>1040</v>
      </c>
      <c r="F405" t="s">
        <v>1058</v>
      </c>
      <c r="G405">
        <v>1</v>
      </c>
      <c r="H405" s="59">
        <v>54.99</v>
      </c>
      <c r="I405" t="s">
        <v>1041</v>
      </c>
      <c r="J405" t="s">
        <v>14</v>
      </c>
      <c r="K405" s="60" t="s">
        <v>14</v>
      </c>
      <c r="L405" s="59">
        <v>0</v>
      </c>
      <c r="M405" s="61">
        <v>54.99</v>
      </c>
      <c r="N405">
        <f ca="1">IF(LEFT(tblSales[[#This Row],[Category]],1)="A",RANDBETWEEN(1,4),RANDBETWEEN(2,7))</f>
        <v>3</v>
      </c>
      <c r="O405" s="61">
        <f>IF(COUNTIF($A$2:A405,A405)=1,SUMIFS(tblSales[Revenue],tblSales[Order ID],tblSales[[#This Row],[Order ID]]),"")</f>
        <v>229.96</v>
      </c>
      <c r="P405" t="str">
        <f>TEXT(tblSales[[#This Row],[Date]],"ddd")</f>
        <v>Sat</v>
      </c>
      <c r="Q405">
        <f>1/COUNTIF(tblSales[Order ID],tblSales[[#This Row],[Order ID]])</f>
        <v>0.25</v>
      </c>
    </row>
    <row r="406" spans="1:17" x14ac:dyDescent="0.3">
      <c r="A406">
        <v>202069</v>
      </c>
      <c r="B406" s="15">
        <v>45493</v>
      </c>
      <c r="C406">
        <v>116894</v>
      </c>
      <c r="D406">
        <v>200559</v>
      </c>
      <c r="E406" t="s">
        <v>1043</v>
      </c>
      <c r="F406" t="s">
        <v>1045</v>
      </c>
      <c r="G406">
        <v>1</v>
      </c>
      <c r="H406" s="59">
        <v>59.99</v>
      </c>
      <c r="I406" t="s">
        <v>1041</v>
      </c>
      <c r="J406" t="s">
        <v>14</v>
      </c>
      <c r="K406" s="60" t="s">
        <v>14</v>
      </c>
      <c r="L406" s="59">
        <v>0</v>
      </c>
      <c r="M406" s="61">
        <v>59.99</v>
      </c>
      <c r="N406">
        <f ca="1">IF(LEFT(tblSales[[#This Row],[Category]],1)="A",RANDBETWEEN(1,4),RANDBETWEEN(2,7))</f>
        <v>2</v>
      </c>
      <c r="O406" s="61" t="str">
        <f>IF(COUNTIF($A$2:A406,A406)=1,SUMIFS(tblSales[Revenue],tblSales[Order ID],tblSales[[#This Row],[Order ID]]),"")</f>
        <v/>
      </c>
      <c r="P406" t="str">
        <f>TEXT(tblSales[[#This Row],[Date]],"ddd")</f>
        <v>Sat</v>
      </c>
      <c r="Q406">
        <f>1/COUNTIF(tblSales[Order ID],tblSales[[#This Row],[Order ID]])</f>
        <v>0.25</v>
      </c>
    </row>
    <row r="407" spans="1:17" x14ac:dyDescent="0.3">
      <c r="A407">
        <v>202069</v>
      </c>
      <c r="B407" s="15">
        <v>45493</v>
      </c>
      <c r="C407">
        <v>116894</v>
      </c>
      <c r="D407">
        <v>200559</v>
      </c>
      <c r="E407" t="s">
        <v>1043</v>
      </c>
      <c r="F407" t="s">
        <v>1045</v>
      </c>
      <c r="G407">
        <v>1</v>
      </c>
      <c r="H407" s="59">
        <v>59.99</v>
      </c>
      <c r="I407" t="s">
        <v>1041</v>
      </c>
      <c r="J407" t="s">
        <v>14</v>
      </c>
      <c r="K407" s="60" t="s">
        <v>14</v>
      </c>
      <c r="L407" s="59">
        <v>0</v>
      </c>
      <c r="M407" s="61">
        <v>59.99</v>
      </c>
      <c r="N407">
        <f ca="1">IF(LEFT(tblSales[[#This Row],[Category]],1)="A",RANDBETWEEN(1,4),RANDBETWEEN(2,7))</f>
        <v>2</v>
      </c>
      <c r="O407" s="61" t="str">
        <f>IF(COUNTIF($A$2:A407,A407)=1,SUMIFS(tblSales[Revenue],tblSales[Order ID],tblSales[[#This Row],[Order ID]]),"")</f>
        <v/>
      </c>
      <c r="P407" t="str">
        <f>TEXT(tblSales[[#This Row],[Date]],"ddd")</f>
        <v>Sat</v>
      </c>
      <c r="Q407">
        <f>1/COUNTIF(tblSales[Order ID],tblSales[[#This Row],[Order ID]])</f>
        <v>0.25</v>
      </c>
    </row>
    <row r="408" spans="1:17" x14ac:dyDescent="0.3">
      <c r="A408">
        <v>202069</v>
      </c>
      <c r="B408" s="15">
        <v>45493</v>
      </c>
      <c r="C408">
        <v>116894</v>
      </c>
      <c r="D408">
        <v>300187</v>
      </c>
      <c r="E408" t="s">
        <v>1040</v>
      </c>
      <c r="F408" t="s">
        <v>1058</v>
      </c>
      <c r="G408">
        <v>1</v>
      </c>
      <c r="H408" s="59">
        <v>54.99</v>
      </c>
      <c r="I408" t="s">
        <v>1041</v>
      </c>
      <c r="J408" t="s">
        <v>14</v>
      </c>
      <c r="K408" s="60" t="s">
        <v>14</v>
      </c>
      <c r="L408" s="59">
        <v>0</v>
      </c>
      <c r="M408" s="61">
        <v>54.99</v>
      </c>
      <c r="N408">
        <f ca="1">IF(LEFT(tblSales[[#This Row],[Category]],1)="A",RANDBETWEEN(1,4),RANDBETWEEN(2,7))</f>
        <v>3</v>
      </c>
      <c r="O408" s="61" t="str">
        <f>IF(COUNTIF($A$2:A408,A408)=1,SUMIFS(tblSales[Revenue],tblSales[Order ID],tblSales[[#This Row],[Order ID]]),"")</f>
        <v/>
      </c>
      <c r="P408" t="str">
        <f>TEXT(tblSales[[#This Row],[Date]],"ddd")</f>
        <v>Sat</v>
      </c>
      <c r="Q408">
        <f>1/COUNTIF(tblSales[Order ID],tblSales[[#This Row],[Order ID]])</f>
        <v>0.25</v>
      </c>
    </row>
    <row r="409" spans="1:17" x14ac:dyDescent="0.3">
      <c r="A409">
        <v>202070</v>
      </c>
      <c r="B409" s="15">
        <v>45486</v>
      </c>
      <c r="C409">
        <v>113983</v>
      </c>
      <c r="D409">
        <v>300191</v>
      </c>
      <c r="E409" t="s">
        <v>1040</v>
      </c>
      <c r="F409" t="s">
        <v>1051</v>
      </c>
      <c r="G409">
        <v>1</v>
      </c>
      <c r="H409" s="59">
        <v>21.99</v>
      </c>
      <c r="I409" t="s">
        <v>120</v>
      </c>
      <c r="J409" t="s">
        <v>1047</v>
      </c>
      <c r="K409" s="60">
        <v>0.1</v>
      </c>
      <c r="L409" s="59">
        <v>2.1989999999999998</v>
      </c>
      <c r="M409" s="61">
        <v>19.790999999999997</v>
      </c>
      <c r="N409">
        <f ca="1">IF(LEFT(tblSales[[#This Row],[Category]],1)="A",RANDBETWEEN(1,4),RANDBETWEEN(2,7))</f>
        <v>3</v>
      </c>
      <c r="O409" s="61">
        <f>IF(COUNTIF($A$2:A409,A409)=1,SUMIFS(tblSales[Revenue],tblSales[Order ID],tblSales[[#This Row],[Order ID]]),"")</f>
        <v>297.87299999999999</v>
      </c>
      <c r="P409" t="str">
        <f>TEXT(tblSales[[#This Row],[Date]],"ddd")</f>
        <v>Sat</v>
      </c>
      <c r="Q409">
        <f>1/COUNTIF(tblSales[Order ID],tblSales[[#This Row],[Order ID]])</f>
        <v>0.25</v>
      </c>
    </row>
    <row r="410" spans="1:17" x14ac:dyDescent="0.3">
      <c r="A410">
        <v>202070</v>
      </c>
      <c r="B410" s="15">
        <v>45486</v>
      </c>
      <c r="C410">
        <v>113983</v>
      </c>
      <c r="D410">
        <v>200559</v>
      </c>
      <c r="E410" t="s">
        <v>1043</v>
      </c>
      <c r="F410" t="s">
        <v>1045</v>
      </c>
      <c r="G410">
        <v>1</v>
      </c>
      <c r="H410" s="59">
        <v>59.99</v>
      </c>
      <c r="I410" t="s">
        <v>120</v>
      </c>
      <c r="J410" t="s">
        <v>1047</v>
      </c>
      <c r="K410" s="60">
        <v>0.1</v>
      </c>
      <c r="L410" s="59">
        <v>5.9990000000000006</v>
      </c>
      <c r="M410" s="61">
        <v>53.991</v>
      </c>
      <c r="N410">
        <f ca="1">IF(LEFT(tblSales[[#This Row],[Category]],1)="A",RANDBETWEEN(1,4),RANDBETWEEN(2,7))</f>
        <v>1</v>
      </c>
      <c r="O410" s="61" t="str">
        <f>IF(COUNTIF($A$2:A410,A410)=1,SUMIFS(tblSales[Revenue],tblSales[Order ID],tblSales[[#This Row],[Order ID]]),"")</f>
        <v/>
      </c>
      <c r="P410" t="str">
        <f>TEXT(tblSales[[#This Row],[Date]],"ddd")</f>
        <v>Sat</v>
      </c>
      <c r="Q410">
        <f>1/COUNTIF(tblSales[Order ID],tblSales[[#This Row],[Order ID]])</f>
        <v>0.25</v>
      </c>
    </row>
    <row r="411" spans="1:17" x14ac:dyDescent="0.3">
      <c r="A411">
        <v>202070</v>
      </c>
      <c r="B411" s="15">
        <v>45486</v>
      </c>
      <c r="C411">
        <v>113983</v>
      </c>
      <c r="D411">
        <v>200559</v>
      </c>
      <c r="E411" t="s">
        <v>1043</v>
      </c>
      <c r="F411" t="s">
        <v>1045</v>
      </c>
      <c r="G411">
        <v>1</v>
      </c>
      <c r="H411" s="59">
        <v>59.99</v>
      </c>
      <c r="I411" t="s">
        <v>120</v>
      </c>
      <c r="J411" t="s">
        <v>1047</v>
      </c>
      <c r="K411" s="60">
        <v>0.1</v>
      </c>
      <c r="L411" s="59">
        <v>5.9990000000000006</v>
      </c>
      <c r="M411" s="61">
        <v>53.991</v>
      </c>
      <c r="N411">
        <f ca="1">IF(LEFT(tblSales[[#This Row],[Category]],1)="A",RANDBETWEEN(1,4),RANDBETWEEN(2,7))</f>
        <v>1</v>
      </c>
      <c r="O411" s="61" t="str">
        <f>IF(COUNTIF($A$2:A411,A411)=1,SUMIFS(tblSales[Revenue],tblSales[Order ID],tblSales[[#This Row],[Order ID]]),"")</f>
        <v/>
      </c>
      <c r="P411" t="str">
        <f>TEXT(tblSales[[#This Row],[Date]],"ddd")</f>
        <v>Sat</v>
      </c>
      <c r="Q411">
        <f>1/COUNTIF(tblSales[Order ID],tblSales[[#This Row],[Order ID]])</f>
        <v>0.25</v>
      </c>
    </row>
    <row r="412" spans="1:17" x14ac:dyDescent="0.3">
      <c r="A412">
        <v>202070</v>
      </c>
      <c r="B412" s="15">
        <v>45486</v>
      </c>
      <c r="C412">
        <v>113983</v>
      </c>
      <c r="D412">
        <v>100250</v>
      </c>
      <c r="E412" t="s">
        <v>1046</v>
      </c>
      <c r="F412" t="s">
        <v>202</v>
      </c>
      <c r="G412">
        <v>1</v>
      </c>
      <c r="H412" s="59">
        <v>189</v>
      </c>
      <c r="I412" t="s">
        <v>120</v>
      </c>
      <c r="J412" t="s">
        <v>1047</v>
      </c>
      <c r="K412" s="60">
        <v>0.1</v>
      </c>
      <c r="L412" s="59">
        <v>18.900000000000002</v>
      </c>
      <c r="M412" s="61">
        <v>170.1</v>
      </c>
      <c r="N412">
        <f ca="1">IF(LEFT(tblSales[[#This Row],[Category]],1)="A",RANDBETWEEN(1,4),RANDBETWEEN(2,7))</f>
        <v>3</v>
      </c>
      <c r="O412" s="61" t="str">
        <f>IF(COUNTIF($A$2:A412,A412)=1,SUMIFS(tblSales[Revenue],tblSales[Order ID],tblSales[[#This Row],[Order ID]]),"")</f>
        <v/>
      </c>
      <c r="P412" t="str">
        <f>TEXT(tblSales[[#This Row],[Date]],"ddd")</f>
        <v>Sat</v>
      </c>
      <c r="Q412">
        <f>1/COUNTIF(tblSales[Order ID],tblSales[[#This Row],[Order ID]])</f>
        <v>0.25</v>
      </c>
    </row>
    <row r="413" spans="1:17" x14ac:dyDescent="0.3">
      <c r="A413">
        <v>202071</v>
      </c>
      <c r="B413" s="15">
        <v>45485</v>
      </c>
      <c r="C413">
        <v>122156</v>
      </c>
      <c r="D413">
        <v>300187</v>
      </c>
      <c r="E413" t="s">
        <v>1040</v>
      </c>
      <c r="F413" t="s">
        <v>1058</v>
      </c>
      <c r="G413">
        <v>3</v>
      </c>
      <c r="H413" s="59">
        <v>54.99</v>
      </c>
      <c r="I413" t="s">
        <v>1041</v>
      </c>
      <c r="J413" t="s">
        <v>14</v>
      </c>
      <c r="K413" s="60" t="s">
        <v>14</v>
      </c>
      <c r="L413" s="59">
        <v>0</v>
      </c>
      <c r="M413" s="61">
        <v>164.97</v>
      </c>
      <c r="N413">
        <f ca="1">IF(LEFT(tblSales[[#This Row],[Category]],1)="A",RANDBETWEEN(1,4),RANDBETWEEN(2,7))</f>
        <v>3</v>
      </c>
      <c r="O413" s="61">
        <f>IF(COUNTIF($A$2:A413,A413)=1,SUMIFS(tblSales[Revenue],tblSales[Order ID],tblSales[[#This Row],[Order ID]]),"")</f>
        <v>1026.94</v>
      </c>
      <c r="P413" t="str">
        <f>TEXT(tblSales[[#This Row],[Date]],"ddd")</f>
        <v>Fri</v>
      </c>
      <c r="Q413">
        <f>1/COUNTIF(tblSales[Order ID],tblSales[[#This Row],[Order ID]])</f>
        <v>0.25</v>
      </c>
    </row>
    <row r="414" spans="1:17" x14ac:dyDescent="0.3">
      <c r="A414">
        <v>202071</v>
      </c>
      <c r="B414" s="15">
        <v>45485</v>
      </c>
      <c r="C414">
        <v>122156</v>
      </c>
      <c r="D414">
        <v>200549</v>
      </c>
      <c r="E414" t="s">
        <v>1043</v>
      </c>
      <c r="F414" t="s">
        <v>1042</v>
      </c>
      <c r="G414">
        <v>1</v>
      </c>
      <c r="H414" s="59">
        <v>18.989999999999998</v>
      </c>
      <c r="I414" t="s">
        <v>1041</v>
      </c>
      <c r="J414" t="s">
        <v>14</v>
      </c>
      <c r="K414" s="60" t="s">
        <v>14</v>
      </c>
      <c r="L414" s="59">
        <v>0</v>
      </c>
      <c r="M414" s="61">
        <v>18.989999999999998</v>
      </c>
      <c r="N414">
        <f ca="1">IF(LEFT(tblSales[[#This Row],[Category]],1)="A",RANDBETWEEN(1,4),RANDBETWEEN(2,7))</f>
        <v>2</v>
      </c>
      <c r="O414" s="61" t="str">
        <f>IF(COUNTIF($A$2:A414,A414)=1,SUMIFS(tblSales[Revenue],tblSales[Order ID],tblSales[[#This Row],[Order ID]]),"")</f>
        <v/>
      </c>
      <c r="P414" t="str">
        <f>TEXT(tblSales[[#This Row],[Date]],"ddd")</f>
        <v>Fri</v>
      </c>
      <c r="Q414">
        <f>1/COUNTIF(tblSales[Order ID],tblSales[[#This Row],[Order ID]])</f>
        <v>0.25</v>
      </c>
    </row>
    <row r="415" spans="1:17" x14ac:dyDescent="0.3">
      <c r="A415">
        <v>202071</v>
      </c>
      <c r="B415" s="15">
        <v>45485</v>
      </c>
      <c r="C415">
        <v>122156</v>
      </c>
      <c r="D415">
        <v>300191</v>
      </c>
      <c r="E415" t="s">
        <v>1040</v>
      </c>
      <c r="F415" t="s">
        <v>1051</v>
      </c>
      <c r="G415">
        <v>2</v>
      </c>
      <c r="H415" s="59">
        <v>21.99</v>
      </c>
      <c r="I415" t="s">
        <v>1041</v>
      </c>
      <c r="J415" t="s">
        <v>14</v>
      </c>
      <c r="K415" s="60" t="s">
        <v>14</v>
      </c>
      <c r="L415" s="59">
        <v>0</v>
      </c>
      <c r="M415" s="61">
        <v>43.98</v>
      </c>
      <c r="N415">
        <f ca="1">IF(LEFT(tblSales[[#This Row],[Category]],1)="A",RANDBETWEEN(1,4),RANDBETWEEN(2,7))</f>
        <v>2</v>
      </c>
      <c r="O415" s="61" t="str">
        <f>IF(COUNTIF($A$2:A415,A415)=1,SUMIFS(tblSales[Revenue],tblSales[Order ID],tblSales[[#This Row],[Order ID]]),"")</f>
        <v/>
      </c>
      <c r="P415" t="str">
        <f>TEXT(tblSales[[#This Row],[Date]],"ddd")</f>
        <v>Fri</v>
      </c>
      <c r="Q415">
        <f>1/COUNTIF(tblSales[Order ID],tblSales[[#This Row],[Order ID]])</f>
        <v>0.25</v>
      </c>
    </row>
    <row r="416" spans="1:17" x14ac:dyDescent="0.3">
      <c r="A416">
        <v>202071</v>
      </c>
      <c r="B416" s="15">
        <v>45485</v>
      </c>
      <c r="C416">
        <v>122156</v>
      </c>
      <c r="D416">
        <v>100254</v>
      </c>
      <c r="E416" t="s">
        <v>1046</v>
      </c>
      <c r="F416" t="s">
        <v>164</v>
      </c>
      <c r="G416">
        <v>1</v>
      </c>
      <c r="H416" s="59">
        <v>799</v>
      </c>
      <c r="I416" t="s">
        <v>1041</v>
      </c>
      <c r="J416" t="s">
        <v>14</v>
      </c>
      <c r="K416" s="60" t="s">
        <v>14</v>
      </c>
      <c r="L416" s="59">
        <v>0</v>
      </c>
      <c r="M416" s="61">
        <v>799</v>
      </c>
      <c r="N416">
        <f ca="1">IF(LEFT(tblSales[[#This Row],[Category]],1)="A",RANDBETWEEN(1,4),RANDBETWEEN(2,7))</f>
        <v>5</v>
      </c>
      <c r="O416" s="61" t="str">
        <f>IF(COUNTIF($A$2:A416,A416)=1,SUMIFS(tblSales[Revenue],tblSales[Order ID],tblSales[[#This Row],[Order ID]]),"")</f>
        <v/>
      </c>
      <c r="P416" t="str">
        <f>TEXT(tblSales[[#This Row],[Date]],"ddd")</f>
        <v>Fri</v>
      </c>
      <c r="Q416">
        <f>1/COUNTIF(tblSales[Order ID],tblSales[[#This Row],[Order ID]])</f>
        <v>0.25</v>
      </c>
    </row>
    <row r="417" spans="1:17" x14ac:dyDescent="0.3">
      <c r="A417">
        <v>202072</v>
      </c>
      <c r="B417" s="15">
        <v>45485</v>
      </c>
      <c r="C417">
        <v>115893</v>
      </c>
      <c r="D417">
        <v>100252</v>
      </c>
      <c r="E417" t="s">
        <v>1046</v>
      </c>
      <c r="F417" t="s">
        <v>158</v>
      </c>
      <c r="G417">
        <v>1</v>
      </c>
      <c r="H417" s="59">
        <v>449</v>
      </c>
      <c r="I417" t="s">
        <v>1041</v>
      </c>
      <c r="J417" t="s">
        <v>14</v>
      </c>
      <c r="K417" s="60" t="s">
        <v>14</v>
      </c>
      <c r="L417" s="59">
        <v>0</v>
      </c>
      <c r="M417" s="61">
        <v>449</v>
      </c>
      <c r="N417">
        <f ca="1">IF(LEFT(tblSales[[#This Row],[Category]],1)="A",RANDBETWEEN(1,4),RANDBETWEEN(2,7))</f>
        <v>5</v>
      </c>
      <c r="O417" s="61">
        <f>IF(COUNTIF($A$2:A417,A417)=1,SUMIFS(tblSales[Revenue],tblSales[Order ID],tblSales[[#This Row],[Order ID]]),"")</f>
        <v>449</v>
      </c>
      <c r="P417" t="str">
        <f>TEXT(tblSales[[#This Row],[Date]],"ddd")</f>
        <v>Fri</v>
      </c>
      <c r="Q417">
        <f>1/COUNTIF(tblSales[Order ID],tblSales[[#This Row],[Order ID]])</f>
        <v>1</v>
      </c>
    </row>
    <row r="418" spans="1:17" x14ac:dyDescent="0.3">
      <c r="A418">
        <v>202073</v>
      </c>
      <c r="B418" s="15">
        <v>45486</v>
      </c>
      <c r="C418">
        <v>123406</v>
      </c>
      <c r="D418">
        <v>200556</v>
      </c>
      <c r="E418" t="s">
        <v>1043</v>
      </c>
      <c r="F418" t="s">
        <v>1044</v>
      </c>
      <c r="G418">
        <v>4</v>
      </c>
      <c r="H418" s="59">
        <v>64.989999999999995</v>
      </c>
      <c r="I418" t="s">
        <v>1041</v>
      </c>
      <c r="J418" t="s">
        <v>14</v>
      </c>
      <c r="K418" s="60" t="s">
        <v>14</v>
      </c>
      <c r="L418" s="59">
        <v>0</v>
      </c>
      <c r="M418" s="61">
        <v>259.95999999999998</v>
      </c>
      <c r="N418">
        <f ca="1">IF(LEFT(tblSales[[#This Row],[Category]],1)="A",RANDBETWEEN(1,4),RANDBETWEEN(2,7))</f>
        <v>2</v>
      </c>
      <c r="O418" s="61">
        <f>IF(COUNTIF($A$2:A418,A418)=1,SUMIFS(tblSales[Revenue],tblSales[Order ID],tblSales[[#This Row],[Order ID]]),"")</f>
        <v>1299.9000000000001</v>
      </c>
      <c r="P418" t="str">
        <f>TEXT(tblSales[[#This Row],[Date]],"ddd")</f>
        <v>Sat</v>
      </c>
      <c r="Q418">
        <f>1/COUNTIF(tblSales[Order ID],tblSales[[#This Row],[Order ID]])</f>
        <v>0.16666666666666666</v>
      </c>
    </row>
    <row r="419" spans="1:17" x14ac:dyDescent="0.3">
      <c r="A419">
        <v>202073</v>
      </c>
      <c r="B419" s="15">
        <v>45486</v>
      </c>
      <c r="C419">
        <v>123406</v>
      </c>
      <c r="D419">
        <v>300188</v>
      </c>
      <c r="E419" t="s">
        <v>1040</v>
      </c>
      <c r="F419" t="s">
        <v>1060</v>
      </c>
      <c r="G419">
        <v>2</v>
      </c>
      <c r="H419" s="59">
        <v>64.989999999999995</v>
      </c>
      <c r="I419" t="s">
        <v>1041</v>
      </c>
      <c r="J419" t="s">
        <v>14</v>
      </c>
      <c r="K419" s="60" t="s">
        <v>14</v>
      </c>
      <c r="L419" s="59">
        <v>0</v>
      </c>
      <c r="M419" s="61">
        <v>129.97999999999999</v>
      </c>
      <c r="N419">
        <f ca="1">IF(LEFT(tblSales[[#This Row],[Category]],1)="A",RANDBETWEEN(1,4),RANDBETWEEN(2,7))</f>
        <v>4</v>
      </c>
      <c r="O419" s="61" t="str">
        <f>IF(COUNTIF($A$2:A419,A419)=1,SUMIFS(tblSales[Revenue],tblSales[Order ID],tblSales[[#This Row],[Order ID]]),"")</f>
        <v/>
      </c>
      <c r="P419" t="str">
        <f>TEXT(tblSales[[#This Row],[Date]],"ddd")</f>
        <v>Sat</v>
      </c>
      <c r="Q419">
        <f>1/COUNTIF(tblSales[Order ID],tblSales[[#This Row],[Order ID]])</f>
        <v>0.16666666666666666</v>
      </c>
    </row>
    <row r="420" spans="1:17" x14ac:dyDescent="0.3">
      <c r="A420">
        <v>202073</v>
      </c>
      <c r="B420" s="15">
        <v>45486</v>
      </c>
      <c r="C420">
        <v>123406</v>
      </c>
      <c r="D420">
        <v>200557</v>
      </c>
      <c r="E420" t="s">
        <v>1043</v>
      </c>
      <c r="F420" t="s">
        <v>1054</v>
      </c>
      <c r="G420">
        <v>2</v>
      </c>
      <c r="H420" s="59">
        <v>129.99</v>
      </c>
      <c r="I420" t="s">
        <v>1041</v>
      </c>
      <c r="J420" t="s">
        <v>14</v>
      </c>
      <c r="K420" s="60" t="s">
        <v>14</v>
      </c>
      <c r="L420" s="59">
        <v>0</v>
      </c>
      <c r="M420" s="61">
        <v>259.98</v>
      </c>
      <c r="N420">
        <f ca="1">IF(LEFT(tblSales[[#This Row],[Category]],1)="A",RANDBETWEEN(1,4),RANDBETWEEN(2,7))</f>
        <v>3</v>
      </c>
      <c r="O420" s="61" t="str">
        <f>IF(COUNTIF($A$2:A420,A420)=1,SUMIFS(tblSales[Revenue],tblSales[Order ID],tblSales[[#This Row],[Order ID]]),"")</f>
        <v/>
      </c>
      <c r="P420" t="str">
        <f>TEXT(tblSales[[#This Row],[Date]],"ddd")</f>
        <v>Sat</v>
      </c>
      <c r="Q420">
        <f>1/COUNTIF(tblSales[Order ID],tblSales[[#This Row],[Order ID]])</f>
        <v>0.16666666666666666</v>
      </c>
    </row>
    <row r="421" spans="1:17" x14ac:dyDescent="0.3">
      <c r="A421">
        <v>202073</v>
      </c>
      <c r="B421" s="15">
        <v>45486</v>
      </c>
      <c r="C421">
        <v>123406</v>
      </c>
      <c r="D421">
        <v>200557</v>
      </c>
      <c r="E421" t="s">
        <v>1043</v>
      </c>
      <c r="F421" t="s">
        <v>1054</v>
      </c>
      <c r="G421">
        <v>1</v>
      </c>
      <c r="H421" s="59">
        <v>129.99</v>
      </c>
      <c r="I421" t="s">
        <v>1041</v>
      </c>
      <c r="J421" t="s">
        <v>14</v>
      </c>
      <c r="K421" s="60" t="s">
        <v>14</v>
      </c>
      <c r="L421" s="59">
        <v>0</v>
      </c>
      <c r="M421" s="61">
        <v>129.99</v>
      </c>
      <c r="N421">
        <f ca="1">IF(LEFT(tblSales[[#This Row],[Category]],1)="A",RANDBETWEEN(1,4),RANDBETWEEN(2,7))</f>
        <v>4</v>
      </c>
      <c r="O421" s="61" t="str">
        <f>IF(COUNTIF($A$2:A421,A421)=1,SUMIFS(tblSales[Revenue],tblSales[Order ID],tblSales[[#This Row],[Order ID]]),"")</f>
        <v/>
      </c>
      <c r="P421" t="str">
        <f>TEXT(tblSales[[#This Row],[Date]],"ddd")</f>
        <v>Sat</v>
      </c>
      <c r="Q421">
        <f>1/COUNTIF(tblSales[Order ID],tblSales[[#This Row],[Order ID]])</f>
        <v>0.16666666666666666</v>
      </c>
    </row>
    <row r="422" spans="1:17" x14ac:dyDescent="0.3">
      <c r="A422">
        <v>202073</v>
      </c>
      <c r="B422" s="15">
        <v>45486</v>
      </c>
      <c r="C422">
        <v>123406</v>
      </c>
      <c r="D422">
        <v>300191</v>
      </c>
      <c r="E422" t="s">
        <v>1040</v>
      </c>
      <c r="F422" t="s">
        <v>1051</v>
      </c>
      <c r="G422">
        <v>1</v>
      </c>
      <c r="H422" s="59">
        <v>21.99</v>
      </c>
      <c r="I422" t="s">
        <v>1041</v>
      </c>
      <c r="J422" t="s">
        <v>14</v>
      </c>
      <c r="K422" s="60" t="s">
        <v>14</v>
      </c>
      <c r="L422" s="59">
        <v>0</v>
      </c>
      <c r="M422" s="61">
        <v>21.99</v>
      </c>
      <c r="N422">
        <f ca="1">IF(LEFT(tblSales[[#This Row],[Category]],1)="A",RANDBETWEEN(1,4),RANDBETWEEN(2,7))</f>
        <v>2</v>
      </c>
      <c r="O422" s="61" t="str">
        <f>IF(COUNTIF($A$2:A422,A422)=1,SUMIFS(tblSales[Revenue],tblSales[Order ID],tblSales[[#This Row],[Order ID]]),"")</f>
        <v/>
      </c>
      <c r="P422" t="str">
        <f>TEXT(tblSales[[#This Row],[Date]],"ddd")</f>
        <v>Sat</v>
      </c>
      <c r="Q422">
        <f>1/COUNTIF(tblSales[Order ID],tblSales[[#This Row],[Order ID]])</f>
        <v>0.16666666666666666</v>
      </c>
    </row>
    <row r="423" spans="1:17" x14ac:dyDescent="0.3">
      <c r="A423">
        <v>202073</v>
      </c>
      <c r="B423" s="15">
        <v>45486</v>
      </c>
      <c r="C423">
        <v>123406</v>
      </c>
      <c r="D423">
        <v>100249</v>
      </c>
      <c r="E423" t="s">
        <v>1046</v>
      </c>
      <c r="F423" t="s">
        <v>190</v>
      </c>
      <c r="G423">
        <v>2</v>
      </c>
      <c r="H423" s="59">
        <v>249</v>
      </c>
      <c r="I423" t="s">
        <v>1041</v>
      </c>
      <c r="J423" t="s">
        <v>14</v>
      </c>
      <c r="K423" s="60" t="s">
        <v>14</v>
      </c>
      <c r="L423" s="59">
        <v>0</v>
      </c>
      <c r="M423" s="61">
        <v>498</v>
      </c>
      <c r="N423">
        <f ca="1">IF(LEFT(tblSales[[#This Row],[Category]],1)="A",RANDBETWEEN(1,4),RANDBETWEEN(2,7))</f>
        <v>6</v>
      </c>
      <c r="O423" s="61" t="str">
        <f>IF(COUNTIF($A$2:A423,A423)=1,SUMIFS(tblSales[Revenue],tblSales[Order ID],tblSales[[#This Row],[Order ID]]),"")</f>
        <v/>
      </c>
      <c r="P423" t="str">
        <f>TEXT(tblSales[[#This Row],[Date]],"ddd")</f>
        <v>Sat</v>
      </c>
      <c r="Q423">
        <f>1/COUNTIF(tblSales[Order ID],tblSales[[#This Row],[Order ID]])</f>
        <v>0.16666666666666666</v>
      </c>
    </row>
    <row r="424" spans="1:17" x14ac:dyDescent="0.3">
      <c r="A424">
        <v>202074</v>
      </c>
      <c r="B424" s="15">
        <v>45490</v>
      </c>
      <c r="C424">
        <v>118373</v>
      </c>
      <c r="D424">
        <v>300185</v>
      </c>
      <c r="E424" t="s">
        <v>1040</v>
      </c>
      <c r="F424" t="s">
        <v>1049</v>
      </c>
      <c r="G424">
        <v>3</v>
      </c>
      <c r="H424" s="59">
        <v>29.99</v>
      </c>
      <c r="I424" t="s">
        <v>1041</v>
      </c>
      <c r="J424" t="s">
        <v>14</v>
      </c>
      <c r="K424" s="60" t="s">
        <v>14</v>
      </c>
      <c r="L424" s="59">
        <v>0</v>
      </c>
      <c r="M424" s="61">
        <v>89.97</v>
      </c>
      <c r="N424">
        <f ca="1">IF(LEFT(tblSales[[#This Row],[Category]],1)="A",RANDBETWEEN(1,4),RANDBETWEEN(2,7))</f>
        <v>3</v>
      </c>
      <c r="O424" s="61">
        <f>IF(COUNTIF($A$2:A424,A424)=1,SUMIFS(tblSales[Revenue],tblSales[Order ID],tblSales[[#This Row],[Order ID]]),"")</f>
        <v>239.93</v>
      </c>
      <c r="P424" t="str">
        <f>TEXT(tblSales[[#This Row],[Date]],"ddd")</f>
        <v>Wed</v>
      </c>
      <c r="Q424">
        <f>1/COUNTIF(tblSales[Order ID],tblSales[[#This Row],[Order ID]])</f>
        <v>0.2</v>
      </c>
    </row>
    <row r="425" spans="1:17" x14ac:dyDescent="0.3">
      <c r="A425">
        <v>202074</v>
      </c>
      <c r="B425" s="15">
        <v>45490</v>
      </c>
      <c r="C425">
        <v>118373</v>
      </c>
      <c r="D425">
        <v>300185</v>
      </c>
      <c r="E425" t="s">
        <v>1040</v>
      </c>
      <c r="F425" t="s">
        <v>1049</v>
      </c>
      <c r="G425">
        <v>1</v>
      </c>
      <c r="H425" s="59">
        <v>29.99</v>
      </c>
      <c r="I425" t="s">
        <v>1041</v>
      </c>
      <c r="J425" t="s">
        <v>14</v>
      </c>
      <c r="K425" s="60" t="s">
        <v>14</v>
      </c>
      <c r="L425" s="59">
        <v>0</v>
      </c>
      <c r="M425" s="61">
        <v>29.99</v>
      </c>
      <c r="N425">
        <f ca="1">IF(LEFT(tblSales[[#This Row],[Category]],1)="A",RANDBETWEEN(1,4),RANDBETWEEN(2,7))</f>
        <v>1</v>
      </c>
      <c r="O425" s="61" t="str">
        <f>IF(COUNTIF($A$2:A425,A425)=1,SUMIFS(tblSales[Revenue],tblSales[Order ID],tblSales[[#This Row],[Order ID]]),"")</f>
        <v/>
      </c>
      <c r="P425" t="str">
        <f>TEXT(tblSales[[#This Row],[Date]],"ddd")</f>
        <v>Wed</v>
      </c>
      <c r="Q425">
        <f>1/COUNTIF(tblSales[Order ID],tblSales[[#This Row],[Order ID]])</f>
        <v>0.2</v>
      </c>
    </row>
    <row r="426" spans="1:17" x14ac:dyDescent="0.3">
      <c r="A426">
        <v>202074</v>
      </c>
      <c r="B426" s="15">
        <v>45490</v>
      </c>
      <c r="C426">
        <v>118373</v>
      </c>
      <c r="D426">
        <v>200559</v>
      </c>
      <c r="E426" t="s">
        <v>1043</v>
      </c>
      <c r="F426" t="s">
        <v>1045</v>
      </c>
      <c r="G426">
        <v>1</v>
      </c>
      <c r="H426" s="59">
        <v>59.99</v>
      </c>
      <c r="I426" t="s">
        <v>1041</v>
      </c>
      <c r="J426" t="s">
        <v>14</v>
      </c>
      <c r="K426" s="60" t="s">
        <v>14</v>
      </c>
      <c r="L426" s="59">
        <v>0</v>
      </c>
      <c r="M426" s="61">
        <v>59.99</v>
      </c>
      <c r="N426">
        <f ca="1">IF(LEFT(tblSales[[#This Row],[Category]],1)="A",RANDBETWEEN(1,4),RANDBETWEEN(2,7))</f>
        <v>1</v>
      </c>
      <c r="O426" s="61" t="str">
        <f>IF(COUNTIF($A$2:A426,A426)=1,SUMIFS(tblSales[Revenue],tblSales[Order ID],tblSales[[#This Row],[Order ID]]),"")</f>
        <v/>
      </c>
      <c r="P426" t="str">
        <f>TEXT(tblSales[[#This Row],[Date]],"ddd")</f>
        <v>Wed</v>
      </c>
      <c r="Q426">
        <f>1/COUNTIF(tblSales[Order ID],tblSales[[#This Row],[Order ID]])</f>
        <v>0.2</v>
      </c>
    </row>
    <row r="427" spans="1:17" x14ac:dyDescent="0.3">
      <c r="A427">
        <v>202074</v>
      </c>
      <c r="B427" s="15">
        <v>45490</v>
      </c>
      <c r="C427">
        <v>118373</v>
      </c>
      <c r="D427">
        <v>300185</v>
      </c>
      <c r="E427" t="s">
        <v>1040</v>
      </c>
      <c r="F427" t="s">
        <v>1049</v>
      </c>
      <c r="G427">
        <v>1</v>
      </c>
      <c r="H427" s="59">
        <v>29.99</v>
      </c>
      <c r="I427" t="s">
        <v>1041</v>
      </c>
      <c r="J427" t="s">
        <v>14</v>
      </c>
      <c r="K427" s="60" t="s">
        <v>14</v>
      </c>
      <c r="L427" s="59">
        <v>0</v>
      </c>
      <c r="M427" s="61">
        <v>29.99</v>
      </c>
      <c r="N427">
        <f ca="1">IF(LEFT(tblSales[[#This Row],[Category]],1)="A",RANDBETWEEN(1,4),RANDBETWEEN(2,7))</f>
        <v>3</v>
      </c>
      <c r="O427" s="61" t="str">
        <f>IF(COUNTIF($A$2:A427,A427)=1,SUMIFS(tblSales[Revenue],tblSales[Order ID],tblSales[[#This Row],[Order ID]]),"")</f>
        <v/>
      </c>
      <c r="P427" t="str">
        <f>TEXT(tblSales[[#This Row],[Date]],"ddd")</f>
        <v>Wed</v>
      </c>
      <c r="Q427">
        <f>1/COUNTIF(tblSales[Order ID],tblSales[[#This Row],[Order ID]])</f>
        <v>0.2</v>
      </c>
    </row>
    <row r="428" spans="1:17" x14ac:dyDescent="0.3">
      <c r="A428">
        <v>202074</v>
      </c>
      <c r="B428" s="15">
        <v>45490</v>
      </c>
      <c r="C428">
        <v>118373</v>
      </c>
      <c r="D428">
        <v>300185</v>
      </c>
      <c r="E428" t="s">
        <v>1040</v>
      </c>
      <c r="F428" t="s">
        <v>1049</v>
      </c>
      <c r="G428">
        <v>1</v>
      </c>
      <c r="H428" s="59">
        <v>29.99</v>
      </c>
      <c r="I428" t="s">
        <v>1041</v>
      </c>
      <c r="J428" t="s">
        <v>14</v>
      </c>
      <c r="K428" s="60" t="s">
        <v>14</v>
      </c>
      <c r="L428" s="59">
        <v>0</v>
      </c>
      <c r="M428" s="61">
        <v>29.99</v>
      </c>
      <c r="N428">
        <f ca="1">IF(LEFT(tblSales[[#This Row],[Category]],1)="A",RANDBETWEEN(1,4),RANDBETWEEN(2,7))</f>
        <v>1</v>
      </c>
      <c r="O428" s="61" t="str">
        <f>IF(COUNTIF($A$2:A428,A428)=1,SUMIFS(tblSales[Revenue],tblSales[Order ID],tblSales[[#This Row],[Order ID]]),"")</f>
        <v/>
      </c>
      <c r="P428" t="str">
        <f>TEXT(tblSales[[#This Row],[Date]],"ddd")</f>
        <v>Wed</v>
      </c>
      <c r="Q428">
        <f>1/COUNTIF(tblSales[Order ID],tblSales[[#This Row],[Order ID]])</f>
        <v>0.2</v>
      </c>
    </row>
    <row r="429" spans="1:17" x14ac:dyDescent="0.3">
      <c r="A429">
        <v>202075</v>
      </c>
      <c r="B429" s="15">
        <v>45485</v>
      </c>
      <c r="C429">
        <v>117811</v>
      </c>
      <c r="D429">
        <v>300187</v>
      </c>
      <c r="E429" t="s">
        <v>1040</v>
      </c>
      <c r="F429" t="s">
        <v>1058</v>
      </c>
      <c r="G429">
        <v>1</v>
      </c>
      <c r="H429" s="59">
        <v>54.99</v>
      </c>
      <c r="I429" t="s">
        <v>1041</v>
      </c>
      <c r="J429" t="s">
        <v>14</v>
      </c>
      <c r="K429" s="60" t="s">
        <v>14</v>
      </c>
      <c r="L429" s="59">
        <v>0</v>
      </c>
      <c r="M429" s="61">
        <v>54.99</v>
      </c>
      <c r="N429">
        <f ca="1">IF(LEFT(tblSales[[#This Row],[Category]],1)="A",RANDBETWEEN(1,4),RANDBETWEEN(2,7))</f>
        <v>4</v>
      </c>
      <c r="O429" s="61">
        <f>IF(COUNTIF($A$2:A429,A429)=1,SUMIFS(tblSales[Revenue],tblSales[Order ID],tblSales[[#This Row],[Order ID]]),"")</f>
        <v>54.99</v>
      </c>
      <c r="P429" t="str">
        <f>TEXT(tblSales[[#This Row],[Date]],"ddd")</f>
        <v>Fri</v>
      </c>
      <c r="Q429">
        <f>1/COUNTIF(tblSales[Order ID],tblSales[[#This Row],[Order ID]])</f>
        <v>1</v>
      </c>
    </row>
    <row r="430" spans="1:17" x14ac:dyDescent="0.3">
      <c r="A430">
        <v>202076</v>
      </c>
      <c r="B430" s="15">
        <v>45493</v>
      </c>
      <c r="C430">
        <v>107472</v>
      </c>
      <c r="D430">
        <v>100252</v>
      </c>
      <c r="E430" t="s">
        <v>1046</v>
      </c>
      <c r="F430" t="s">
        <v>158</v>
      </c>
      <c r="G430">
        <v>1</v>
      </c>
      <c r="H430" s="59">
        <v>449</v>
      </c>
      <c r="I430" t="s">
        <v>1041</v>
      </c>
      <c r="J430" t="s">
        <v>14</v>
      </c>
      <c r="K430" s="60" t="s">
        <v>14</v>
      </c>
      <c r="L430" s="59">
        <v>0</v>
      </c>
      <c r="M430" s="61">
        <v>449</v>
      </c>
      <c r="N430">
        <f ca="1">IF(LEFT(tblSales[[#This Row],[Category]],1)="A",RANDBETWEEN(1,4),RANDBETWEEN(2,7))</f>
        <v>2</v>
      </c>
      <c r="O430" s="61">
        <f>IF(COUNTIF($A$2:A430,A430)=1,SUMIFS(tblSales[Revenue],tblSales[Order ID],tblSales[[#This Row],[Order ID]]),"")</f>
        <v>449</v>
      </c>
      <c r="P430" t="str">
        <f>TEXT(tblSales[[#This Row],[Date]],"ddd")</f>
        <v>Sat</v>
      </c>
      <c r="Q430">
        <f>1/COUNTIF(tblSales[Order ID],tblSales[[#This Row],[Order ID]])</f>
        <v>1</v>
      </c>
    </row>
    <row r="431" spans="1:17" x14ac:dyDescent="0.3">
      <c r="A431">
        <v>202077</v>
      </c>
      <c r="B431" s="15">
        <v>45493</v>
      </c>
      <c r="C431">
        <v>112332</v>
      </c>
      <c r="D431">
        <v>300185</v>
      </c>
      <c r="E431" t="s">
        <v>1040</v>
      </c>
      <c r="F431" t="s">
        <v>1049</v>
      </c>
      <c r="G431">
        <v>2</v>
      </c>
      <c r="H431" s="59">
        <v>29.99</v>
      </c>
      <c r="I431" t="s">
        <v>1041</v>
      </c>
      <c r="J431" t="s">
        <v>14</v>
      </c>
      <c r="K431" s="60" t="s">
        <v>14</v>
      </c>
      <c r="L431" s="59">
        <v>0</v>
      </c>
      <c r="M431" s="61">
        <v>59.98</v>
      </c>
      <c r="N431">
        <f ca="1">IF(LEFT(tblSales[[#This Row],[Category]],1)="A",RANDBETWEEN(1,4),RANDBETWEEN(2,7))</f>
        <v>1</v>
      </c>
      <c r="O431" s="61">
        <f>IF(COUNTIF($A$2:A431,A431)=1,SUMIFS(tblSales[Revenue],tblSales[Order ID],tblSales[[#This Row],[Order ID]]),"")</f>
        <v>59.98</v>
      </c>
      <c r="P431" t="str">
        <f>TEXT(tblSales[[#This Row],[Date]],"ddd")</f>
        <v>Sat</v>
      </c>
      <c r="Q431">
        <f>1/COUNTIF(tblSales[Order ID],tblSales[[#This Row],[Order ID]])</f>
        <v>1</v>
      </c>
    </row>
    <row r="432" spans="1:17" x14ac:dyDescent="0.3">
      <c r="A432">
        <v>202078</v>
      </c>
      <c r="B432" s="15">
        <v>45483</v>
      </c>
      <c r="C432">
        <v>115874</v>
      </c>
      <c r="D432">
        <v>300191</v>
      </c>
      <c r="E432" t="s">
        <v>1040</v>
      </c>
      <c r="F432" t="s">
        <v>1051</v>
      </c>
      <c r="G432">
        <v>1</v>
      </c>
      <c r="H432" s="59">
        <v>21.99</v>
      </c>
      <c r="I432" t="s">
        <v>120</v>
      </c>
      <c r="J432" t="s">
        <v>1047</v>
      </c>
      <c r="K432" s="60">
        <v>0.1</v>
      </c>
      <c r="L432" s="59">
        <v>2.1989999999999998</v>
      </c>
      <c r="M432" s="61">
        <v>19.790999999999997</v>
      </c>
      <c r="N432">
        <f ca="1">IF(LEFT(tblSales[[#This Row],[Category]],1)="A",RANDBETWEEN(1,4),RANDBETWEEN(2,7))</f>
        <v>3</v>
      </c>
      <c r="O432" s="61">
        <f>IF(COUNTIF($A$2:A432,A432)=1,SUMIFS(tblSales[Revenue],tblSales[Order ID],tblSales[[#This Row],[Order ID]]),"")</f>
        <v>19.790999999999997</v>
      </c>
      <c r="P432" t="str">
        <f>TEXT(tblSales[[#This Row],[Date]],"ddd")</f>
        <v>Wed</v>
      </c>
      <c r="Q432">
        <f>1/COUNTIF(tblSales[Order ID],tblSales[[#This Row],[Order ID]])</f>
        <v>1</v>
      </c>
    </row>
    <row r="433" spans="1:17" x14ac:dyDescent="0.3">
      <c r="A433">
        <v>202079</v>
      </c>
      <c r="B433" s="15">
        <v>45492</v>
      </c>
      <c r="C433">
        <v>120269</v>
      </c>
      <c r="D433">
        <v>300191</v>
      </c>
      <c r="E433" t="s">
        <v>1040</v>
      </c>
      <c r="F433" t="s">
        <v>1051</v>
      </c>
      <c r="G433">
        <v>1</v>
      </c>
      <c r="H433" s="59">
        <v>21.99</v>
      </c>
      <c r="I433" t="s">
        <v>1041</v>
      </c>
      <c r="J433" t="s">
        <v>14</v>
      </c>
      <c r="K433" s="60" t="s">
        <v>14</v>
      </c>
      <c r="L433" s="59">
        <v>0</v>
      </c>
      <c r="M433" s="61">
        <v>21.99</v>
      </c>
      <c r="N433">
        <f ca="1">IF(LEFT(tblSales[[#This Row],[Category]],1)="A",RANDBETWEEN(1,4),RANDBETWEEN(2,7))</f>
        <v>2</v>
      </c>
      <c r="O433" s="61">
        <f>IF(COUNTIF($A$2:A433,A433)=1,SUMIFS(tblSales[Revenue],tblSales[Order ID],tblSales[[#This Row],[Order ID]]),"")</f>
        <v>187.95</v>
      </c>
      <c r="P433" t="str">
        <f>TEXT(tblSales[[#This Row],[Date]],"ddd")</f>
        <v>Fri</v>
      </c>
      <c r="Q433">
        <f>1/COUNTIF(tblSales[Order ID],tblSales[[#This Row],[Order ID]])</f>
        <v>0.25</v>
      </c>
    </row>
    <row r="434" spans="1:17" x14ac:dyDescent="0.3">
      <c r="A434">
        <v>202079</v>
      </c>
      <c r="B434" s="15">
        <v>45492</v>
      </c>
      <c r="C434">
        <v>120269</v>
      </c>
      <c r="D434">
        <v>200550</v>
      </c>
      <c r="E434" t="s">
        <v>1043</v>
      </c>
      <c r="F434" t="s">
        <v>1057</v>
      </c>
      <c r="G434">
        <v>1</v>
      </c>
      <c r="H434" s="59">
        <v>15.99</v>
      </c>
      <c r="I434" t="s">
        <v>1041</v>
      </c>
      <c r="J434" t="s">
        <v>14</v>
      </c>
      <c r="K434" s="60" t="s">
        <v>14</v>
      </c>
      <c r="L434" s="59">
        <v>0</v>
      </c>
      <c r="M434" s="61">
        <v>15.99</v>
      </c>
      <c r="N434">
        <f ca="1">IF(LEFT(tblSales[[#This Row],[Category]],1)="A",RANDBETWEEN(1,4),RANDBETWEEN(2,7))</f>
        <v>4</v>
      </c>
      <c r="O434" s="61" t="str">
        <f>IF(COUNTIF($A$2:A434,A434)=1,SUMIFS(tblSales[Revenue],tblSales[Order ID],tblSales[[#This Row],[Order ID]]),"")</f>
        <v/>
      </c>
      <c r="P434" t="str">
        <f>TEXT(tblSales[[#This Row],[Date]],"ddd")</f>
        <v>Fri</v>
      </c>
      <c r="Q434">
        <f>1/COUNTIF(tblSales[Order ID],tblSales[[#This Row],[Order ID]])</f>
        <v>0.25</v>
      </c>
    </row>
    <row r="435" spans="1:17" x14ac:dyDescent="0.3">
      <c r="A435">
        <v>202079</v>
      </c>
      <c r="B435" s="15">
        <v>45492</v>
      </c>
      <c r="C435">
        <v>120269</v>
      </c>
      <c r="D435">
        <v>300185</v>
      </c>
      <c r="E435" t="s">
        <v>1040</v>
      </c>
      <c r="F435" t="s">
        <v>1049</v>
      </c>
      <c r="G435">
        <v>1</v>
      </c>
      <c r="H435" s="59">
        <v>29.99</v>
      </c>
      <c r="I435" t="s">
        <v>1041</v>
      </c>
      <c r="J435" t="s">
        <v>14</v>
      </c>
      <c r="K435" s="60" t="s">
        <v>14</v>
      </c>
      <c r="L435" s="59">
        <v>0</v>
      </c>
      <c r="M435" s="61">
        <v>29.99</v>
      </c>
      <c r="N435">
        <f ca="1">IF(LEFT(tblSales[[#This Row],[Category]],1)="A",RANDBETWEEN(1,4),RANDBETWEEN(2,7))</f>
        <v>4</v>
      </c>
      <c r="O435" s="61" t="str">
        <f>IF(COUNTIF($A$2:A435,A435)=1,SUMIFS(tblSales[Revenue],tblSales[Order ID],tblSales[[#This Row],[Order ID]]),"")</f>
        <v/>
      </c>
      <c r="P435" t="str">
        <f>TEXT(tblSales[[#This Row],[Date]],"ddd")</f>
        <v>Fri</v>
      </c>
      <c r="Q435">
        <f>1/COUNTIF(tblSales[Order ID],tblSales[[#This Row],[Order ID]])</f>
        <v>0.25</v>
      </c>
    </row>
    <row r="436" spans="1:17" x14ac:dyDescent="0.3">
      <c r="A436">
        <v>202079</v>
      </c>
      <c r="B436" s="15">
        <v>45492</v>
      </c>
      <c r="C436">
        <v>120269</v>
      </c>
      <c r="D436">
        <v>200559</v>
      </c>
      <c r="E436" t="s">
        <v>1043</v>
      </c>
      <c r="F436" t="s">
        <v>1045</v>
      </c>
      <c r="G436">
        <v>2</v>
      </c>
      <c r="H436" s="59">
        <v>59.99</v>
      </c>
      <c r="I436" t="s">
        <v>1041</v>
      </c>
      <c r="J436" t="s">
        <v>14</v>
      </c>
      <c r="K436" s="60" t="s">
        <v>14</v>
      </c>
      <c r="L436" s="59">
        <v>0</v>
      </c>
      <c r="M436" s="61">
        <v>119.98</v>
      </c>
      <c r="N436">
        <f ca="1">IF(LEFT(tblSales[[#This Row],[Category]],1)="A",RANDBETWEEN(1,4),RANDBETWEEN(2,7))</f>
        <v>4</v>
      </c>
      <c r="O436" s="61" t="str">
        <f>IF(COUNTIF($A$2:A436,A436)=1,SUMIFS(tblSales[Revenue],tblSales[Order ID],tblSales[[#This Row],[Order ID]]),"")</f>
        <v/>
      </c>
      <c r="P436" t="str">
        <f>TEXT(tblSales[[#This Row],[Date]],"ddd")</f>
        <v>Fri</v>
      </c>
      <c r="Q436">
        <f>1/COUNTIF(tblSales[Order ID],tblSales[[#This Row],[Order ID]])</f>
        <v>0.25</v>
      </c>
    </row>
    <row r="437" spans="1:17" x14ac:dyDescent="0.3">
      <c r="A437">
        <v>202080</v>
      </c>
      <c r="B437" s="15">
        <v>45494</v>
      </c>
      <c r="C437">
        <v>127846</v>
      </c>
      <c r="D437">
        <v>300185</v>
      </c>
      <c r="E437" t="s">
        <v>1040</v>
      </c>
      <c r="F437" t="s">
        <v>1049</v>
      </c>
      <c r="G437">
        <v>1</v>
      </c>
      <c r="H437" s="59">
        <v>29.99</v>
      </c>
      <c r="I437" t="s">
        <v>1041</v>
      </c>
      <c r="J437" t="s">
        <v>14</v>
      </c>
      <c r="K437" s="60" t="s">
        <v>14</v>
      </c>
      <c r="L437" s="59">
        <v>0</v>
      </c>
      <c r="M437" s="61">
        <v>29.99</v>
      </c>
      <c r="N437">
        <f ca="1">IF(LEFT(tblSales[[#This Row],[Category]],1)="A",RANDBETWEEN(1,4),RANDBETWEEN(2,7))</f>
        <v>2</v>
      </c>
      <c r="O437" s="61">
        <f>IF(COUNTIF($A$2:A437,A437)=1,SUMIFS(tblSales[Revenue],tblSales[Order ID],tblSales[[#This Row],[Order ID]]),"")</f>
        <v>73.97</v>
      </c>
      <c r="P437" t="str">
        <f>TEXT(tblSales[[#This Row],[Date]],"ddd")</f>
        <v>Sun</v>
      </c>
      <c r="Q437">
        <f>1/COUNTIF(tblSales[Order ID],tblSales[[#This Row],[Order ID]])</f>
        <v>0.5</v>
      </c>
    </row>
    <row r="438" spans="1:17" x14ac:dyDescent="0.3">
      <c r="A438">
        <v>202080</v>
      </c>
      <c r="B438" s="15">
        <v>45494</v>
      </c>
      <c r="C438">
        <v>127846</v>
      </c>
      <c r="D438">
        <v>300191</v>
      </c>
      <c r="E438" t="s">
        <v>1040</v>
      </c>
      <c r="F438" t="s">
        <v>1051</v>
      </c>
      <c r="G438">
        <v>2</v>
      </c>
      <c r="H438" s="59">
        <v>21.99</v>
      </c>
      <c r="I438" t="s">
        <v>1041</v>
      </c>
      <c r="J438" t="s">
        <v>14</v>
      </c>
      <c r="K438" s="60" t="s">
        <v>14</v>
      </c>
      <c r="L438" s="59">
        <v>0</v>
      </c>
      <c r="M438" s="61">
        <v>43.98</v>
      </c>
      <c r="N438">
        <f ca="1">IF(LEFT(tblSales[[#This Row],[Category]],1)="A",RANDBETWEEN(1,4),RANDBETWEEN(2,7))</f>
        <v>4</v>
      </c>
      <c r="O438" s="61" t="str">
        <f>IF(COUNTIF($A$2:A438,A438)=1,SUMIFS(tblSales[Revenue],tblSales[Order ID],tblSales[[#This Row],[Order ID]]),"")</f>
        <v/>
      </c>
      <c r="P438" t="str">
        <f>TEXT(tblSales[[#This Row],[Date]],"ddd")</f>
        <v>Sun</v>
      </c>
      <c r="Q438">
        <f>1/COUNTIF(tblSales[Order ID],tblSales[[#This Row],[Order ID]])</f>
        <v>0.5</v>
      </c>
    </row>
    <row r="439" spans="1:17" x14ac:dyDescent="0.3">
      <c r="A439">
        <v>202081</v>
      </c>
      <c r="B439" s="15">
        <v>45490</v>
      </c>
      <c r="C439">
        <v>103843</v>
      </c>
      <c r="D439">
        <v>300185</v>
      </c>
      <c r="E439" t="s">
        <v>1040</v>
      </c>
      <c r="F439" t="s">
        <v>1049</v>
      </c>
      <c r="G439">
        <v>4</v>
      </c>
      <c r="H439" s="59">
        <v>29.99</v>
      </c>
      <c r="I439" t="s">
        <v>1041</v>
      </c>
      <c r="J439" t="s">
        <v>14</v>
      </c>
      <c r="K439" s="60" t="s">
        <v>14</v>
      </c>
      <c r="L439" s="59">
        <v>0</v>
      </c>
      <c r="M439" s="61">
        <v>119.96</v>
      </c>
      <c r="N439">
        <f ca="1">IF(LEFT(tblSales[[#This Row],[Category]],1)="A",RANDBETWEEN(1,4),RANDBETWEEN(2,7))</f>
        <v>2</v>
      </c>
      <c r="O439" s="61">
        <f>IF(COUNTIF($A$2:A439,A439)=1,SUMIFS(tblSales[Revenue],tblSales[Order ID],tblSales[[#This Row],[Order ID]]),"")</f>
        <v>3394.9300000000003</v>
      </c>
      <c r="P439" t="str">
        <f>TEXT(tblSales[[#This Row],[Date]],"ddd")</f>
        <v>Wed</v>
      </c>
      <c r="Q439">
        <f>1/COUNTIF(tblSales[Order ID],tblSales[[#This Row],[Order ID]])</f>
        <v>0.2</v>
      </c>
    </row>
    <row r="440" spans="1:17" x14ac:dyDescent="0.3">
      <c r="A440">
        <v>202081</v>
      </c>
      <c r="B440" s="15">
        <v>45490</v>
      </c>
      <c r="C440">
        <v>103843</v>
      </c>
      <c r="D440">
        <v>100254</v>
      </c>
      <c r="E440" t="s">
        <v>1046</v>
      </c>
      <c r="F440" t="s">
        <v>164</v>
      </c>
      <c r="G440">
        <v>1</v>
      </c>
      <c r="H440" s="59">
        <v>799</v>
      </c>
      <c r="I440" t="s">
        <v>1041</v>
      </c>
      <c r="J440" t="s">
        <v>14</v>
      </c>
      <c r="K440" s="60" t="s">
        <v>14</v>
      </c>
      <c r="L440" s="59">
        <v>0</v>
      </c>
      <c r="M440" s="61">
        <v>799</v>
      </c>
      <c r="N440">
        <f ca="1">IF(LEFT(tblSales[[#This Row],[Category]],1)="A",RANDBETWEEN(1,4),RANDBETWEEN(2,7))</f>
        <v>2</v>
      </c>
      <c r="O440" s="61" t="str">
        <f>IF(COUNTIF($A$2:A440,A440)=1,SUMIFS(tblSales[Revenue],tblSales[Order ID],tblSales[[#This Row],[Order ID]]),"")</f>
        <v/>
      </c>
      <c r="P440" t="str">
        <f>TEXT(tblSales[[#This Row],[Date]],"ddd")</f>
        <v>Wed</v>
      </c>
      <c r="Q440">
        <f>1/COUNTIF(tblSales[Order ID],tblSales[[#This Row],[Order ID]])</f>
        <v>0.2</v>
      </c>
    </row>
    <row r="441" spans="1:17" x14ac:dyDescent="0.3">
      <c r="A441">
        <v>202081</v>
      </c>
      <c r="B441" s="15">
        <v>45490</v>
      </c>
      <c r="C441">
        <v>103843</v>
      </c>
      <c r="D441">
        <v>200548</v>
      </c>
      <c r="E441" t="s">
        <v>1043</v>
      </c>
      <c r="F441" t="s">
        <v>1059</v>
      </c>
      <c r="G441">
        <v>2</v>
      </c>
      <c r="H441" s="59">
        <v>29.99</v>
      </c>
      <c r="I441" t="s">
        <v>1041</v>
      </c>
      <c r="J441" t="s">
        <v>14</v>
      </c>
      <c r="K441" s="60" t="s">
        <v>14</v>
      </c>
      <c r="L441" s="59">
        <v>0</v>
      </c>
      <c r="M441" s="61">
        <v>59.98</v>
      </c>
      <c r="N441">
        <f ca="1">IF(LEFT(tblSales[[#This Row],[Category]],1)="A",RANDBETWEEN(1,4),RANDBETWEEN(2,7))</f>
        <v>3</v>
      </c>
      <c r="O441" s="61" t="str">
        <f>IF(COUNTIF($A$2:A441,A441)=1,SUMIFS(tblSales[Revenue],tblSales[Order ID],tblSales[[#This Row],[Order ID]]),"")</f>
        <v/>
      </c>
      <c r="P441" t="str">
        <f>TEXT(tblSales[[#This Row],[Date]],"ddd")</f>
        <v>Wed</v>
      </c>
      <c r="Q441">
        <f>1/COUNTIF(tblSales[Order ID],tblSales[[#This Row],[Order ID]])</f>
        <v>0.2</v>
      </c>
    </row>
    <row r="442" spans="1:17" x14ac:dyDescent="0.3">
      <c r="A442">
        <v>202081</v>
      </c>
      <c r="B442" s="15">
        <v>45490</v>
      </c>
      <c r="C442">
        <v>103843</v>
      </c>
      <c r="D442">
        <v>200549</v>
      </c>
      <c r="E442" t="s">
        <v>1043</v>
      </c>
      <c r="F442" t="s">
        <v>1042</v>
      </c>
      <c r="G442">
        <v>1</v>
      </c>
      <c r="H442" s="59">
        <v>18.989999999999998</v>
      </c>
      <c r="I442" t="s">
        <v>1041</v>
      </c>
      <c r="J442" t="s">
        <v>14</v>
      </c>
      <c r="K442" s="60" t="s">
        <v>14</v>
      </c>
      <c r="L442" s="59">
        <v>0</v>
      </c>
      <c r="M442" s="61">
        <v>18.989999999999998</v>
      </c>
      <c r="N442">
        <f ca="1">IF(LEFT(tblSales[[#This Row],[Category]],1)="A",RANDBETWEEN(1,4),RANDBETWEEN(2,7))</f>
        <v>1</v>
      </c>
      <c r="O442" s="61" t="str">
        <f>IF(COUNTIF($A$2:A442,A442)=1,SUMIFS(tblSales[Revenue],tblSales[Order ID],tblSales[[#This Row],[Order ID]]),"")</f>
        <v/>
      </c>
      <c r="P442" t="str">
        <f>TEXT(tblSales[[#This Row],[Date]],"ddd")</f>
        <v>Wed</v>
      </c>
      <c r="Q442">
        <f>1/COUNTIF(tblSales[Order ID],tblSales[[#This Row],[Order ID]])</f>
        <v>0.2</v>
      </c>
    </row>
    <row r="443" spans="1:17" x14ac:dyDescent="0.3">
      <c r="A443">
        <v>202081</v>
      </c>
      <c r="B443" s="15">
        <v>45490</v>
      </c>
      <c r="C443">
        <v>103843</v>
      </c>
      <c r="D443">
        <v>100254</v>
      </c>
      <c r="E443" t="s">
        <v>1046</v>
      </c>
      <c r="F443" t="s">
        <v>164</v>
      </c>
      <c r="G443">
        <v>3</v>
      </c>
      <c r="H443" s="59">
        <v>799</v>
      </c>
      <c r="I443" t="s">
        <v>1041</v>
      </c>
      <c r="J443" t="s">
        <v>14</v>
      </c>
      <c r="K443" s="60" t="s">
        <v>14</v>
      </c>
      <c r="L443" s="59">
        <v>0</v>
      </c>
      <c r="M443" s="61">
        <v>2397</v>
      </c>
      <c r="N443">
        <f ca="1">IF(LEFT(tblSales[[#This Row],[Category]],1)="A",RANDBETWEEN(1,4),RANDBETWEEN(2,7))</f>
        <v>7</v>
      </c>
      <c r="O443" s="61" t="str">
        <f>IF(COUNTIF($A$2:A443,A443)=1,SUMIFS(tblSales[Revenue],tblSales[Order ID],tblSales[[#This Row],[Order ID]]),"")</f>
        <v/>
      </c>
      <c r="P443" t="str">
        <f>TEXT(tblSales[[#This Row],[Date]],"ddd")</f>
        <v>Wed</v>
      </c>
      <c r="Q443">
        <f>1/COUNTIF(tblSales[Order ID],tblSales[[#This Row],[Order ID]])</f>
        <v>0.2</v>
      </c>
    </row>
    <row r="444" spans="1:17" x14ac:dyDescent="0.3">
      <c r="A444">
        <v>202082</v>
      </c>
      <c r="B444" s="15">
        <v>45483</v>
      </c>
      <c r="C444">
        <v>113298</v>
      </c>
      <c r="D444">
        <v>200548</v>
      </c>
      <c r="E444" t="s">
        <v>1043</v>
      </c>
      <c r="F444" t="s">
        <v>1059</v>
      </c>
      <c r="G444">
        <v>4</v>
      </c>
      <c r="H444" s="59">
        <v>29.99</v>
      </c>
      <c r="I444" t="s">
        <v>1041</v>
      </c>
      <c r="J444" t="s">
        <v>14</v>
      </c>
      <c r="K444" s="60" t="s">
        <v>14</v>
      </c>
      <c r="L444" s="59">
        <v>0</v>
      </c>
      <c r="M444" s="61">
        <v>119.96</v>
      </c>
      <c r="N444">
        <f ca="1">IF(LEFT(tblSales[[#This Row],[Category]],1)="A",RANDBETWEEN(1,4),RANDBETWEEN(2,7))</f>
        <v>3</v>
      </c>
      <c r="O444" s="61">
        <f>IF(COUNTIF($A$2:A444,A444)=1,SUMIFS(tblSales[Revenue],tblSales[Order ID],tblSales[[#This Row],[Order ID]]),"")</f>
        <v>507.89</v>
      </c>
      <c r="P444" t="str">
        <f>TEXT(tblSales[[#This Row],[Date]],"ddd")</f>
        <v>Wed</v>
      </c>
      <c r="Q444">
        <f>1/COUNTIF(tblSales[Order ID],tblSales[[#This Row],[Order ID]])</f>
        <v>0.2</v>
      </c>
    </row>
    <row r="445" spans="1:17" x14ac:dyDescent="0.3">
      <c r="A445">
        <v>202082</v>
      </c>
      <c r="B445" s="15">
        <v>45483</v>
      </c>
      <c r="C445">
        <v>113298</v>
      </c>
      <c r="D445">
        <v>200558</v>
      </c>
      <c r="E445" t="s">
        <v>1043</v>
      </c>
      <c r="F445" t="s">
        <v>1053</v>
      </c>
      <c r="G445">
        <v>5</v>
      </c>
      <c r="H445" s="59">
        <v>18.989999999999998</v>
      </c>
      <c r="I445" t="s">
        <v>1041</v>
      </c>
      <c r="J445" t="s">
        <v>14</v>
      </c>
      <c r="K445" s="60" t="s">
        <v>14</v>
      </c>
      <c r="L445" s="59">
        <v>0</v>
      </c>
      <c r="M445" s="61">
        <v>94.949999999999989</v>
      </c>
      <c r="N445">
        <f ca="1">IF(LEFT(tblSales[[#This Row],[Category]],1)="A",RANDBETWEEN(1,4),RANDBETWEEN(2,7))</f>
        <v>4</v>
      </c>
      <c r="O445" s="61" t="str">
        <f>IF(COUNTIF($A$2:A445,A445)=1,SUMIFS(tblSales[Revenue],tblSales[Order ID],tblSales[[#This Row],[Order ID]]),"")</f>
        <v/>
      </c>
      <c r="P445" t="str">
        <f>TEXT(tblSales[[#This Row],[Date]],"ddd")</f>
        <v>Wed</v>
      </c>
      <c r="Q445">
        <f>1/COUNTIF(tblSales[Order ID],tblSales[[#This Row],[Order ID]])</f>
        <v>0.2</v>
      </c>
    </row>
    <row r="446" spans="1:17" x14ac:dyDescent="0.3">
      <c r="A446">
        <v>202082</v>
      </c>
      <c r="B446" s="15">
        <v>45483</v>
      </c>
      <c r="C446">
        <v>113298</v>
      </c>
      <c r="D446">
        <v>300191</v>
      </c>
      <c r="E446" t="s">
        <v>1040</v>
      </c>
      <c r="F446" t="s">
        <v>1051</v>
      </c>
      <c r="G446">
        <v>1</v>
      </c>
      <c r="H446" s="59">
        <v>21.99</v>
      </c>
      <c r="I446" t="s">
        <v>1041</v>
      </c>
      <c r="J446" t="s">
        <v>14</v>
      </c>
      <c r="K446" s="60" t="s">
        <v>14</v>
      </c>
      <c r="L446" s="59">
        <v>0</v>
      </c>
      <c r="M446" s="61">
        <v>21.99</v>
      </c>
      <c r="N446">
        <f ca="1">IF(LEFT(tblSales[[#This Row],[Category]],1)="A",RANDBETWEEN(1,4),RANDBETWEEN(2,7))</f>
        <v>4</v>
      </c>
      <c r="O446" s="61" t="str">
        <f>IF(COUNTIF($A$2:A446,A446)=1,SUMIFS(tblSales[Revenue],tblSales[Order ID],tblSales[[#This Row],[Order ID]]),"")</f>
        <v/>
      </c>
      <c r="P446" t="str">
        <f>TEXT(tblSales[[#This Row],[Date]],"ddd")</f>
        <v>Wed</v>
      </c>
      <c r="Q446">
        <f>1/COUNTIF(tblSales[Order ID],tblSales[[#This Row],[Order ID]])</f>
        <v>0.2</v>
      </c>
    </row>
    <row r="447" spans="1:17" x14ac:dyDescent="0.3">
      <c r="A447">
        <v>202082</v>
      </c>
      <c r="B447" s="15">
        <v>45483</v>
      </c>
      <c r="C447">
        <v>113298</v>
      </c>
      <c r="D447">
        <v>100249</v>
      </c>
      <c r="E447" t="s">
        <v>1046</v>
      </c>
      <c r="F447" t="s">
        <v>190</v>
      </c>
      <c r="G447">
        <v>1</v>
      </c>
      <c r="H447" s="59">
        <v>249</v>
      </c>
      <c r="I447" t="s">
        <v>1041</v>
      </c>
      <c r="J447" t="s">
        <v>14</v>
      </c>
      <c r="K447" s="60" t="s">
        <v>14</v>
      </c>
      <c r="L447" s="59">
        <v>0</v>
      </c>
      <c r="M447" s="61">
        <v>249</v>
      </c>
      <c r="N447">
        <f ca="1">IF(LEFT(tblSales[[#This Row],[Category]],1)="A",RANDBETWEEN(1,4),RANDBETWEEN(2,7))</f>
        <v>5</v>
      </c>
      <c r="O447" s="61" t="str">
        <f>IF(COUNTIF($A$2:A447,A447)=1,SUMIFS(tblSales[Revenue],tblSales[Order ID],tblSales[[#This Row],[Order ID]]),"")</f>
        <v/>
      </c>
      <c r="P447" t="str">
        <f>TEXT(tblSales[[#This Row],[Date]],"ddd")</f>
        <v>Wed</v>
      </c>
      <c r="Q447">
        <f>1/COUNTIF(tblSales[Order ID],tblSales[[#This Row],[Order ID]])</f>
        <v>0.2</v>
      </c>
    </row>
    <row r="448" spans="1:17" x14ac:dyDescent="0.3">
      <c r="A448">
        <v>202082</v>
      </c>
      <c r="B448" s="15">
        <v>45483</v>
      </c>
      <c r="C448">
        <v>113298</v>
      </c>
      <c r="D448">
        <v>300191</v>
      </c>
      <c r="E448" t="s">
        <v>1040</v>
      </c>
      <c r="F448" t="s">
        <v>1051</v>
      </c>
      <c r="G448">
        <v>1</v>
      </c>
      <c r="H448" s="59">
        <v>21.99</v>
      </c>
      <c r="I448" t="s">
        <v>1041</v>
      </c>
      <c r="J448" t="s">
        <v>14</v>
      </c>
      <c r="K448" s="60" t="s">
        <v>14</v>
      </c>
      <c r="L448" s="59">
        <v>0</v>
      </c>
      <c r="M448" s="61">
        <v>21.99</v>
      </c>
      <c r="N448">
        <f ca="1">IF(LEFT(tblSales[[#This Row],[Category]],1)="A",RANDBETWEEN(1,4),RANDBETWEEN(2,7))</f>
        <v>4</v>
      </c>
      <c r="O448" s="61" t="str">
        <f>IF(COUNTIF($A$2:A448,A448)=1,SUMIFS(tblSales[Revenue],tblSales[Order ID],tblSales[[#This Row],[Order ID]]),"")</f>
        <v/>
      </c>
      <c r="P448" t="str">
        <f>TEXT(tblSales[[#This Row],[Date]],"ddd")</f>
        <v>Wed</v>
      </c>
      <c r="Q448">
        <f>1/COUNTIF(tblSales[Order ID],tblSales[[#This Row],[Order ID]])</f>
        <v>0.2</v>
      </c>
    </row>
    <row r="449" spans="1:17" x14ac:dyDescent="0.3">
      <c r="A449">
        <v>202083</v>
      </c>
      <c r="B449" s="15">
        <v>45481</v>
      </c>
      <c r="C449">
        <v>125230</v>
      </c>
      <c r="D449">
        <v>300185</v>
      </c>
      <c r="E449" t="s">
        <v>1040</v>
      </c>
      <c r="F449" t="s">
        <v>1049</v>
      </c>
      <c r="G449">
        <v>3</v>
      </c>
      <c r="H449" s="59">
        <v>29.99</v>
      </c>
      <c r="I449" t="s">
        <v>120</v>
      </c>
      <c r="J449" t="s">
        <v>1047</v>
      </c>
      <c r="K449" s="60">
        <v>0.1</v>
      </c>
      <c r="L449" s="59">
        <v>8.9969999999999999</v>
      </c>
      <c r="M449" s="61">
        <v>80.972999999999999</v>
      </c>
      <c r="N449">
        <f ca="1">IF(LEFT(tblSales[[#This Row],[Category]],1)="A",RANDBETWEEN(1,4),RANDBETWEEN(2,7))</f>
        <v>4</v>
      </c>
      <c r="O449" s="61">
        <f>IF(COUNTIF($A$2:A449,A449)=1,SUMIFS(tblSales[Revenue],tblSales[Order ID],tblSales[[#This Row],[Order ID]]),"")</f>
        <v>107.964</v>
      </c>
      <c r="P449" t="str">
        <f>TEXT(tblSales[[#This Row],[Date]],"ddd")</f>
        <v>Mon</v>
      </c>
      <c r="Q449">
        <f>1/COUNTIF(tblSales[Order ID],tblSales[[#This Row],[Order ID]])</f>
        <v>0.5</v>
      </c>
    </row>
    <row r="450" spans="1:17" x14ac:dyDescent="0.3">
      <c r="A450">
        <v>202083</v>
      </c>
      <c r="B450" s="15">
        <v>45481</v>
      </c>
      <c r="C450">
        <v>125230</v>
      </c>
      <c r="D450">
        <v>300185</v>
      </c>
      <c r="E450" t="s">
        <v>1040</v>
      </c>
      <c r="F450" t="s">
        <v>1049</v>
      </c>
      <c r="G450">
        <v>1</v>
      </c>
      <c r="H450" s="59">
        <v>29.99</v>
      </c>
      <c r="I450" t="s">
        <v>120</v>
      </c>
      <c r="J450" t="s">
        <v>1047</v>
      </c>
      <c r="K450" s="60">
        <v>0.1</v>
      </c>
      <c r="L450" s="59">
        <v>2.9990000000000001</v>
      </c>
      <c r="M450" s="61">
        <v>26.991</v>
      </c>
      <c r="N450">
        <f ca="1">IF(LEFT(tblSales[[#This Row],[Category]],1)="A",RANDBETWEEN(1,4),RANDBETWEEN(2,7))</f>
        <v>1</v>
      </c>
      <c r="O450" s="61" t="str">
        <f>IF(COUNTIF($A$2:A450,A450)=1,SUMIFS(tblSales[Revenue],tblSales[Order ID],tblSales[[#This Row],[Order ID]]),"")</f>
        <v/>
      </c>
      <c r="P450" t="str">
        <f>TEXT(tblSales[[#This Row],[Date]],"ddd")</f>
        <v>Mon</v>
      </c>
      <c r="Q450">
        <f>1/COUNTIF(tblSales[Order ID],tblSales[[#This Row],[Order ID]])</f>
        <v>0.5</v>
      </c>
    </row>
    <row r="451" spans="1:17" x14ac:dyDescent="0.3">
      <c r="A451">
        <v>202084</v>
      </c>
      <c r="B451" s="15">
        <v>45492</v>
      </c>
      <c r="C451">
        <v>130685</v>
      </c>
      <c r="D451">
        <v>200559</v>
      </c>
      <c r="E451" t="s">
        <v>1043</v>
      </c>
      <c r="F451" t="s">
        <v>1045</v>
      </c>
      <c r="G451">
        <v>1</v>
      </c>
      <c r="H451" s="59">
        <v>59.99</v>
      </c>
      <c r="I451" t="s">
        <v>1041</v>
      </c>
      <c r="J451" t="s">
        <v>14</v>
      </c>
      <c r="K451" s="60" t="s">
        <v>14</v>
      </c>
      <c r="L451" s="59">
        <v>0</v>
      </c>
      <c r="M451" s="61">
        <v>59.99</v>
      </c>
      <c r="N451">
        <f ca="1">IF(LEFT(tblSales[[#This Row],[Category]],1)="A",RANDBETWEEN(1,4),RANDBETWEEN(2,7))</f>
        <v>4</v>
      </c>
      <c r="O451" s="61">
        <f>IF(COUNTIF($A$2:A451,A451)=1,SUMIFS(tblSales[Revenue],tblSales[Order ID],tblSales[[#This Row],[Order ID]]),"")</f>
        <v>4294.9499999999989</v>
      </c>
      <c r="P451" t="str">
        <f>TEXT(tblSales[[#This Row],[Date]],"ddd")</f>
        <v>Fri</v>
      </c>
      <c r="Q451">
        <f>1/COUNTIF(tblSales[Order ID],tblSales[[#This Row],[Order ID]])</f>
        <v>0.2</v>
      </c>
    </row>
    <row r="452" spans="1:17" x14ac:dyDescent="0.3">
      <c r="A452">
        <v>202084</v>
      </c>
      <c r="B452" s="15">
        <v>45492</v>
      </c>
      <c r="C452">
        <v>130685</v>
      </c>
      <c r="D452">
        <v>300187</v>
      </c>
      <c r="E452" t="s">
        <v>1040</v>
      </c>
      <c r="F452" t="s">
        <v>1058</v>
      </c>
      <c r="G452">
        <v>1</v>
      </c>
      <c r="H452" s="59">
        <v>54.99</v>
      </c>
      <c r="I452" t="s">
        <v>1041</v>
      </c>
      <c r="J452" t="s">
        <v>14</v>
      </c>
      <c r="K452" s="60" t="s">
        <v>14</v>
      </c>
      <c r="L452" s="59">
        <v>0</v>
      </c>
      <c r="M452" s="61">
        <v>54.99</v>
      </c>
      <c r="N452">
        <f ca="1">IF(LEFT(tblSales[[#This Row],[Category]],1)="A",RANDBETWEEN(1,4),RANDBETWEEN(2,7))</f>
        <v>1</v>
      </c>
      <c r="O452" s="61" t="str">
        <f>IF(COUNTIF($A$2:A452,A452)=1,SUMIFS(tblSales[Revenue],tblSales[Order ID],tblSales[[#This Row],[Order ID]]),"")</f>
        <v/>
      </c>
      <c r="P452" t="str">
        <f>TEXT(tblSales[[#This Row],[Date]],"ddd")</f>
        <v>Fri</v>
      </c>
      <c r="Q452">
        <f>1/COUNTIF(tblSales[Order ID],tblSales[[#This Row],[Order ID]])</f>
        <v>0.2</v>
      </c>
    </row>
    <row r="453" spans="1:17" x14ac:dyDescent="0.3">
      <c r="A453">
        <v>202084</v>
      </c>
      <c r="B453" s="15">
        <v>45492</v>
      </c>
      <c r="C453">
        <v>130685</v>
      </c>
      <c r="D453">
        <v>100254</v>
      </c>
      <c r="E453" t="s">
        <v>1046</v>
      </c>
      <c r="F453" t="s">
        <v>164</v>
      </c>
      <c r="G453">
        <v>5</v>
      </c>
      <c r="H453" s="59">
        <v>799</v>
      </c>
      <c r="I453" t="s">
        <v>1041</v>
      </c>
      <c r="J453" t="s">
        <v>14</v>
      </c>
      <c r="K453" s="60" t="s">
        <v>14</v>
      </c>
      <c r="L453" s="59">
        <v>0</v>
      </c>
      <c r="M453" s="61">
        <v>3995</v>
      </c>
      <c r="N453">
        <f ca="1">IF(LEFT(tblSales[[#This Row],[Category]],1)="A",RANDBETWEEN(1,4),RANDBETWEEN(2,7))</f>
        <v>6</v>
      </c>
      <c r="O453" s="61" t="str">
        <f>IF(COUNTIF($A$2:A453,A453)=1,SUMIFS(tblSales[Revenue],tblSales[Order ID],tblSales[[#This Row],[Order ID]]),"")</f>
        <v/>
      </c>
      <c r="P453" t="str">
        <f>TEXT(tblSales[[#This Row],[Date]],"ddd")</f>
        <v>Fri</v>
      </c>
      <c r="Q453">
        <f>1/COUNTIF(tblSales[Order ID],tblSales[[#This Row],[Order ID]])</f>
        <v>0.2</v>
      </c>
    </row>
    <row r="454" spans="1:17" x14ac:dyDescent="0.3">
      <c r="A454">
        <v>202084</v>
      </c>
      <c r="B454" s="15">
        <v>45492</v>
      </c>
      <c r="C454">
        <v>130685</v>
      </c>
      <c r="D454">
        <v>200556</v>
      </c>
      <c r="E454" t="s">
        <v>1043</v>
      </c>
      <c r="F454" t="s">
        <v>1044</v>
      </c>
      <c r="G454">
        <v>1</v>
      </c>
      <c r="H454" s="59">
        <v>64.989999999999995</v>
      </c>
      <c r="I454" t="s">
        <v>1041</v>
      </c>
      <c r="J454" t="s">
        <v>14</v>
      </c>
      <c r="K454" s="60" t="s">
        <v>14</v>
      </c>
      <c r="L454" s="59">
        <v>0</v>
      </c>
      <c r="M454" s="61">
        <v>64.989999999999995</v>
      </c>
      <c r="N454">
        <f ca="1">IF(LEFT(tblSales[[#This Row],[Category]],1)="A",RANDBETWEEN(1,4),RANDBETWEEN(2,7))</f>
        <v>3</v>
      </c>
      <c r="O454" s="61" t="str">
        <f>IF(COUNTIF($A$2:A454,A454)=1,SUMIFS(tblSales[Revenue],tblSales[Order ID],tblSales[[#This Row],[Order ID]]),"")</f>
        <v/>
      </c>
      <c r="P454" t="str">
        <f>TEXT(tblSales[[#This Row],[Date]],"ddd")</f>
        <v>Fri</v>
      </c>
      <c r="Q454">
        <f>1/COUNTIF(tblSales[Order ID],tblSales[[#This Row],[Order ID]])</f>
        <v>0.2</v>
      </c>
    </row>
    <row r="455" spans="1:17" x14ac:dyDescent="0.3">
      <c r="A455">
        <v>202084</v>
      </c>
      <c r="B455" s="15">
        <v>45492</v>
      </c>
      <c r="C455">
        <v>130685</v>
      </c>
      <c r="D455">
        <v>200559</v>
      </c>
      <c r="E455" t="s">
        <v>1043</v>
      </c>
      <c r="F455" t="s">
        <v>1045</v>
      </c>
      <c r="G455">
        <v>2</v>
      </c>
      <c r="H455" s="59">
        <v>59.99</v>
      </c>
      <c r="I455" t="s">
        <v>1041</v>
      </c>
      <c r="J455" t="s">
        <v>14</v>
      </c>
      <c r="K455" s="60" t="s">
        <v>14</v>
      </c>
      <c r="L455" s="59">
        <v>0</v>
      </c>
      <c r="M455" s="61">
        <v>119.98</v>
      </c>
      <c r="N455">
        <f ca="1">IF(LEFT(tblSales[[#This Row],[Category]],1)="A",RANDBETWEEN(1,4),RANDBETWEEN(2,7))</f>
        <v>1</v>
      </c>
      <c r="O455" s="61" t="str">
        <f>IF(COUNTIF($A$2:A455,A455)=1,SUMIFS(tblSales[Revenue],tblSales[Order ID],tblSales[[#This Row],[Order ID]]),"")</f>
        <v/>
      </c>
      <c r="P455" t="str">
        <f>TEXT(tblSales[[#This Row],[Date]],"ddd")</f>
        <v>Fri</v>
      </c>
      <c r="Q455">
        <f>1/COUNTIF(tblSales[Order ID],tblSales[[#This Row],[Order ID]])</f>
        <v>0.2</v>
      </c>
    </row>
    <row r="456" spans="1:17" x14ac:dyDescent="0.3">
      <c r="A456">
        <v>202085</v>
      </c>
      <c r="B456" s="15">
        <v>45484</v>
      </c>
      <c r="C456">
        <v>104034</v>
      </c>
      <c r="D456">
        <v>200556</v>
      </c>
      <c r="E456" t="s">
        <v>1043</v>
      </c>
      <c r="F456" t="s">
        <v>1044</v>
      </c>
      <c r="G456">
        <v>1</v>
      </c>
      <c r="H456" s="59">
        <v>64.989999999999995</v>
      </c>
      <c r="I456" t="s">
        <v>1041</v>
      </c>
      <c r="J456" t="s">
        <v>14</v>
      </c>
      <c r="K456" s="60" t="s">
        <v>14</v>
      </c>
      <c r="L456" s="59">
        <v>0</v>
      </c>
      <c r="M456" s="61">
        <v>64.989999999999995</v>
      </c>
      <c r="N456">
        <f ca="1">IF(LEFT(tblSales[[#This Row],[Category]],1)="A",RANDBETWEEN(1,4),RANDBETWEEN(2,7))</f>
        <v>2</v>
      </c>
      <c r="O456" s="61">
        <f>IF(COUNTIF($A$2:A456,A456)=1,SUMIFS(tblSales[Revenue],tblSales[Order ID],tblSales[[#This Row],[Order ID]]),"")</f>
        <v>159.94</v>
      </c>
      <c r="P456" t="str">
        <f>TEXT(tblSales[[#This Row],[Date]],"ddd")</f>
        <v>Thu</v>
      </c>
      <c r="Q456">
        <f>1/COUNTIF(tblSales[Order ID],tblSales[[#This Row],[Order ID]])</f>
        <v>0.5</v>
      </c>
    </row>
    <row r="457" spans="1:17" x14ac:dyDescent="0.3">
      <c r="A457">
        <v>202085</v>
      </c>
      <c r="B457" s="15">
        <v>45484</v>
      </c>
      <c r="C457">
        <v>104034</v>
      </c>
      <c r="D457">
        <v>200549</v>
      </c>
      <c r="E457" t="s">
        <v>1043</v>
      </c>
      <c r="F457" t="s">
        <v>1042</v>
      </c>
      <c r="G457">
        <v>5</v>
      </c>
      <c r="H457" s="59">
        <v>18.989999999999998</v>
      </c>
      <c r="I457" t="s">
        <v>1041</v>
      </c>
      <c r="J457" t="s">
        <v>14</v>
      </c>
      <c r="K457" s="60" t="s">
        <v>14</v>
      </c>
      <c r="L457" s="59">
        <v>0</v>
      </c>
      <c r="M457" s="61">
        <v>94.949999999999989</v>
      </c>
      <c r="N457">
        <f ca="1">IF(LEFT(tblSales[[#This Row],[Category]],1)="A",RANDBETWEEN(1,4),RANDBETWEEN(2,7))</f>
        <v>3</v>
      </c>
      <c r="O457" s="61" t="str">
        <f>IF(COUNTIF($A$2:A457,A457)=1,SUMIFS(tblSales[Revenue],tblSales[Order ID],tblSales[[#This Row],[Order ID]]),"")</f>
        <v/>
      </c>
      <c r="P457" t="str">
        <f>TEXT(tblSales[[#This Row],[Date]],"ddd")</f>
        <v>Thu</v>
      </c>
      <c r="Q457">
        <f>1/COUNTIF(tblSales[Order ID],tblSales[[#This Row],[Order ID]])</f>
        <v>0.5</v>
      </c>
    </row>
    <row r="458" spans="1:17" x14ac:dyDescent="0.3">
      <c r="A458">
        <v>202086</v>
      </c>
      <c r="B458" s="15">
        <v>45492</v>
      </c>
      <c r="C458">
        <v>118208</v>
      </c>
      <c r="D458">
        <v>300191</v>
      </c>
      <c r="E458" t="s">
        <v>1040</v>
      </c>
      <c r="F458" t="s">
        <v>1051</v>
      </c>
      <c r="G458">
        <v>4</v>
      </c>
      <c r="H458" s="59">
        <v>21.99</v>
      </c>
      <c r="I458" t="s">
        <v>120</v>
      </c>
      <c r="J458" t="s">
        <v>1047</v>
      </c>
      <c r="K458" s="60">
        <v>0.1</v>
      </c>
      <c r="L458" s="59">
        <v>8.7959999999999994</v>
      </c>
      <c r="M458" s="61">
        <v>79.163999999999987</v>
      </c>
      <c r="N458">
        <f ca="1">IF(LEFT(tblSales[[#This Row],[Category]],1)="A",RANDBETWEEN(1,4),RANDBETWEEN(2,7))</f>
        <v>3</v>
      </c>
      <c r="O458" s="61">
        <f>IF(COUNTIF($A$2:A458,A458)=1,SUMIFS(tblSales[Revenue],tblSales[Order ID],tblSales[[#This Row],[Order ID]]),"")</f>
        <v>79.163999999999987</v>
      </c>
      <c r="P458" t="str">
        <f>TEXT(tblSales[[#This Row],[Date]],"ddd")</f>
        <v>Fri</v>
      </c>
      <c r="Q458">
        <f>1/COUNTIF(tblSales[Order ID],tblSales[[#This Row],[Order ID]])</f>
        <v>1</v>
      </c>
    </row>
    <row r="459" spans="1:17" x14ac:dyDescent="0.3">
      <c r="A459">
        <v>202087</v>
      </c>
      <c r="B459" s="15">
        <v>45485</v>
      </c>
      <c r="C459">
        <v>114704</v>
      </c>
      <c r="D459">
        <v>100248</v>
      </c>
      <c r="E459" t="s">
        <v>1046</v>
      </c>
      <c r="F459" t="s">
        <v>168</v>
      </c>
      <c r="G459">
        <v>1</v>
      </c>
      <c r="H459" s="59">
        <v>199</v>
      </c>
      <c r="I459" t="s">
        <v>1041</v>
      </c>
      <c r="J459" t="s">
        <v>14</v>
      </c>
      <c r="K459" s="60" t="s">
        <v>14</v>
      </c>
      <c r="L459" s="59">
        <v>0</v>
      </c>
      <c r="M459" s="61">
        <v>199</v>
      </c>
      <c r="N459">
        <f ca="1">IF(LEFT(tblSales[[#This Row],[Category]],1)="A",RANDBETWEEN(1,4),RANDBETWEEN(2,7))</f>
        <v>7</v>
      </c>
      <c r="O459" s="61">
        <f>IF(COUNTIF($A$2:A459,A459)=1,SUMIFS(tblSales[Revenue],tblSales[Order ID],tblSales[[#This Row],[Order ID]]),"")</f>
        <v>1039.98</v>
      </c>
      <c r="P459" t="str">
        <f>TEXT(tblSales[[#This Row],[Date]],"ddd")</f>
        <v>Fri</v>
      </c>
      <c r="Q459">
        <f>1/COUNTIF(tblSales[Order ID],tblSales[[#This Row],[Order ID]])</f>
        <v>0.25</v>
      </c>
    </row>
    <row r="460" spans="1:17" x14ac:dyDescent="0.3">
      <c r="A460">
        <v>202087</v>
      </c>
      <c r="B460" s="15">
        <v>45485</v>
      </c>
      <c r="C460">
        <v>114704</v>
      </c>
      <c r="D460">
        <v>300187</v>
      </c>
      <c r="E460" t="s">
        <v>1040</v>
      </c>
      <c r="F460" t="s">
        <v>1058</v>
      </c>
      <c r="G460">
        <v>1</v>
      </c>
      <c r="H460" s="59">
        <v>54.99</v>
      </c>
      <c r="I460" t="s">
        <v>1041</v>
      </c>
      <c r="J460" t="s">
        <v>14</v>
      </c>
      <c r="K460" s="60" t="s">
        <v>14</v>
      </c>
      <c r="L460" s="59">
        <v>0</v>
      </c>
      <c r="M460" s="61">
        <v>54.99</v>
      </c>
      <c r="N460">
        <f ca="1">IF(LEFT(tblSales[[#This Row],[Category]],1)="A",RANDBETWEEN(1,4),RANDBETWEEN(2,7))</f>
        <v>4</v>
      </c>
      <c r="O460" s="61" t="str">
        <f>IF(COUNTIF($A$2:A460,A460)=1,SUMIFS(tblSales[Revenue],tblSales[Order ID],tblSales[[#This Row],[Order ID]]),"")</f>
        <v/>
      </c>
      <c r="P460" t="str">
        <f>TEXT(tblSales[[#This Row],[Date]],"ddd")</f>
        <v>Fri</v>
      </c>
      <c r="Q460">
        <f>1/COUNTIF(tblSales[Order ID],tblSales[[#This Row],[Order ID]])</f>
        <v>0.25</v>
      </c>
    </row>
    <row r="461" spans="1:17" x14ac:dyDescent="0.3">
      <c r="A461">
        <v>202087</v>
      </c>
      <c r="B461" s="15">
        <v>45485</v>
      </c>
      <c r="C461">
        <v>114704</v>
      </c>
      <c r="D461">
        <v>100250</v>
      </c>
      <c r="E461" t="s">
        <v>1046</v>
      </c>
      <c r="F461" t="s">
        <v>202</v>
      </c>
      <c r="G461">
        <v>4</v>
      </c>
      <c r="H461" s="59">
        <v>189</v>
      </c>
      <c r="I461" t="s">
        <v>1041</v>
      </c>
      <c r="J461" t="s">
        <v>14</v>
      </c>
      <c r="K461" s="60" t="s">
        <v>14</v>
      </c>
      <c r="L461" s="59">
        <v>0</v>
      </c>
      <c r="M461" s="61">
        <v>756</v>
      </c>
      <c r="N461">
        <f ca="1">IF(LEFT(tblSales[[#This Row],[Category]],1)="A",RANDBETWEEN(1,4),RANDBETWEEN(2,7))</f>
        <v>2</v>
      </c>
      <c r="O461" s="61" t="str">
        <f>IF(COUNTIF($A$2:A461,A461)=1,SUMIFS(tblSales[Revenue],tblSales[Order ID],tblSales[[#This Row],[Order ID]]),"")</f>
        <v/>
      </c>
      <c r="P461" t="str">
        <f>TEXT(tblSales[[#This Row],[Date]],"ddd")</f>
        <v>Fri</v>
      </c>
      <c r="Q461">
        <f>1/COUNTIF(tblSales[Order ID],tblSales[[#This Row],[Order ID]])</f>
        <v>0.25</v>
      </c>
    </row>
    <row r="462" spans="1:17" x14ac:dyDescent="0.3">
      <c r="A462">
        <v>202087</v>
      </c>
      <c r="B462" s="15">
        <v>45485</v>
      </c>
      <c r="C462">
        <v>114704</v>
      </c>
      <c r="D462">
        <v>300185</v>
      </c>
      <c r="E462" t="s">
        <v>1040</v>
      </c>
      <c r="F462" t="s">
        <v>1049</v>
      </c>
      <c r="G462">
        <v>1</v>
      </c>
      <c r="H462" s="59">
        <v>29.99</v>
      </c>
      <c r="I462" t="s">
        <v>1041</v>
      </c>
      <c r="J462" t="s">
        <v>14</v>
      </c>
      <c r="K462" s="60" t="s">
        <v>14</v>
      </c>
      <c r="L462" s="59">
        <v>0</v>
      </c>
      <c r="M462" s="61">
        <v>29.99</v>
      </c>
      <c r="N462">
        <f ca="1">IF(LEFT(tblSales[[#This Row],[Category]],1)="A",RANDBETWEEN(1,4),RANDBETWEEN(2,7))</f>
        <v>3</v>
      </c>
      <c r="O462" s="61" t="str">
        <f>IF(COUNTIF($A$2:A462,A462)=1,SUMIFS(tblSales[Revenue],tblSales[Order ID],tblSales[[#This Row],[Order ID]]),"")</f>
        <v/>
      </c>
      <c r="P462" t="str">
        <f>TEXT(tblSales[[#This Row],[Date]],"ddd")</f>
        <v>Fri</v>
      </c>
      <c r="Q462">
        <f>1/COUNTIF(tblSales[Order ID],tblSales[[#This Row],[Order ID]])</f>
        <v>0.25</v>
      </c>
    </row>
    <row r="463" spans="1:17" x14ac:dyDescent="0.3">
      <c r="A463">
        <v>202088</v>
      </c>
      <c r="B463" s="15">
        <v>45493</v>
      </c>
      <c r="C463">
        <v>112016</v>
      </c>
      <c r="D463">
        <v>300185</v>
      </c>
      <c r="E463" t="s">
        <v>1040</v>
      </c>
      <c r="F463" t="s">
        <v>1049</v>
      </c>
      <c r="G463">
        <v>1</v>
      </c>
      <c r="H463" s="59">
        <v>29.99</v>
      </c>
      <c r="I463" t="s">
        <v>120</v>
      </c>
      <c r="J463" t="s">
        <v>1064</v>
      </c>
      <c r="K463" s="60">
        <v>0.1</v>
      </c>
      <c r="L463" s="59">
        <v>2.9990000000000001</v>
      </c>
      <c r="M463" s="61">
        <v>26.991</v>
      </c>
      <c r="N463">
        <f ca="1">IF(LEFT(tblSales[[#This Row],[Category]],1)="A",RANDBETWEEN(1,4),RANDBETWEEN(2,7))</f>
        <v>4</v>
      </c>
      <c r="O463" s="61">
        <f>IF(COUNTIF($A$2:A463,A463)=1,SUMIFS(tblSales[Revenue],tblSales[Order ID],tblSales[[#This Row],[Order ID]]),"")</f>
        <v>184.45499999999998</v>
      </c>
      <c r="P463" t="str">
        <f>TEXT(tblSales[[#This Row],[Date]],"ddd")</f>
        <v>Sat</v>
      </c>
      <c r="Q463">
        <f>1/COUNTIF(tblSales[Order ID],tblSales[[#This Row],[Order ID]])</f>
        <v>0.25</v>
      </c>
    </row>
    <row r="464" spans="1:17" x14ac:dyDescent="0.3">
      <c r="A464">
        <v>202088</v>
      </c>
      <c r="B464" s="15">
        <v>45493</v>
      </c>
      <c r="C464">
        <v>112016</v>
      </c>
      <c r="D464">
        <v>300185</v>
      </c>
      <c r="E464" t="s">
        <v>1040</v>
      </c>
      <c r="F464" t="s">
        <v>1049</v>
      </c>
      <c r="G464">
        <v>2</v>
      </c>
      <c r="H464" s="59">
        <v>29.99</v>
      </c>
      <c r="I464" t="s">
        <v>120</v>
      </c>
      <c r="J464" t="s">
        <v>1064</v>
      </c>
      <c r="K464" s="60">
        <v>0.1</v>
      </c>
      <c r="L464" s="59">
        <v>5.9980000000000002</v>
      </c>
      <c r="M464" s="61">
        <v>53.981999999999999</v>
      </c>
      <c r="N464">
        <f ca="1">IF(LEFT(tblSales[[#This Row],[Category]],1)="A",RANDBETWEEN(1,4),RANDBETWEEN(2,7))</f>
        <v>2</v>
      </c>
      <c r="O464" s="61" t="str">
        <f>IF(COUNTIF($A$2:A464,A464)=1,SUMIFS(tblSales[Revenue],tblSales[Order ID],tblSales[[#This Row],[Order ID]]),"")</f>
        <v/>
      </c>
      <c r="P464" t="str">
        <f>TEXT(tblSales[[#This Row],[Date]],"ddd")</f>
        <v>Sat</v>
      </c>
      <c r="Q464">
        <f>1/COUNTIF(tblSales[Order ID],tblSales[[#This Row],[Order ID]])</f>
        <v>0.25</v>
      </c>
    </row>
    <row r="465" spans="1:17" x14ac:dyDescent="0.3">
      <c r="A465">
        <v>202088</v>
      </c>
      <c r="B465" s="15">
        <v>45493</v>
      </c>
      <c r="C465">
        <v>112016</v>
      </c>
      <c r="D465">
        <v>300187</v>
      </c>
      <c r="E465" t="s">
        <v>1040</v>
      </c>
      <c r="F465" t="s">
        <v>1058</v>
      </c>
      <c r="G465">
        <v>1</v>
      </c>
      <c r="H465" s="59">
        <v>54.99</v>
      </c>
      <c r="I465" t="s">
        <v>120</v>
      </c>
      <c r="J465" t="s">
        <v>1064</v>
      </c>
      <c r="K465" s="60">
        <v>0.1</v>
      </c>
      <c r="L465" s="59">
        <v>5.4990000000000006</v>
      </c>
      <c r="M465" s="61">
        <v>49.491</v>
      </c>
      <c r="N465">
        <f ca="1">IF(LEFT(tblSales[[#This Row],[Category]],1)="A",RANDBETWEEN(1,4),RANDBETWEEN(2,7))</f>
        <v>1</v>
      </c>
      <c r="O465" s="61" t="str">
        <f>IF(COUNTIF($A$2:A465,A465)=1,SUMIFS(tblSales[Revenue],tblSales[Order ID],tblSales[[#This Row],[Order ID]]),"")</f>
        <v/>
      </c>
      <c r="P465" t="str">
        <f>TEXT(tblSales[[#This Row],[Date]],"ddd")</f>
        <v>Sat</v>
      </c>
      <c r="Q465">
        <f>1/COUNTIF(tblSales[Order ID],tblSales[[#This Row],[Order ID]])</f>
        <v>0.25</v>
      </c>
    </row>
    <row r="466" spans="1:17" x14ac:dyDescent="0.3">
      <c r="A466">
        <v>202088</v>
      </c>
      <c r="B466" s="15">
        <v>45493</v>
      </c>
      <c r="C466">
        <v>112016</v>
      </c>
      <c r="D466">
        <v>200559</v>
      </c>
      <c r="E466" t="s">
        <v>1043</v>
      </c>
      <c r="F466" t="s">
        <v>1045</v>
      </c>
      <c r="G466">
        <v>1</v>
      </c>
      <c r="H466" s="59">
        <v>59.99</v>
      </c>
      <c r="I466" t="s">
        <v>120</v>
      </c>
      <c r="J466" t="s">
        <v>1064</v>
      </c>
      <c r="K466" s="60">
        <v>0.1</v>
      </c>
      <c r="L466" s="59">
        <v>5.9990000000000006</v>
      </c>
      <c r="M466" s="61">
        <v>53.991</v>
      </c>
      <c r="N466">
        <f ca="1">IF(LEFT(tblSales[[#This Row],[Category]],1)="A",RANDBETWEEN(1,4),RANDBETWEEN(2,7))</f>
        <v>1</v>
      </c>
      <c r="O466" s="61" t="str">
        <f>IF(COUNTIF($A$2:A466,A466)=1,SUMIFS(tblSales[Revenue],tblSales[Order ID],tblSales[[#This Row],[Order ID]]),"")</f>
        <v/>
      </c>
      <c r="P466" t="str">
        <f>TEXT(tblSales[[#This Row],[Date]],"ddd")</f>
        <v>Sat</v>
      </c>
      <c r="Q466">
        <f>1/COUNTIF(tblSales[Order ID],tblSales[[#This Row],[Order ID]])</f>
        <v>0.25</v>
      </c>
    </row>
    <row r="467" spans="1:17" x14ac:dyDescent="0.3">
      <c r="A467">
        <v>202089</v>
      </c>
      <c r="B467" s="15">
        <v>45490</v>
      </c>
      <c r="C467">
        <v>107917</v>
      </c>
      <c r="D467">
        <v>200559</v>
      </c>
      <c r="E467" t="s">
        <v>1043</v>
      </c>
      <c r="F467" t="s">
        <v>1045</v>
      </c>
      <c r="G467">
        <v>4</v>
      </c>
      <c r="H467" s="59">
        <v>59.99</v>
      </c>
      <c r="I467" t="s">
        <v>1041</v>
      </c>
      <c r="J467" t="s">
        <v>14</v>
      </c>
      <c r="K467" s="60" t="s">
        <v>14</v>
      </c>
      <c r="L467" s="59">
        <v>0</v>
      </c>
      <c r="M467" s="61">
        <v>239.96</v>
      </c>
      <c r="N467">
        <f ca="1">IF(LEFT(tblSales[[#This Row],[Category]],1)="A",RANDBETWEEN(1,4),RANDBETWEEN(2,7))</f>
        <v>3</v>
      </c>
      <c r="O467" s="61">
        <f>IF(COUNTIF($A$2:A467,A467)=1,SUMIFS(tblSales[Revenue],tblSales[Order ID],tblSales[[#This Row],[Order ID]]),"")</f>
        <v>1145.92</v>
      </c>
      <c r="P467" t="str">
        <f>TEXT(tblSales[[#This Row],[Date]],"ddd")</f>
        <v>Wed</v>
      </c>
      <c r="Q467">
        <f>1/COUNTIF(tblSales[Order ID],tblSales[[#This Row],[Order ID]])</f>
        <v>0.2</v>
      </c>
    </row>
    <row r="468" spans="1:17" x14ac:dyDescent="0.3">
      <c r="A468">
        <v>202089</v>
      </c>
      <c r="B468" s="15">
        <v>45490</v>
      </c>
      <c r="C468">
        <v>107917</v>
      </c>
      <c r="D468">
        <v>300185</v>
      </c>
      <c r="E468" t="s">
        <v>1040</v>
      </c>
      <c r="F468" t="s">
        <v>1049</v>
      </c>
      <c r="G468">
        <v>2</v>
      </c>
      <c r="H468" s="59">
        <v>29.99</v>
      </c>
      <c r="I468" t="s">
        <v>1041</v>
      </c>
      <c r="J468" t="s">
        <v>14</v>
      </c>
      <c r="K468" s="60" t="s">
        <v>14</v>
      </c>
      <c r="L468" s="59">
        <v>0</v>
      </c>
      <c r="M468" s="61">
        <v>59.98</v>
      </c>
      <c r="N468">
        <f ca="1">IF(LEFT(tblSales[[#This Row],[Category]],1)="A",RANDBETWEEN(1,4),RANDBETWEEN(2,7))</f>
        <v>4</v>
      </c>
      <c r="O468" s="61" t="str">
        <f>IF(COUNTIF($A$2:A468,A468)=1,SUMIFS(tblSales[Revenue],tblSales[Order ID],tblSales[[#This Row],[Order ID]]),"")</f>
        <v/>
      </c>
      <c r="P468" t="str">
        <f>TEXT(tblSales[[#This Row],[Date]],"ddd")</f>
        <v>Wed</v>
      </c>
      <c r="Q468">
        <f>1/COUNTIF(tblSales[Order ID],tblSales[[#This Row],[Order ID]])</f>
        <v>0.2</v>
      </c>
    </row>
    <row r="469" spans="1:17" x14ac:dyDescent="0.3">
      <c r="A469">
        <v>202089</v>
      </c>
      <c r="B469" s="15">
        <v>45490</v>
      </c>
      <c r="C469">
        <v>107917</v>
      </c>
      <c r="D469">
        <v>100250</v>
      </c>
      <c r="E469" t="s">
        <v>1046</v>
      </c>
      <c r="F469" t="s">
        <v>202</v>
      </c>
      <c r="G469">
        <v>4</v>
      </c>
      <c r="H469" s="59">
        <v>189</v>
      </c>
      <c r="I469" t="s">
        <v>1041</v>
      </c>
      <c r="J469" t="s">
        <v>14</v>
      </c>
      <c r="K469" s="60" t="s">
        <v>14</v>
      </c>
      <c r="L469" s="59">
        <v>0</v>
      </c>
      <c r="M469" s="61">
        <v>756</v>
      </c>
      <c r="N469">
        <f ca="1">IF(LEFT(tblSales[[#This Row],[Category]],1)="A",RANDBETWEEN(1,4),RANDBETWEEN(2,7))</f>
        <v>2</v>
      </c>
      <c r="O469" s="61" t="str">
        <f>IF(COUNTIF($A$2:A469,A469)=1,SUMIFS(tblSales[Revenue],tblSales[Order ID],tblSales[[#This Row],[Order ID]]),"")</f>
        <v/>
      </c>
      <c r="P469" t="str">
        <f>TEXT(tblSales[[#This Row],[Date]],"ddd")</f>
        <v>Wed</v>
      </c>
      <c r="Q469">
        <f>1/COUNTIF(tblSales[Order ID],tblSales[[#This Row],[Order ID]])</f>
        <v>0.2</v>
      </c>
    </row>
    <row r="470" spans="1:17" x14ac:dyDescent="0.3">
      <c r="A470">
        <v>202089</v>
      </c>
      <c r="B470" s="15">
        <v>45490</v>
      </c>
      <c r="C470">
        <v>107917</v>
      </c>
      <c r="D470">
        <v>300191</v>
      </c>
      <c r="E470" t="s">
        <v>1040</v>
      </c>
      <c r="F470" t="s">
        <v>1051</v>
      </c>
      <c r="G470">
        <v>1</v>
      </c>
      <c r="H470" s="59">
        <v>21.99</v>
      </c>
      <c r="I470" t="s">
        <v>1041</v>
      </c>
      <c r="J470" t="s">
        <v>14</v>
      </c>
      <c r="K470" s="60" t="s">
        <v>14</v>
      </c>
      <c r="L470" s="59">
        <v>0</v>
      </c>
      <c r="M470" s="61">
        <v>21.99</v>
      </c>
      <c r="N470">
        <f ca="1">IF(LEFT(tblSales[[#This Row],[Category]],1)="A",RANDBETWEEN(1,4),RANDBETWEEN(2,7))</f>
        <v>3</v>
      </c>
      <c r="O470" s="61" t="str">
        <f>IF(COUNTIF($A$2:A470,A470)=1,SUMIFS(tblSales[Revenue],tblSales[Order ID],tblSales[[#This Row],[Order ID]]),"")</f>
        <v/>
      </c>
      <c r="P470" t="str">
        <f>TEXT(tblSales[[#This Row],[Date]],"ddd")</f>
        <v>Wed</v>
      </c>
      <c r="Q470">
        <f>1/COUNTIF(tblSales[Order ID],tblSales[[#This Row],[Order ID]])</f>
        <v>0.2</v>
      </c>
    </row>
    <row r="471" spans="1:17" x14ac:dyDescent="0.3">
      <c r="A471">
        <v>202089</v>
      </c>
      <c r="B471" s="15">
        <v>45490</v>
      </c>
      <c r="C471">
        <v>107917</v>
      </c>
      <c r="D471">
        <v>200554</v>
      </c>
      <c r="E471" t="s">
        <v>1043</v>
      </c>
      <c r="F471" t="s">
        <v>1048</v>
      </c>
      <c r="G471">
        <v>1</v>
      </c>
      <c r="H471" s="59">
        <v>67.989999999999995</v>
      </c>
      <c r="I471" t="s">
        <v>1041</v>
      </c>
      <c r="J471" t="s">
        <v>14</v>
      </c>
      <c r="K471" s="60" t="s">
        <v>14</v>
      </c>
      <c r="L471" s="59">
        <v>0</v>
      </c>
      <c r="M471" s="61">
        <v>67.989999999999995</v>
      </c>
      <c r="N471">
        <f ca="1">IF(LEFT(tblSales[[#This Row],[Category]],1)="A",RANDBETWEEN(1,4),RANDBETWEEN(2,7))</f>
        <v>4</v>
      </c>
      <c r="O471" s="61" t="str">
        <f>IF(COUNTIF($A$2:A471,A471)=1,SUMIFS(tblSales[Revenue],tblSales[Order ID],tblSales[[#This Row],[Order ID]]),"")</f>
        <v/>
      </c>
      <c r="P471" t="str">
        <f>TEXT(tblSales[[#This Row],[Date]],"ddd")</f>
        <v>Wed</v>
      </c>
      <c r="Q471">
        <f>1/COUNTIF(tblSales[Order ID],tblSales[[#This Row],[Order ID]])</f>
        <v>0.2</v>
      </c>
    </row>
    <row r="472" spans="1:17" x14ac:dyDescent="0.3">
      <c r="A472">
        <v>202090</v>
      </c>
      <c r="B472" s="15">
        <v>45489</v>
      </c>
      <c r="C472">
        <v>113863</v>
      </c>
      <c r="D472">
        <v>300191</v>
      </c>
      <c r="E472" t="s">
        <v>1040</v>
      </c>
      <c r="F472" t="s">
        <v>1051</v>
      </c>
      <c r="G472">
        <v>1</v>
      </c>
      <c r="H472" s="59">
        <v>21.99</v>
      </c>
      <c r="I472" t="s">
        <v>1041</v>
      </c>
      <c r="J472" t="s">
        <v>14</v>
      </c>
      <c r="K472" s="60" t="s">
        <v>14</v>
      </c>
      <c r="L472" s="59">
        <v>0</v>
      </c>
      <c r="M472" s="61">
        <v>21.99</v>
      </c>
      <c r="N472">
        <f ca="1">IF(LEFT(tblSales[[#This Row],[Category]],1)="A",RANDBETWEEN(1,4),RANDBETWEEN(2,7))</f>
        <v>2</v>
      </c>
      <c r="O472" s="61">
        <f>IF(COUNTIF($A$2:A472,A472)=1,SUMIFS(tblSales[Revenue],tblSales[Order ID],tblSales[[#This Row],[Order ID]]),"")</f>
        <v>21.99</v>
      </c>
      <c r="P472" t="str">
        <f>TEXT(tblSales[[#This Row],[Date]],"ddd")</f>
        <v>Tue</v>
      </c>
      <c r="Q472">
        <f>1/COUNTIF(tblSales[Order ID],tblSales[[#This Row],[Order ID]])</f>
        <v>1</v>
      </c>
    </row>
    <row r="473" spans="1:17" x14ac:dyDescent="0.3">
      <c r="A473">
        <v>202091</v>
      </c>
      <c r="B473" s="15">
        <v>45493</v>
      </c>
      <c r="C473">
        <v>127848</v>
      </c>
      <c r="D473">
        <v>100251</v>
      </c>
      <c r="E473" t="s">
        <v>1046</v>
      </c>
      <c r="F473" t="s">
        <v>150</v>
      </c>
      <c r="G473">
        <v>3</v>
      </c>
      <c r="H473" s="59">
        <v>399</v>
      </c>
      <c r="I473" t="s">
        <v>120</v>
      </c>
      <c r="J473" t="s">
        <v>1052</v>
      </c>
      <c r="K473" s="60">
        <v>0.15</v>
      </c>
      <c r="L473" s="59">
        <v>179.54999999999998</v>
      </c>
      <c r="M473" s="61">
        <v>1017.45</v>
      </c>
      <c r="N473">
        <f ca="1">IF(LEFT(tblSales[[#This Row],[Category]],1)="A",RANDBETWEEN(1,4),RANDBETWEEN(2,7))</f>
        <v>6</v>
      </c>
      <c r="O473" s="61">
        <f>IF(COUNTIF($A$2:A473,A473)=1,SUMIFS(tblSales[Revenue],tblSales[Order ID],tblSales[[#This Row],[Order ID]]),"")</f>
        <v>1072.6915000000001</v>
      </c>
      <c r="P473" t="str">
        <f>TEXT(tblSales[[#This Row],[Date]],"ddd")</f>
        <v>Sat</v>
      </c>
      <c r="Q473">
        <f>1/COUNTIF(tblSales[Order ID],tblSales[[#This Row],[Order ID]])</f>
        <v>0.5</v>
      </c>
    </row>
    <row r="474" spans="1:17" x14ac:dyDescent="0.3">
      <c r="A474">
        <v>202091</v>
      </c>
      <c r="B474" s="15">
        <v>45493</v>
      </c>
      <c r="C474">
        <v>127848</v>
      </c>
      <c r="D474">
        <v>200556</v>
      </c>
      <c r="E474" t="s">
        <v>1043</v>
      </c>
      <c r="F474" t="s">
        <v>1044</v>
      </c>
      <c r="G474">
        <v>1</v>
      </c>
      <c r="H474" s="59">
        <v>64.989999999999995</v>
      </c>
      <c r="I474" t="s">
        <v>120</v>
      </c>
      <c r="J474" t="s">
        <v>1052</v>
      </c>
      <c r="K474" s="60">
        <v>0.15</v>
      </c>
      <c r="L474" s="59">
        <v>9.7484999999999982</v>
      </c>
      <c r="M474" s="61">
        <v>55.241499999999995</v>
      </c>
      <c r="N474">
        <f ca="1">IF(LEFT(tblSales[[#This Row],[Category]],1)="A",RANDBETWEEN(1,4),RANDBETWEEN(2,7))</f>
        <v>4</v>
      </c>
      <c r="O474" s="61" t="str">
        <f>IF(COUNTIF($A$2:A474,A474)=1,SUMIFS(tblSales[Revenue],tblSales[Order ID],tblSales[[#This Row],[Order ID]]),"")</f>
        <v/>
      </c>
      <c r="P474" t="str">
        <f>TEXT(tblSales[[#This Row],[Date]],"ddd")</f>
        <v>Sat</v>
      </c>
      <c r="Q474">
        <f>1/COUNTIF(tblSales[Order ID],tblSales[[#This Row],[Order ID]])</f>
        <v>0.5</v>
      </c>
    </row>
    <row r="475" spans="1:17" x14ac:dyDescent="0.3">
      <c r="A475">
        <v>202092</v>
      </c>
      <c r="B475" s="15">
        <v>45487</v>
      </c>
      <c r="C475">
        <v>106857</v>
      </c>
      <c r="D475">
        <v>200549</v>
      </c>
      <c r="E475" t="s">
        <v>1043</v>
      </c>
      <c r="F475" t="s">
        <v>1042</v>
      </c>
      <c r="G475">
        <v>1</v>
      </c>
      <c r="H475" s="59">
        <v>18.989999999999998</v>
      </c>
      <c r="I475" t="s">
        <v>120</v>
      </c>
      <c r="J475" t="s">
        <v>1047</v>
      </c>
      <c r="K475" s="60">
        <v>0.1</v>
      </c>
      <c r="L475" s="59">
        <v>1.899</v>
      </c>
      <c r="M475" s="61">
        <v>17.090999999999998</v>
      </c>
      <c r="N475">
        <f ca="1">IF(LEFT(tblSales[[#This Row],[Category]],1)="A",RANDBETWEEN(1,4),RANDBETWEEN(2,7))</f>
        <v>2</v>
      </c>
      <c r="O475" s="61">
        <f>IF(COUNTIF($A$2:A475,A475)=1,SUMIFS(tblSales[Revenue],tblSales[Order ID],tblSales[[#This Row],[Order ID]]),"")</f>
        <v>53.081999999999994</v>
      </c>
      <c r="P475" t="str">
        <f>TEXT(tblSales[[#This Row],[Date]],"ddd")</f>
        <v>Sun</v>
      </c>
      <c r="Q475">
        <f>1/COUNTIF(tblSales[Order ID],tblSales[[#This Row],[Order ID]])</f>
        <v>0.5</v>
      </c>
    </row>
    <row r="476" spans="1:17" x14ac:dyDescent="0.3">
      <c r="A476">
        <v>202092</v>
      </c>
      <c r="B476" s="15">
        <v>45487</v>
      </c>
      <c r="C476">
        <v>106857</v>
      </c>
      <c r="D476">
        <v>200555</v>
      </c>
      <c r="E476" t="s">
        <v>1043</v>
      </c>
      <c r="F476" t="s">
        <v>1063</v>
      </c>
      <c r="G476">
        <v>1</v>
      </c>
      <c r="H476" s="59">
        <v>39.99</v>
      </c>
      <c r="I476" t="s">
        <v>120</v>
      </c>
      <c r="J476" t="s">
        <v>1047</v>
      </c>
      <c r="K476" s="60">
        <v>0.1</v>
      </c>
      <c r="L476" s="59">
        <v>3.9990000000000006</v>
      </c>
      <c r="M476" s="61">
        <v>35.991</v>
      </c>
      <c r="N476">
        <f ca="1">IF(LEFT(tblSales[[#This Row],[Category]],1)="A",RANDBETWEEN(1,4),RANDBETWEEN(2,7))</f>
        <v>2</v>
      </c>
      <c r="O476" s="61" t="str">
        <f>IF(COUNTIF($A$2:A476,A476)=1,SUMIFS(tblSales[Revenue],tblSales[Order ID],tblSales[[#This Row],[Order ID]]),"")</f>
        <v/>
      </c>
      <c r="P476" t="str">
        <f>TEXT(tblSales[[#This Row],[Date]],"ddd")</f>
        <v>Sun</v>
      </c>
      <c r="Q476">
        <f>1/COUNTIF(tblSales[Order ID],tblSales[[#This Row],[Order ID]])</f>
        <v>0.5</v>
      </c>
    </row>
    <row r="477" spans="1:17" x14ac:dyDescent="0.3">
      <c r="A477">
        <v>202093</v>
      </c>
      <c r="B477" s="15">
        <v>45491</v>
      </c>
      <c r="C477">
        <v>119666</v>
      </c>
      <c r="D477">
        <v>100250</v>
      </c>
      <c r="E477" t="s">
        <v>1046</v>
      </c>
      <c r="F477" t="s">
        <v>202</v>
      </c>
      <c r="G477">
        <v>4</v>
      </c>
      <c r="H477" s="59">
        <v>189</v>
      </c>
      <c r="I477" t="s">
        <v>1041</v>
      </c>
      <c r="J477" t="s">
        <v>14</v>
      </c>
      <c r="K477" s="60" t="s">
        <v>14</v>
      </c>
      <c r="L477" s="59">
        <v>0</v>
      </c>
      <c r="M477" s="61">
        <v>756</v>
      </c>
      <c r="N477">
        <f ca="1">IF(LEFT(tblSales[[#This Row],[Category]],1)="A",RANDBETWEEN(1,4),RANDBETWEEN(2,7))</f>
        <v>7</v>
      </c>
      <c r="O477" s="61">
        <f>IF(COUNTIF($A$2:A477,A477)=1,SUMIFS(tblSales[Revenue],tblSales[Order ID],tblSales[[#This Row],[Order ID]]),"")</f>
        <v>756</v>
      </c>
      <c r="P477" t="str">
        <f>TEXT(tblSales[[#This Row],[Date]],"ddd")</f>
        <v>Thu</v>
      </c>
      <c r="Q477">
        <f>1/COUNTIF(tblSales[Order ID],tblSales[[#This Row],[Order ID]])</f>
        <v>1</v>
      </c>
    </row>
    <row r="478" spans="1:17" x14ac:dyDescent="0.3">
      <c r="A478">
        <v>202094</v>
      </c>
      <c r="B478" s="15">
        <v>45490</v>
      </c>
      <c r="C478">
        <v>129958</v>
      </c>
      <c r="D478">
        <v>300185</v>
      </c>
      <c r="E478" t="s">
        <v>1040</v>
      </c>
      <c r="F478" t="s">
        <v>1049</v>
      </c>
      <c r="G478">
        <v>4</v>
      </c>
      <c r="H478" s="59">
        <v>29.99</v>
      </c>
      <c r="I478" t="s">
        <v>120</v>
      </c>
      <c r="J478" t="s">
        <v>1047</v>
      </c>
      <c r="K478" s="60">
        <v>0.1</v>
      </c>
      <c r="L478" s="59">
        <v>11.996</v>
      </c>
      <c r="M478" s="61">
        <v>107.964</v>
      </c>
      <c r="N478">
        <f ca="1">IF(LEFT(tblSales[[#This Row],[Category]],1)="A",RANDBETWEEN(1,4),RANDBETWEEN(2,7))</f>
        <v>4</v>
      </c>
      <c r="O478" s="61">
        <f>IF(COUNTIF($A$2:A478,A478)=1,SUMIFS(tblSales[Revenue],tblSales[Order ID],tblSales[[#This Row],[Order ID]]),"")</f>
        <v>107.964</v>
      </c>
      <c r="P478" t="str">
        <f>TEXT(tblSales[[#This Row],[Date]],"ddd")</f>
        <v>Wed</v>
      </c>
      <c r="Q478">
        <f>1/COUNTIF(tblSales[Order ID],tblSales[[#This Row],[Order ID]])</f>
        <v>1</v>
      </c>
    </row>
    <row r="479" spans="1:17" x14ac:dyDescent="0.3">
      <c r="A479">
        <v>202095</v>
      </c>
      <c r="B479" s="15">
        <v>45487</v>
      </c>
      <c r="C479">
        <v>116424</v>
      </c>
      <c r="D479">
        <v>200549</v>
      </c>
      <c r="E479" t="s">
        <v>1043</v>
      </c>
      <c r="F479" t="s">
        <v>1042</v>
      </c>
      <c r="G479">
        <v>1</v>
      </c>
      <c r="H479" s="59">
        <v>18.989999999999998</v>
      </c>
      <c r="I479" t="s">
        <v>1041</v>
      </c>
      <c r="J479" t="s">
        <v>14</v>
      </c>
      <c r="K479" s="60" t="s">
        <v>14</v>
      </c>
      <c r="L479" s="59">
        <v>0</v>
      </c>
      <c r="M479" s="61">
        <v>18.989999999999998</v>
      </c>
      <c r="N479">
        <f ca="1">IF(LEFT(tblSales[[#This Row],[Category]],1)="A",RANDBETWEEN(1,4),RANDBETWEEN(2,7))</f>
        <v>1</v>
      </c>
      <c r="O479" s="61">
        <f>IF(COUNTIF($A$2:A479,A479)=1,SUMIFS(tblSales[Revenue],tblSales[Order ID],tblSales[[#This Row],[Order ID]]),"")</f>
        <v>18.989999999999998</v>
      </c>
      <c r="P479" t="str">
        <f>TEXT(tblSales[[#This Row],[Date]],"ddd")</f>
        <v>Sun</v>
      </c>
      <c r="Q479">
        <f>1/COUNTIF(tblSales[Order ID],tblSales[[#This Row],[Order ID]])</f>
        <v>1</v>
      </c>
    </row>
    <row r="480" spans="1:17" x14ac:dyDescent="0.3">
      <c r="A480">
        <v>202096</v>
      </c>
      <c r="B480" s="15">
        <v>45485</v>
      </c>
      <c r="C480">
        <v>120464</v>
      </c>
      <c r="D480">
        <v>300191</v>
      </c>
      <c r="E480" t="s">
        <v>1040</v>
      </c>
      <c r="F480" t="s">
        <v>1051</v>
      </c>
      <c r="G480">
        <v>3</v>
      </c>
      <c r="H480" s="59">
        <v>21.99</v>
      </c>
      <c r="I480" t="s">
        <v>1041</v>
      </c>
      <c r="J480" t="s">
        <v>14</v>
      </c>
      <c r="K480" s="60" t="s">
        <v>14</v>
      </c>
      <c r="L480" s="59">
        <v>0</v>
      </c>
      <c r="M480" s="61">
        <v>65.97</v>
      </c>
      <c r="N480">
        <f ca="1">IF(LEFT(tblSales[[#This Row],[Category]],1)="A",RANDBETWEEN(1,4),RANDBETWEEN(2,7))</f>
        <v>1</v>
      </c>
      <c r="O480" s="61">
        <f>IF(COUNTIF($A$2:A480,A480)=1,SUMIFS(tblSales[Revenue],tblSales[Order ID],tblSales[[#This Row],[Order ID]]),"")</f>
        <v>130.95999999999998</v>
      </c>
      <c r="P480" t="str">
        <f>TEXT(tblSales[[#This Row],[Date]],"ddd")</f>
        <v>Fri</v>
      </c>
      <c r="Q480">
        <f>1/COUNTIF(tblSales[Order ID],tblSales[[#This Row],[Order ID]])</f>
        <v>0.5</v>
      </c>
    </row>
    <row r="481" spans="1:17" x14ac:dyDescent="0.3">
      <c r="A481">
        <v>202096</v>
      </c>
      <c r="B481" s="15">
        <v>45485</v>
      </c>
      <c r="C481">
        <v>120464</v>
      </c>
      <c r="D481">
        <v>200556</v>
      </c>
      <c r="E481" t="s">
        <v>1043</v>
      </c>
      <c r="F481" t="s">
        <v>1044</v>
      </c>
      <c r="G481">
        <v>1</v>
      </c>
      <c r="H481" s="59">
        <v>64.989999999999995</v>
      </c>
      <c r="I481" t="s">
        <v>1041</v>
      </c>
      <c r="J481" t="s">
        <v>14</v>
      </c>
      <c r="K481" s="60" t="s">
        <v>14</v>
      </c>
      <c r="L481" s="59">
        <v>0</v>
      </c>
      <c r="M481" s="61">
        <v>64.989999999999995</v>
      </c>
      <c r="N481">
        <f ca="1">IF(LEFT(tblSales[[#This Row],[Category]],1)="A",RANDBETWEEN(1,4),RANDBETWEEN(2,7))</f>
        <v>3</v>
      </c>
      <c r="O481" s="61" t="str">
        <f>IF(COUNTIF($A$2:A481,A481)=1,SUMIFS(tblSales[Revenue],tblSales[Order ID],tblSales[[#This Row],[Order ID]]),"")</f>
        <v/>
      </c>
      <c r="P481" t="str">
        <f>TEXT(tblSales[[#This Row],[Date]],"ddd")</f>
        <v>Fri</v>
      </c>
      <c r="Q481">
        <f>1/COUNTIF(tblSales[Order ID],tblSales[[#This Row],[Order ID]])</f>
        <v>0.5</v>
      </c>
    </row>
    <row r="482" spans="1:17" x14ac:dyDescent="0.3">
      <c r="A482">
        <v>202097</v>
      </c>
      <c r="B482" s="15">
        <v>45484</v>
      </c>
      <c r="C482">
        <v>112664</v>
      </c>
      <c r="D482">
        <v>200556</v>
      </c>
      <c r="E482" t="s">
        <v>1043</v>
      </c>
      <c r="F482" t="s">
        <v>1044</v>
      </c>
      <c r="G482">
        <v>1</v>
      </c>
      <c r="H482" s="59">
        <v>64.989999999999995</v>
      </c>
      <c r="I482" t="s">
        <v>120</v>
      </c>
      <c r="J482" t="s">
        <v>1047</v>
      </c>
      <c r="K482" s="60">
        <v>0.1</v>
      </c>
      <c r="L482" s="59">
        <v>6.4989999999999997</v>
      </c>
      <c r="M482" s="61">
        <v>58.490999999999993</v>
      </c>
      <c r="N482">
        <f ca="1">IF(LEFT(tblSales[[#This Row],[Category]],1)="A",RANDBETWEEN(1,4),RANDBETWEEN(2,7))</f>
        <v>3</v>
      </c>
      <c r="O482" s="61">
        <f>IF(COUNTIF($A$2:A482,A482)=1,SUMIFS(tblSales[Revenue],tblSales[Order ID],tblSales[[#This Row],[Order ID]]),"")</f>
        <v>58.490999999999993</v>
      </c>
      <c r="P482" t="str">
        <f>TEXT(tblSales[[#This Row],[Date]],"ddd")</f>
        <v>Thu</v>
      </c>
      <c r="Q482">
        <f>1/COUNTIF(tblSales[Order ID],tblSales[[#This Row],[Order ID]])</f>
        <v>1</v>
      </c>
    </row>
    <row r="483" spans="1:17" x14ac:dyDescent="0.3">
      <c r="A483">
        <v>202098</v>
      </c>
      <c r="B483" s="15">
        <v>45487</v>
      </c>
      <c r="C483">
        <v>105662</v>
      </c>
      <c r="D483">
        <v>300187</v>
      </c>
      <c r="E483" t="s">
        <v>1040</v>
      </c>
      <c r="F483" t="s">
        <v>1058</v>
      </c>
      <c r="G483">
        <v>1</v>
      </c>
      <c r="H483" s="59">
        <v>54.99</v>
      </c>
      <c r="I483" t="s">
        <v>1041</v>
      </c>
      <c r="J483" t="s">
        <v>14</v>
      </c>
      <c r="K483" s="60" t="s">
        <v>14</v>
      </c>
      <c r="L483" s="59">
        <v>0</v>
      </c>
      <c r="M483" s="61">
        <v>54.99</v>
      </c>
      <c r="N483">
        <f ca="1">IF(LEFT(tblSales[[#This Row],[Category]],1)="A",RANDBETWEEN(1,4),RANDBETWEEN(2,7))</f>
        <v>3</v>
      </c>
      <c r="O483" s="61">
        <f>IF(COUNTIF($A$2:A483,A483)=1,SUMIFS(tblSales[Revenue],tblSales[Order ID],tblSales[[#This Row],[Order ID]]),"")</f>
        <v>164.97</v>
      </c>
      <c r="P483" t="str">
        <f>TEXT(tblSales[[#This Row],[Date]],"ddd")</f>
        <v>Sun</v>
      </c>
      <c r="Q483">
        <f>1/COUNTIF(tblSales[Order ID],tblSales[[#This Row],[Order ID]])</f>
        <v>0.5</v>
      </c>
    </row>
    <row r="484" spans="1:17" x14ac:dyDescent="0.3">
      <c r="A484">
        <v>202098</v>
      </c>
      <c r="B484" s="15">
        <v>45487</v>
      </c>
      <c r="C484">
        <v>105662</v>
      </c>
      <c r="D484">
        <v>300187</v>
      </c>
      <c r="E484" t="s">
        <v>1040</v>
      </c>
      <c r="F484" t="s">
        <v>1058</v>
      </c>
      <c r="G484">
        <v>2</v>
      </c>
      <c r="H484" s="59">
        <v>54.99</v>
      </c>
      <c r="I484" t="s">
        <v>1041</v>
      </c>
      <c r="J484" t="s">
        <v>14</v>
      </c>
      <c r="K484" s="60" t="s">
        <v>14</v>
      </c>
      <c r="L484" s="59">
        <v>0</v>
      </c>
      <c r="M484" s="61">
        <v>109.98</v>
      </c>
      <c r="N484">
        <f ca="1">IF(LEFT(tblSales[[#This Row],[Category]],1)="A",RANDBETWEEN(1,4),RANDBETWEEN(2,7))</f>
        <v>4</v>
      </c>
      <c r="O484" s="61" t="str">
        <f>IF(COUNTIF($A$2:A484,A484)=1,SUMIFS(tblSales[Revenue],tblSales[Order ID],tblSales[[#This Row],[Order ID]]),"")</f>
        <v/>
      </c>
      <c r="P484" t="str">
        <f>TEXT(tblSales[[#This Row],[Date]],"ddd")</f>
        <v>Sun</v>
      </c>
      <c r="Q484">
        <f>1/COUNTIF(tblSales[Order ID],tblSales[[#This Row],[Order ID]])</f>
        <v>0.5</v>
      </c>
    </row>
    <row r="485" spans="1:17" x14ac:dyDescent="0.3">
      <c r="A485">
        <v>202099</v>
      </c>
      <c r="B485" s="15">
        <v>45484</v>
      </c>
      <c r="C485">
        <v>102537</v>
      </c>
      <c r="D485">
        <v>300187</v>
      </c>
      <c r="E485" t="s">
        <v>1040</v>
      </c>
      <c r="F485" t="s">
        <v>1058</v>
      </c>
      <c r="G485">
        <v>1</v>
      </c>
      <c r="H485" s="59">
        <v>54.99</v>
      </c>
      <c r="I485" t="s">
        <v>1041</v>
      </c>
      <c r="J485" t="s">
        <v>14</v>
      </c>
      <c r="K485" s="60" t="s">
        <v>14</v>
      </c>
      <c r="L485" s="59">
        <v>0</v>
      </c>
      <c r="M485" s="61">
        <v>54.99</v>
      </c>
      <c r="N485">
        <f ca="1">IF(LEFT(tblSales[[#This Row],[Category]],1)="A",RANDBETWEEN(1,4),RANDBETWEEN(2,7))</f>
        <v>1</v>
      </c>
      <c r="O485" s="61">
        <f>IF(COUNTIF($A$2:A485,A485)=1,SUMIFS(tblSales[Revenue],tblSales[Order ID],tblSales[[#This Row],[Order ID]]),"")</f>
        <v>4295.95</v>
      </c>
      <c r="P485" t="str">
        <f>TEXT(tblSales[[#This Row],[Date]],"ddd")</f>
        <v>Thu</v>
      </c>
      <c r="Q485">
        <f>1/COUNTIF(tblSales[Order ID],tblSales[[#This Row],[Order ID]])</f>
        <v>0.2</v>
      </c>
    </row>
    <row r="486" spans="1:17" x14ac:dyDescent="0.3">
      <c r="A486">
        <v>202099</v>
      </c>
      <c r="B486" s="15">
        <v>45484</v>
      </c>
      <c r="C486">
        <v>102537</v>
      </c>
      <c r="D486">
        <v>200552</v>
      </c>
      <c r="E486" t="s">
        <v>1043</v>
      </c>
      <c r="F486" t="s">
        <v>1056</v>
      </c>
      <c r="G486">
        <v>4</v>
      </c>
      <c r="H486" s="59">
        <v>49.99</v>
      </c>
      <c r="I486" t="s">
        <v>1041</v>
      </c>
      <c r="J486" t="s">
        <v>14</v>
      </c>
      <c r="K486" s="60" t="s">
        <v>14</v>
      </c>
      <c r="L486" s="59">
        <v>0</v>
      </c>
      <c r="M486" s="61">
        <v>199.96</v>
      </c>
      <c r="N486">
        <f ca="1">IF(LEFT(tblSales[[#This Row],[Category]],1)="A",RANDBETWEEN(1,4),RANDBETWEEN(2,7))</f>
        <v>1</v>
      </c>
      <c r="O486" s="61" t="str">
        <f>IF(COUNTIF($A$2:A486,A486)=1,SUMIFS(tblSales[Revenue],tblSales[Order ID],tblSales[[#This Row],[Order ID]]),"")</f>
        <v/>
      </c>
      <c r="P486" t="str">
        <f>TEXT(tblSales[[#This Row],[Date]],"ddd")</f>
        <v>Thu</v>
      </c>
      <c r="Q486">
        <f>1/COUNTIF(tblSales[Order ID],tblSales[[#This Row],[Order ID]])</f>
        <v>0.2</v>
      </c>
    </row>
    <row r="487" spans="1:17" x14ac:dyDescent="0.3">
      <c r="A487">
        <v>202099</v>
      </c>
      <c r="B487" s="15">
        <v>45484</v>
      </c>
      <c r="C487">
        <v>102537</v>
      </c>
      <c r="D487">
        <v>100252</v>
      </c>
      <c r="E487" t="s">
        <v>1046</v>
      </c>
      <c r="F487" t="s">
        <v>158</v>
      </c>
      <c r="G487">
        <v>1</v>
      </c>
      <c r="H487" s="59">
        <v>449</v>
      </c>
      <c r="I487" t="s">
        <v>1041</v>
      </c>
      <c r="J487" t="s">
        <v>14</v>
      </c>
      <c r="K487" s="60" t="s">
        <v>14</v>
      </c>
      <c r="L487" s="59">
        <v>0</v>
      </c>
      <c r="M487" s="61">
        <v>449</v>
      </c>
      <c r="N487">
        <f ca="1">IF(LEFT(tblSales[[#This Row],[Category]],1)="A",RANDBETWEEN(1,4),RANDBETWEEN(2,7))</f>
        <v>2</v>
      </c>
      <c r="O487" s="61" t="str">
        <f>IF(COUNTIF($A$2:A487,A487)=1,SUMIFS(tblSales[Revenue],tblSales[Order ID],tblSales[[#This Row],[Order ID]]),"")</f>
        <v/>
      </c>
      <c r="P487" t="str">
        <f>TEXT(tblSales[[#This Row],[Date]],"ddd")</f>
        <v>Thu</v>
      </c>
      <c r="Q487">
        <f>1/COUNTIF(tblSales[Order ID],tblSales[[#This Row],[Order ID]])</f>
        <v>0.2</v>
      </c>
    </row>
    <row r="488" spans="1:17" x14ac:dyDescent="0.3">
      <c r="A488">
        <v>202099</v>
      </c>
      <c r="B488" s="15">
        <v>45484</v>
      </c>
      <c r="C488">
        <v>102537</v>
      </c>
      <c r="D488">
        <v>100252</v>
      </c>
      <c r="E488" t="s">
        <v>1046</v>
      </c>
      <c r="F488" t="s">
        <v>158</v>
      </c>
      <c r="G488">
        <v>3</v>
      </c>
      <c r="H488" s="59">
        <v>449</v>
      </c>
      <c r="I488" t="s">
        <v>1041</v>
      </c>
      <c r="J488" t="s">
        <v>14</v>
      </c>
      <c r="K488" s="60" t="s">
        <v>14</v>
      </c>
      <c r="L488" s="59">
        <v>0</v>
      </c>
      <c r="M488" s="61">
        <v>1347</v>
      </c>
      <c r="N488">
        <f ca="1">IF(LEFT(tblSales[[#This Row],[Category]],1)="A",RANDBETWEEN(1,4),RANDBETWEEN(2,7))</f>
        <v>4</v>
      </c>
      <c r="O488" s="61" t="str">
        <f>IF(COUNTIF($A$2:A488,A488)=1,SUMIFS(tblSales[Revenue],tblSales[Order ID],tblSales[[#This Row],[Order ID]]),"")</f>
        <v/>
      </c>
      <c r="P488" t="str">
        <f>TEXT(tblSales[[#This Row],[Date]],"ddd")</f>
        <v>Thu</v>
      </c>
      <c r="Q488">
        <f>1/COUNTIF(tblSales[Order ID],tblSales[[#This Row],[Order ID]])</f>
        <v>0.2</v>
      </c>
    </row>
    <row r="489" spans="1:17" x14ac:dyDescent="0.3">
      <c r="A489">
        <v>202099</v>
      </c>
      <c r="B489" s="15">
        <v>45484</v>
      </c>
      <c r="C489">
        <v>102537</v>
      </c>
      <c r="D489">
        <v>100252</v>
      </c>
      <c r="E489" t="s">
        <v>1046</v>
      </c>
      <c r="F489" t="s">
        <v>158</v>
      </c>
      <c r="G489">
        <v>5</v>
      </c>
      <c r="H489" s="59">
        <v>449</v>
      </c>
      <c r="I489" t="s">
        <v>1041</v>
      </c>
      <c r="J489" t="s">
        <v>14</v>
      </c>
      <c r="K489" s="60" t="s">
        <v>14</v>
      </c>
      <c r="L489" s="59">
        <v>0</v>
      </c>
      <c r="M489" s="61">
        <v>2245</v>
      </c>
      <c r="N489">
        <f ca="1">IF(LEFT(tblSales[[#This Row],[Category]],1)="A",RANDBETWEEN(1,4),RANDBETWEEN(2,7))</f>
        <v>4</v>
      </c>
      <c r="O489" s="61" t="str">
        <f>IF(COUNTIF($A$2:A489,A489)=1,SUMIFS(tblSales[Revenue],tblSales[Order ID],tblSales[[#This Row],[Order ID]]),"")</f>
        <v/>
      </c>
      <c r="P489" t="str">
        <f>TEXT(tblSales[[#This Row],[Date]],"ddd")</f>
        <v>Thu</v>
      </c>
      <c r="Q489">
        <f>1/COUNTIF(tblSales[Order ID],tblSales[[#This Row],[Order ID]])</f>
        <v>0.2</v>
      </c>
    </row>
    <row r="490" spans="1:17" x14ac:dyDescent="0.3">
      <c r="A490">
        <v>202100</v>
      </c>
      <c r="B490" s="15">
        <v>45494</v>
      </c>
      <c r="C490">
        <v>131585</v>
      </c>
      <c r="D490">
        <v>300187</v>
      </c>
      <c r="E490" t="s">
        <v>1040</v>
      </c>
      <c r="F490" t="s">
        <v>1058</v>
      </c>
      <c r="G490">
        <v>1</v>
      </c>
      <c r="H490" s="59">
        <v>54.99</v>
      </c>
      <c r="I490" t="s">
        <v>1041</v>
      </c>
      <c r="J490" t="s">
        <v>14</v>
      </c>
      <c r="K490" s="60" t="s">
        <v>14</v>
      </c>
      <c r="L490" s="59">
        <v>0</v>
      </c>
      <c r="M490" s="61">
        <v>54.99</v>
      </c>
      <c r="N490">
        <f ca="1">IF(LEFT(tblSales[[#This Row],[Category]],1)="A",RANDBETWEEN(1,4),RANDBETWEEN(2,7))</f>
        <v>4</v>
      </c>
      <c r="O490" s="61">
        <f>IF(COUNTIF($A$2:A490,A490)=1,SUMIFS(tblSales[Revenue],tblSales[Order ID],tblSales[[#This Row],[Order ID]]),"")</f>
        <v>54.99</v>
      </c>
      <c r="P490" t="str">
        <f>TEXT(tblSales[[#This Row],[Date]],"ddd")</f>
        <v>Sun</v>
      </c>
      <c r="Q490">
        <f>1/COUNTIF(tblSales[Order ID],tblSales[[#This Row],[Order ID]])</f>
        <v>1</v>
      </c>
    </row>
    <row r="491" spans="1:17" x14ac:dyDescent="0.3">
      <c r="A491">
        <v>202101</v>
      </c>
      <c r="B491" s="15">
        <v>45483</v>
      </c>
      <c r="C491">
        <v>112165</v>
      </c>
      <c r="D491">
        <v>100250</v>
      </c>
      <c r="E491" t="s">
        <v>1046</v>
      </c>
      <c r="F491" t="s">
        <v>202</v>
      </c>
      <c r="G491">
        <v>1</v>
      </c>
      <c r="H491" s="59">
        <v>189</v>
      </c>
      <c r="I491" t="s">
        <v>1041</v>
      </c>
      <c r="J491" t="s">
        <v>14</v>
      </c>
      <c r="K491" s="60" t="s">
        <v>14</v>
      </c>
      <c r="L491" s="59">
        <v>0</v>
      </c>
      <c r="M491" s="61">
        <v>189</v>
      </c>
      <c r="N491">
        <f ca="1">IF(LEFT(tblSales[[#This Row],[Category]],1)="A",RANDBETWEEN(1,4),RANDBETWEEN(2,7))</f>
        <v>4</v>
      </c>
      <c r="O491" s="61">
        <f>IF(COUNTIF($A$2:A491,A491)=1,SUMIFS(tblSales[Revenue],tblSales[Order ID],tblSales[[#This Row],[Order ID]]),"")</f>
        <v>189</v>
      </c>
      <c r="P491" t="str">
        <f>TEXT(tblSales[[#This Row],[Date]],"ddd")</f>
        <v>Wed</v>
      </c>
      <c r="Q491">
        <f>1/COUNTIF(tblSales[Order ID],tblSales[[#This Row],[Order ID]])</f>
        <v>1</v>
      </c>
    </row>
    <row r="492" spans="1:17" x14ac:dyDescent="0.3">
      <c r="A492">
        <v>202102</v>
      </c>
      <c r="B492" s="15">
        <v>45486</v>
      </c>
      <c r="C492">
        <v>107197</v>
      </c>
      <c r="D492">
        <v>200549</v>
      </c>
      <c r="E492" t="s">
        <v>1043</v>
      </c>
      <c r="F492" t="s">
        <v>1042</v>
      </c>
      <c r="G492">
        <v>1</v>
      </c>
      <c r="H492" s="59">
        <v>18.989999999999998</v>
      </c>
      <c r="I492" t="s">
        <v>120</v>
      </c>
      <c r="J492" t="s">
        <v>1047</v>
      </c>
      <c r="K492" s="60">
        <v>0.1</v>
      </c>
      <c r="L492" s="59">
        <v>1.899</v>
      </c>
      <c r="M492" s="61">
        <v>17.090999999999998</v>
      </c>
      <c r="N492">
        <f ca="1">IF(LEFT(tblSales[[#This Row],[Category]],1)="A",RANDBETWEEN(1,4),RANDBETWEEN(2,7))</f>
        <v>4</v>
      </c>
      <c r="O492" s="61">
        <f>IF(COUNTIF($A$2:A492,A492)=1,SUMIFS(tblSales[Revenue],tblSales[Order ID],tblSales[[#This Row],[Order ID]]),"")</f>
        <v>1211.364</v>
      </c>
      <c r="P492" t="str">
        <f>TEXT(tblSales[[#This Row],[Date]],"ddd")</f>
        <v>Sat</v>
      </c>
      <c r="Q492">
        <f>1/COUNTIF(tblSales[Order ID],tblSales[[#This Row],[Order ID]])</f>
        <v>0.2</v>
      </c>
    </row>
    <row r="493" spans="1:17" x14ac:dyDescent="0.3">
      <c r="A493">
        <v>202102</v>
      </c>
      <c r="B493" s="15">
        <v>45486</v>
      </c>
      <c r="C493">
        <v>107197</v>
      </c>
      <c r="D493">
        <v>100252</v>
      </c>
      <c r="E493" t="s">
        <v>1046</v>
      </c>
      <c r="F493" t="s">
        <v>158</v>
      </c>
      <c r="G493">
        <v>1</v>
      </c>
      <c r="H493" s="59">
        <v>449</v>
      </c>
      <c r="I493" t="s">
        <v>120</v>
      </c>
      <c r="J493" t="s">
        <v>1047</v>
      </c>
      <c r="K493" s="60">
        <v>0.1</v>
      </c>
      <c r="L493" s="59">
        <v>44.900000000000006</v>
      </c>
      <c r="M493" s="61">
        <v>404.1</v>
      </c>
      <c r="N493">
        <f ca="1">IF(LEFT(tblSales[[#This Row],[Category]],1)="A",RANDBETWEEN(1,4),RANDBETWEEN(2,7))</f>
        <v>3</v>
      </c>
      <c r="O493" s="61" t="str">
        <f>IF(COUNTIF($A$2:A493,A493)=1,SUMIFS(tblSales[Revenue],tblSales[Order ID],tblSales[[#This Row],[Order ID]]),"")</f>
        <v/>
      </c>
      <c r="P493" t="str">
        <f>TEXT(tblSales[[#This Row],[Date]],"ddd")</f>
        <v>Sat</v>
      </c>
      <c r="Q493">
        <f>1/COUNTIF(tblSales[Order ID],tblSales[[#This Row],[Order ID]])</f>
        <v>0.2</v>
      </c>
    </row>
    <row r="494" spans="1:17" x14ac:dyDescent="0.3">
      <c r="A494">
        <v>202102</v>
      </c>
      <c r="B494" s="15">
        <v>45486</v>
      </c>
      <c r="C494">
        <v>107197</v>
      </c>
      <c r="D494">
        <v>100254</v>
      </c>
      <c r="E494" t="s">
        <v>1046</v>
      </c>
      <c r="F494" t="s">
        <v>164</v>
      </c>
      <c r="G494">
        <v>1</v>
      </c>
      <c r="H494" s="59">
        <v>799</v>
      </c>
      <c r="I494" t="s">
        <v>120</v>
      </c>
      <c r="J494" t="s">
        <v>1047</v>
      </c>
      <c r="K494" s="60">
        <v>0.1</v>
      </c>
      <c r="L494" s="59">
        <v>79.900000000000006</v>
      </c>
      <c r="M494" s="61">
        <v>719.1</v>
      </c>
      <c r="N494">
        <f ca="1">IF(LEFT(tblSales[[#This Row],[Category]],1)="A",RANDBETWEEN(1,4),RANDBETWEEN(2,7))</f>
        <v>5</v>
      </c>
      <c r="O494" s="61" t="str">
        <f>IF(COUNTIF($A$2:A494,A494)=1,SUMIFS(tblSales[Revenue],tblSales[Order ID],tblSales[[#This Row],[Order ID]]),"")</f>
        <v/>
      </c>
      <c r="P494" t="str">
        <f>TEXT(tblSales[[#This Row],[Date]],"ddd")</f>
        <v>Sat</v>
      </c>
      <c r="Q494">
        <f>1/COUNTIF(tblSales[Order ID],tblSales[[#This Row],[Order ID]])</f>
        <v>0.2</v>
      </c>
    </row>
    <row r="495" spans="1:17" x14ac:dyDescent="0.3">
      <c r="A495">
        <v>202102</v>
      </c>
      <c r="B495" s="15">
        <v>45486</v>
      </c>
      <c r="C495">
        <v>107197</v>
      </c>
      <c r="D495">
        <v>200549</v>
      </c>
      <c r="E495" t="s">
        <v>1043</v>
      </c>
      <c r="F495" t="s">
        <v>1042</v>
      </c>
      <c r="G495">
        <v>1</v>
      </c>
      <c r="H495" s="59">
        <v>18.989999999999998</v>
      </c>
      <c r="I495" t="s">
        <v>120</v>
      </c>
      <c r="J495" t="s">
        <v>1047</v>
      </c>
      <c r="K495" s="60">
        <v>0.1</v>
      </c>
      <c r="L495" s="59">
        <v>1.899</v>
      </c>
      <c r="M495" s="61">
        <v>17.090999999999998</v>
      </c>
      <c r="N495">
        <f ca="1">IF(LEFT(tblSales[[#This Row],[Category]],1)="A",RANDBETWEEN(1,4),RANDBETWEEN(2,7))</f>
        <v>1</v>
      </c>
      <c r="O495" s="61" t="str">
        <f>IF(COUNTIF($A$2:A495,A495)=1,SUMIFS(tblSales[Revenue],tblSales[Order ID],tblSales[[#This Row],[Order ID]]),"")</f>
        <v/>
      </c>
      <c r="P495" t="str">
        <f>TEXT(tblSales[[#This Row],[Date]],"ddd")</f>
        <v>Sat</v>
      </c>
      <c r="Q495">
        <f>1/COUNTIF(tblSales[Order ID],tblSales[[#This Row],[Order ID]])</f>
        <v>0.2</v>
      </c>
    </row>
    <row r="496" spans="1:17" x14ac:dyDescent="0.3">
      <c r="A496">
        <v>202102</v>
      </c>
      <c r="B496" s="15">
        <v>45486</v>
      </c>
      <c r="C496">
        <v>107197</v>
      </c>
      <c r="D496">
        <v>300185</v>
      </c>
      <c r="E496" t="s">
        <v>1040</v>
      </c>
      <c r="F496" t="s">
        <v>1049</v>
      </c>
      <c r="G496">
        <v>2</v>
      </c>
      <c r="H496" s="59">
        <v>29.99</v>
      </c>
      <c r="I496" t="s">
        <v>120</v>
      </c>
      <c r="J496" t="s">
        <v>1047</v>
      </c>
      <c r="K496" s="60">
        <v>0.1</v>
      </c>
      <c r="L496" s="59">
        <v>5.9980000000000002</v>
      </c>
      <c r="M496" s="61">
        <v>53.981999999999999</v>
      </c>
      <c r="N496">
        <f ca="1">IF(LEFT(tblSales[[#This Row],[Category]],1)="A",RANDBETWEEN(1,4),RANDBETWEEN(2,7))</f>
        <v>3</v>
      </c>
      <c r="O496" s="61" t="str">
        <f>IF(COUNTIF($A$2:A496,A496)=1,SUMIFS(tblSales[Revenue],tblSales[Order ID],tblSales[[#This Row],[Order ID]]),"")</f>
        <v/>
      </c>
      <c r="P496" t="str">
        <f>TEXT(tblSales[[#This Row],[Date]],"ddd")</f>
        <v>Sat</v>
      </c>
      <c r="Q496">
        <f>1/COUNTIF(tblSales[Order ID],tblSales[[#This Row],[Order ID]])</f>
        <v>0.2</v>
      </c>
    </row>
    <row r="497" spans="1:17" x14ac:dyDescent="0.3">
      <c r="A497">
        <v>202103</v>
      </c>
      <c r="B497" s="15">
        <v>45485</v>
      </c>
      <c r="C497">
        <v>118641</v>
      </c>
      <c r="D497">
        <v>200559</v>
      </c>
      <c r="E497" t="s">
        <v>1043</v>
      </c>
      <c r="F497" t="s">
        <v>1045</v>
      </c>
      <c r="G497">
        <v>1</v>
      </c>
      <c r="H497" s="59">
        <v>59.99</v>
      </c>
      <c r="I497" t="s">
        <v>1041</v>
      </c>
      <c r="J497" t="s">
        <v>14</v>
      </c>
      <c r="K497" s="60" t="s">
        <v>14</v>
      </c>
      <c r="L497" s="59">
        <v>0</v>
      </c>
      <c r="M497" s="61">
        <v>59.99</v>
      </c>
      <c r="N497">
        <f ca="1">IF(LEFT(tblSales[[#This Row],[Category]],1)="A",RANDBETWEEN(1,4),RANDBETWEEN(2,7))</f>
        <v>4</v>
      </c>
      <c r="O497" s="61">
        <f>IF(COUNTIF($A$2:A497,A497)=1,SUMIFS(tblSales[Revenue],tblSales[Order ID],tblSales[[#This Row],[Order ID]]),"")</f>
        <v>1890.97</v>
      </c>
      <c r="P497" t="str">
        <f>TEXT(tblSales[[#This Row],[Date]],"ddd")</f>
        <v>Fri</v>
      </c>
      <c r="Q497">
        <f>1/COUNTIF(tblSales[Order ID],tblSales[[#This Row],[Order ID]])</f>
        <v>0.25</v>
      </c>
    </row>
    <row r="498" spans="1:17" x14ac:dyDescent="0.3">
      <c r="A498">
        <v>202103</v>
      </c>
      <c r="B498" s="15">
        <v>45485</v>
      </c>
      <c r="C498">
        <v>118641</v>
      </c>
      <c r="D498">
        <v>100254</v>
      </c>
      <c r="E498" t="s">
        <v>1046</v>
      </c>
      <c r="F498" t="s">
        <v>164</v>
      </c>
      <c r="G498">
        <v>2</v>
      </c>
      <c r="H498" s="59">
        <v>799</v>
      </c>
      <c r="I498" t="s">
        <v>1041</v>
      </c>
      <c r="J498" t="s">
        <v>14</v>
      </c>
      <c r="K498" s="60" t="s">
        <v>14</v>
      </c>
      <c r="L498" s="59">
        <v>0</v>
      </c>
      <c r="M498" s="61">
        <v>1598</v>
      </c>
      <c r="N498">
        <f ca="1">IF(LEFT(tblSales[[#This Row],[Category]],1)="A",RANDBETWEEN(1,4),RANDBETWEEN(2,7))</f>
        <v>5</v>
      </c>
      <c r="O498" s="61" t="str">
        <f>IF(COUNTIF($A$2:A498,A498)=1,SUMIFS(tblSales[Revenue],tblSales[Order ID],tblSales[[#This Row],[Order ID]]),"")</f>
        <v/>
      </c>
      <c r="P498" t="str">
        <f>TEXT(tblSales[[#This Row],[Date]],"ddd")</f>
        <v>Fri</v>
      </c>
      <c r="Q498">
        <f>1/COUNTIF(tblSales[Order ID],tblSales[[#This Row],[Order ID]])</f>
        <v>0.25</v>
      </c>
    </row>
    <row r="499" spans="1:17" x14ac:dyDescent="0.3">
      <c r="A499">
        <v>202103</v>
      </c>
      <c r="B499" s="15">
        <v>45485</v>
      </c>
      <c r="C499">
        <v>118641</v>
      </c>
      <c r="D499">
        <v>100250</v>
      </c>
      <c r="E499" t="s">
        <v>1046</v>
      </c>
      <c r="F499" t="s">
        <v>202</v>
      </c>
      <c r="G499">
        <v>1</v>
      </c>
      <c r="H499" s="59">
        <v>189</v>
      </c>
      <c r="I499" t="s">
        <v>1041</v>
      </c>
      <c r="J499" t="s">
        <v>14</v>
      </c>
      <c r="K499" s="60" t="s">
        <v>14</v>
      </c>
      <c r="L499" s="59">
        <v>0</v>
      </c>
      <c r="M499" s="61">
        <v>189</v>
      </c>
      <c r="N499">
        <f ca="1">IF(LEFT(tblSales[[#This Row],[Category]],1)="A",RANDBETWEEN(1,4),RANDBETWEEN(2,7))</f>
        <v>4</v>
      </c>
      <c r="O499" s="61" t="str">
        <f>IF(COUNTIF($A$2:A499,A499)=1,SUMIFS(tblSales[Revenue],tblSales[Order ID],tblSales[[#This Row],[Order ID]]),"")</f>
        <v/>
      </c>
      <c r="P499" t="str">
        <f>TEXT(tblSales[[#This Row],[Date]],"ddd")</f>
        <v>Fri</v>
      </c>
      <c r="Q499">
        <f>1/COUNTIF(tblSales[Order ID],tblSales[[#This Row],[Order ID]])</f>
        <v>0.25</v>
      </c>
    </row>
    <row r="500" spans="1:17" x14ac:dyDescent="0.3">
      <c r="A500">
        <v>202103</v>
      </c>
      <c r="B500" s="15">
        <v>45485</v>
      </c>
      <c r="C500">
        <v>118641</v>
      </c>
      <c r="D500">
        <v>300191</v>
      </c>
      <c r="E500" t="s">
        <v>1040</v>
      </c>
      <c r="F500" t="s">
        <v>1051</v>
      </c>
      <c r="G500">
        <v>2</v>
      </c>
      <c r="H500" s="59">
        <v>21.99</v>
      </c>
      <c r="I500" t="s">
        <v>1041</v>
      </c>
      <c r="J500" t="s">
        <v>14</v>
      </c>
      <c r="K500" s="60" t="s">
        <v>14</v>
      </c>
      <c r="L500" s="59">
        <v>0</v>
      </c>
      <c r="M500" s="61">
        <v>43.98</v>
      </c>
      <c r="N500">
        <f ca="1">IF(LEFT(tblSales[[#This Row],[Category]],1)="A",RANDBETWEEN(1,4),RANDBETWEEN(2,7))</f>
        <v>4</v>
      </c>
      <c r="O500" s="61" t="str">
        <f>IF(COUNTIF($A$2:A500,A500)=1,SUMIFS(tblSales[Revenue],tblSales[Order ID],tblSales[[#This Row],[Order ID]]),"")</f>
        <v/>
      </c>
      <c r="P500" t="str">
        <f>TEXT(tblSales[[#This Row],[Date]],"ddd")</f>
        <v>Fri</v>
      </c>
      <c r="Q500">
        <f>1/COUNTIF(tblSales[Order ID],tblSales[[#This Row],[Order ID]])</f>
        <v>0.25</v>
      </c>
    </row>
    <row r="501" spans="1:17" x14ac:dyDescent="0.3">
      <c r="A501">
        <v>202104</v>
      </c>
      <c r="B501" s="15">
        <v>45485</v>
      </c>
      <c r="C501">
        <v>129955</v>
      </c>
      <c r="D501">
        <v>300191</v>
      </c>
      <c r="E501" t="s">
        <v>1040</v>
      </c>
      <c r="F501" t="s">
        <v>1051</v>
      </c>
      <c r="G501">
        <v>1</v>
      </c>
      <c r="H501" s="59">
        <v>21.99</v>
      </c>
      <c r="I501" t="s">
        <v>1041</v>
      </c>
      <c r="J501" t="s">
        <v>14</v>
      </c>
      <c r="K501" s="60" t="s">
        <v>14</v>
      </c>
      <c r="L501" s="59">
        <v>0</v>
      </c>
      <c r="M501" s="61">
        <v>21.99</v>
      </c>
      <c r="N501">
        <f ca="1">IF(LEFT(tblSales[[#This Row],[Category]],1)="A",RANDBETWEEN(1,4),RANDBETWEEN(2,7))</f>
        <v>2</v>
      </c>
      <c r="O501" s="61">
        <f>IF(COUNTIF($A$2:A501,A501)=1,SUMIFS(tblSales[Revenue],tblSales[Order ID],tblSales[[#This Row],[Order ID]]),"")</f>
        <v>101.97999999999999</v>
      </c>
      <c r="P501" t="str">
        <f>TEXT(tblSales[[#This Row],[Date]],"ddd")</f>
        <v>Fri</v>
      </c>
      <c r="Q501">
        <f>1/COUNTIF(tblSales[Order ID],tblSales[[#This Row],[Order ID]])</f>
        <v>0.5</v>
      </c>
    </row>
    <row r="502" spans="1:17" x14ac:dyDescent="0.3">
      <c r="A502">
        <v>202104</v>
      </c>
      <c r="B502" s="15">
        <v>45485</v>
      </c>
      <c r="C502">
        <v>129955</v>
      </c>
      <c r="D502">
        <v>200551</v>
      </c>
      <c r="E502" t="s">
        <v>1043</v>
      </c>
      <c r="F502" t="s">
        <v>1062</v>
      </c>
      <c r="G502">
        <v>1</v>
      </c>
      <c r="H502" s="59">
        <v>79.989999999999995</v>
      </c>
      <c r="I502" t="s">
        <v>1041</v>
      </c>
      <c r="J502" t="s">
        <v>14</v>
      </c>
      <c r="K502" s="60" t="s">
        <v>14</v>
      </c>
      <c r="L502" s="59">
        <v>0</v>
      </c>
      <c r="M502" s="61">
        <v>79.989999999999995</v>
      </c>
      <c r="N502">
        <f ca="1">IF(LEFT(tblSales[[#This Row],[Category]],1)="A",RANDBETWEEN(1,4),RANDBETWEEN(2,7))</f>
        <v>1</v>
      </c>
      <c r="O502" s="61" t="str">
        <f>IF(COUNTIF($A$2:A502,A502)=1,SUMIFS(tblSales[Revenue],tblSales[Order ID],tblSales[[#This Row],[Order ID]]),"")</f>
        <v/>
      </c>
      <c r="P502" t="str">
        <f>TEXT(tblSales[[#This Row],[Date]],"ddd")</f>
        <v>Fri</v>
      </c>
      <c r="Q502">
        <f>1/COUNTIF(tblSales[Order ID],tblSales[[#This Row],[Order ID]])</f>
        <v>0.5</v>
      </c>
    </row>
    <row r="503" spans="1:17" x14ac:dyDescent="0.3">
      <c r="A503">
        <v>202105</v>
      </c>
      <c r="B503" s="15">
        <v>45485</v>
      </c>
      <c r="C503">
        <v>102594</v>
      </c>
      <c r="D503">
        <v>200552</v>
      </c>
      <c r="E503" t="s">
        <v>1043</v>
      </c>
      <c r="F503" t="s">
        <v>1056</v>
      </c>
      <c r="G503">
        <v>1</v>
      </c>
      <c r="H503" s="59">
        <v>49.99</v>
      </c>
      <c r="I503" t="s">
        <v>1041</v>
      </c>
      <c r="J503" t="s">
        <v>14</v>
      </c>
      <c r="K503" s="60" t="s">
        <v>14</v>
      </c>
      <c r="L503" s="59">
        <v>0</v>
      </c>
      <c r="M503" s="61">
        <v>49.99</v>
      </c>
      <c r="N503">
        <f ca="1">IF(LEFT(tblSales[[#This Row],[Category]],1)="A",RANDBETWEEN(1,4),RANDBETWEEN(2,7))</f>
        <v>1</v>
      </c>
      <c r="O503" s="61">
        <f>IF(COUNTIF($A$2:A503,A503)=1,SUMIFS(tblSales[Revenue],tblSales[Order ID],tblSales[[#This Row],[Order ID]]),"")</f>
        <v>3494.9799999999996</v>
      </c>
      <c r="P503" t="str">
        <f>TEXT(tblSales[[#This Row],[Date]],"ddd")</f>
        <v>Fri</v>
      </c>
      <c r="Q503">
        <f>1/COUNTIF(tblSales[Order ID],tblSales[[#This Row],[Order ID]])</f>
        <v>0.25</v>
      </c>
    </row>
    <row r="504" spans="1:17" x14ac:dyDescent="0.3">
      <c r="A504">
        <v>202105</v>
      </c>
      <c r="B504" s="15">
        <v>45485</v>
      </c>
      <c r="C504">
        <v>102594</v>
      </c>
      <c r="D504">
        <v>100254</v>
      </c>
      <c r="E504" t="s">
        <v>1046</v>
      </c>
      <c r="F504" t="s">
        <v>164</v>
      </c>
      <c r="G504">
        <v>4</v>
      </c>
      <c r="H504" s="59">
        <v>799</v>
      </c>
      <c r="I504" t="s">
        <v>1041</v>
      </c>
      <c r="J504" t="s">
        <v>14</v>
      </c>
      <c r="K504" s="60" t="s">
        <v>14</v>
      </c>
      <c r="L504" s="59">
        <v>0</v>
      </c>
      <c r="M504" s="61">
        <v>3196</v>
      </c>
      <c r="N504">
        <f ca="1">IF(LEFT(tblSales[[#This Row],[Category]],1)="A",RANDBETWEEN(1,4),RANDBETWEEN(2,7))</f>
        <v>3</v>
      </c>
      <c r="O504" s="61" t="str">
        <f>IF(COUNTIF($A$2:A504,A504)=1,SUMIFS(tblSales[Revenue],tblSales[Order ID],tblSales[[#This Row],[Order ID]]),"")</f>
        <v/>
      </c>
      <c r="P504" t="str">
        <f>TEXT(tblSales[[#This Row],[Date]],"ddd")</f>
        <v>Fri</v>
      </c>
      <c r="Q504">
        <f>1/COUNTIF(tblSales[Order ID],tblSales[[#This Row],[Order ID]])</f>
        <v>0.25</v>
      </c>
    </row>
    <row r="505" spans="1:17" x14ac:dyDescent="0.3">
      <c r="A505">
        <v>202105</v>
      </c>
      <c r="B505" s="15">
        <v>45485</v>
      </c>
      <c r="C505">
        <v>102594</v>
      </c>
      <c r="D505">
        <v>200559</v>
      </c>
      <c r="E505" t="s">
        <v>1043</v>
      </c>
      <c r="F505" t="s">
        <v>1045</v>
      </c>
      <c r="G505">
        <v>1</v>
      </c>
      <c r="H505" s="59">
        <v>59.99</v>
      </c>
      <c r="I505" t="s">
        <v>1041</v>
      </c>
      <c r="J505" t="s">
        <v>14</v>
      </c>
      <c r="K505" s="60" t="s">
        <v>14</v>
      </c>
      <c r="L505" s="59">
        <v>0</v>
      </c>
      <c r="M505" s="61">
        <v>59.99</v>
      </c>
      <c r="N505">
        <f ca="1">IF(LEFT(tblSales[[#This Row],[Category]],1)="A",RANDBETWEEN(1,4),RANDBETWEEN(2,7))</f>
        <v>1</v>
      </c>
      <c r="O505" s="61" t="str">
        <f>IF(COUNTIF($A$2:A505,A505)=1,SUMIFS(tblSales[Revenue],tblSales[Order ID],tblSales[[#This Row],[Order ID]]),"")</f>
        <v/>
      </c>
      <c r="P505" t="str">
        <f>TEXT(tblSales[[#This Row],[Date]],"ddd")</f>
        <v>Fri</v>
      </c>
      <c r="Q505">
        <f>1/COUNTIF(tblSales[Order ID],tblSales[[#This Row],[Order ID]])</f>
        <v>0.25</v>
      </c>
    </row>
    <row r="506" spans="1:17" x14ac:dyDescent="0.3">
      <c r="A506">
        <v>202105</v>
      </c>
      <c r="B506" s="15">
        <v>45485</v>
      </c>
      <c r="C506">
        <v>102594</v>
      </c>
      <c r="D506">
        <v>100250</v>
      </c>
      <c r="E506" t="s">
        <v>1046</v>
      </c>
      <c r="F506" t="s">
        <v>202</v>
      </c>
      <c r="G506">
        <v>1</v>
      </c>
      <c r="H506" s="59">
        <v>189</v>
      </c>
      <c r="I506" t="s">
        <v>1041</v>
      </c>
      <c r="J506" t="s">
        <v>14</v>
      </c>
      <c r="K506" s="60" t="s">
        <v>14</v>
      </c>
      <c r="L506" s="59">
        <v>0</v>
      </c>
      <c r="M506" s="61">
        <v>189</v>
      </c>
      <c r="N506">
        <f ca="1">IF(LEFT(tblSales[[#This Row],[Category]],1)="A",RANDBETWEEN(1,4),RANDBETWEEN(2,7))</f>
        <v>5</v>
      </c>
      <c r="O506" s="61" t="str">
        <f>IF(COUNTIF($A$2:A506,A506)=1,SUMIFS(tblSales[Revenue],tblSales[Order ID],tblSales[[#This Row],[Order ID]]),"")</f>
        <v/>
      </c>
      <c r="P506" t="str">
        <f>TEXT(tblSales[[#This Row],[Date]],"ddd")</f>
        <v>Fri</v>
      </c>
      <c r="Q506">
        <f>1/COUNTIF(tblSales[Order ID],tblSales[[#This Row],[Order ID]])</f>
        <v>0.25</v>
      </c>
    </row>
    <row r="507" spans="1:17" x14ac:dyDescent="0.3">
      <c r="A507">
        <v>202106</v>
      </c>
      <c r="B507" s="15">
        <v>45489</v>
      </c>
      <c r="C507">
        <v>106698</v>
      </c>
      <c r="D507">
        <v>200559</v>
      </c>
      <c r="E507" t="s">
        <v>1043</v>
      </c>
      <c r="F507" t="s">
        <v>1062</v>
      </c>
      <c r="G507">
        <v>1</v>
      </c>
      <c r="H507" s="59">
        <v>79.989999999999995</v>
      </c>
      <c r="I507" t="s">
        <v>1041</v>
      </c>
      <c r="J507" t="s">
        <v>14</v>
      </c>
      <c r="K507" s="60" t="s">
        <v>14</v>
      </c>
      <c r="L507" s="59">
        <v>0</v>
      </c>
      <c r="M507" s="61">
        <v>59.99</v>
      </c>
      <c r="N507">
        <f ca="1">IF(LEFT(tblSales[[#This Row],[Category]],1)="A",RANDBETWEEN(1,4),RANDBETWEEN(2,7))</f>
        <v>2</v>
      </c>
      <c r="O507" s="61">
        <f>IF(COUNTIF($A$2:A507,A507)=1,SUMIFS(tblSales[Revenue],tblSales[Order ID],tblSales[[#This Row],[Order ID]]),"")</f>
        <v>839.96</v>
      </c>
      <c r="P507" t="str">
        <f>TEXT(tblSales[[#This Row],[Date]],"ddd")</f>
        <v>Tue</v>
      </c>
      <c r="Q507">
        <f>1/COUNTIF(tblSales[Order ID],tblSales[[#This Row],[Order ID]])</f>
        <v>0.2</v>
      </c>
    </row>
    <row r="508" spans="1:17" x14ac:dyDescent="0.3">
      <c r="A508">
        <v>202106</v>
      </c>
      <c r="B508" s="15">
        <v>45489</v>
      </c>
      <c r="C508">
        <v>106698</v>
      </c>
      <c r="D508">
        <v>100250</v>
      </c>
      <c r="E508" t="s">
        <v>1046</v>
      </c>
      <c r="F508" t="s">
        <v>202</v>
      </c>
      <c r="G508">
        <v>1</v>
      </c>
      <c r="H508" s="59">
        <v>189</v>
      </c>
      <c r="I508" t="s">
        <v>1041</v>
      </c>
      <c r="J508" t="s">
        <v>14</v>
      </c>
      <c r="K508" s="60" t="s">
        <v>14</v>
      </c>
      <c r="L508" s="59">
        <v>0</v>
      </c>
      <c r="M508" s="61">
        <v>189</v>
      </c>
      <c r="N508">
        <f ca="1">IF(LEFT(tblSales[[#This Row],[Category]],1)="A",RANDBETWEEN(1,4),RANDBETWEEN(2,7))</f>
        <v>6</v>
      </c>
      <c r="O508" s="61" t="str">
        <f>IF(COUNTIF($A$2:A508,A508)=1,SUMIFS(tblSales[Revenue],tblSales[Order ID],tblSales[[#This Row],[Order ID]]),"")</f>
        <v/>
      </c>
      <c r="P508" t="str">
        <f>TEXT(tblSales[[#This Row],[Date]],"ddd")</f>
        <v>Tue</v>
      </c>
      <c r="Q508">
        <f>1/COUNTIF(tblSales[Order ID],tblSales[[#This Row],[Order ID]])</f>
        <v>0.2</v>
      </c>
    </row>
    <row r="509" spans="1:17" x14ac:dyDescent="0.3">
      <c r="A509">
        <v>202106</v>
      </c>
      <c r="B509" s="15">
        <v>45489</v>
      </c>
      <c r="C509">
        <v>106698</v>
      </c>
      <c r="D509">
        <v>100252</v>
      </c>
      <c r="E509" t="s">
        <v>1046</v>
      </c>
      <c r="F509" t="s">
        <v>158</v>
      </c>
      <c r="G509">
        <v>1</v>
      </c>
      <c r="H509" s="59">
        <v>449</v>
      </c>
      <c r="I509" t="s">
        <v>1041</v>
      </c>
      <c r="J509" t="s">
        <v>14</v>
      </c>
      <c r="K509" s="60" t="s">
        <v>14</v>
      </c>
      <c r="L509" s="59">
        <v>0</v>
      </c>
      <c r="M509" s="61">
        <v>449</v>
      </c>
      <c r="N509">
        <f ca="1">IF(LEFT(tblSales[[#This Row],[Category]],1)="A",RANDBETWEEN(1,4),RANDBETWEEN(2,7))</f>
        <v>2</v>
      </c>
      <c r="O509" s="61" t="str">
        <f>IF(COUNTIF($A$2:A509,A509)=1,SUMIFS(tblSales[Revenue],tblSales[Order ID],tblSales[[#This Row],[Order ID]]),"")</f>
        <v/>
      </c>
      <c r="P509" t="str">
        <f>TEXT(tblSales[[#This Row],[Date]],"ddd")</f>
        <v>Tue</v>
      </c>
      <c r="Q509">
        <f>1/COUNTIF(tblSales[Order ID],tblSales[[#This Row],[Order ID]])</f>
        <v>0.2</v>
      </c>
    </row>
    <row r="510" spans="1:17" x14ac:dyDescent="0.3">
      <c r="A510">
        <v>202106</v>
      </c>
      <c r="B510" s="15">
        <v>45489</v>
      </c>
      <c r="C510">
        <v>106698</v>
      </c>
      <c r="D510">
        <v>200559</v>
      </c>
      <c r="E510" t="s">
        <v>1043</v>
      </c>
      <c r="F510" t="s">
        <v>1045</v>
      </c>
      <c r="G510">
        <v>2</v>
      </c>
      <c r="H510" s="59">
        <v>59.99</v>
      </c>
      <c r="I510" t="s">
        <v>1041</v>
      </c>
      <c r="J510" t="s">
        <v>14</v>
      </c>
      <c r="K510" s="60" t="s">
        <v>14</v>
      </c>
      <c r="L510" s="59">
        <v>0</v>
      </c>
      <c r="M510" s="61">
        <v>119.98</v>
      </c>
      <c r="N510">
        <f ca="1">IF(LEFT(tblSales[[#This Row],[Category]],1)="A",RANDBETWEEN(1,4),RANDBETWEEN(2,7))</f>
        <v>4</v>
      </c>
      <c r="O510" s="61" t="str">
        <f>IF(COUNTIF($A$2:A510,A510)=1,SUMIFS(tblSales[Revenue],tblSales[Order ID],tblSales[[#This Row],[Order ID]]),"")</f>
        <v/>
      </c>
      <c r="P510" t="str">
        <f>TEXT(tblSales[[#This Row],[Date]],"ddd")</f>
        <v>Tue</v>
      </c>
      <c r="Q510">
        <f>1/COUNTIF(tblSales[Order ID],tblSales[[#This Row],[Order ID]])</f>
        <v>0.2</v>
      </c>
    </row>
    <row r="511" spans="1:17" x14ac:dyDescent="0.3">
      <c r="A511">
        <v>202106</v>
      </c>
      <c r="B511" s="15">
        <v>45489</v>
      </c>
      <c r="C511">
        <v>106698</v>
      </c>
      <c r="D511">
        <v>300191</v>
      </c>
      <c r="E511" t="s">
        <v>1040</v>
      </c>
      <c r="F511" t="s">
        <v>1051</v>
      </c>
      <c r="G511">
        <v>1</v>
      </c>
      <c r="H511" s="59">
        <v>21.99</v>
      </c>
      <c r="I511" t="s">
        <v>1041</v>
      </c>
      <c r="J511" t="s">
        <v>14</v>
      </c>
      <c r="K511" s="60" t="s">
        <v>14</v>
      </c>
      <c r="L511" s="59">
        <v>0</v>
      </c>
      <c r="M511" s="61">
        <v>21.99</v>
      </c>
      <c r="N511">
        <f ca="1">IF(LEFT(tblSales[[#This Row],[Category]],1)="A",RANDBETWEEN(1,4),RANDBETWEEN(2,7))</f>
        <v>4</v>
      </c>
      <c r="O511" s="61" t="str">
        <f>IF(COUNTIF($A$2:A511,A511)=1,SUMIFS(tblSales[Revenue],tblSales[Order ID],tblSales[[#This Row],[Order ID]]),"")</f>
        <v/>
      </c>
      <c r="P511" t="str">
        <f>TEXT(tblSales[[#This Row],[Date]],"ddd")</f>
        <v>Tue</v>
      </c>
      <c r="Q511">
        <f>1/COUNTIF(tblSales[Order ID],tblSales[[#This Row],[Order ID]])</f>
        <v>0.2</v>
      </c>
    </row>
    <row r="512" spans="1:17" x14ac:dyDescent="0.3">
      <c r="A512">
        <v>202107</v>
      </c>
      <c r="B512" s="15">
        <v>45490</v>
      </c>
      <c r="C512">
        <v>117255</v>
      </c>
      <c r="D512">
        <v>300191</v>
      </c>
      <c r="E512" t="s">
        <v>1040</v>
      </c>
      <c r="F512" t="s">
        <v>1051</v>
      </c>
      <c r="G512">
        <v>1</v>
      </c>
      <c r="H512" s="59">
        <v>21.99</v>
      </c>
      <c r="I512" t="s">
        <v>1041</v>
      </c>
      <c r="J512" t="s">
        <v>14</v>
      </c>
      <c r="K512" s="60" t="s">
        <v>14</v>
      </c>
      <c r="L512" s="59">
        <v>0</v>
      </c>
      <c r="M512" s="61">
        <v>21.99</v>
      </c>
      <c r="N512">
        <f ca="1">IF(LEFT(tblSales[[#This Row],[Category]],1)="A",RANDBETWEEN(1,4),RANDBETWEEN(2,7))</f>
        <v>3</v>
      </c>
      <c r="O512" s="61">
        <f>IF(COUNTIF($A$2:A512,A512)=1,SUMIFS(tblSales[Revenue],tblSales[Order ID],tblSales[[#This Row],[Order ID]]),"")</f>
        <v>43.98</v>
      </c>
      <c r="P512" t="str">
        <f>TEXT(tblSales[[#This Row],[Date]],"ddd")</f>
        <v>Wed</v>
      </c>
      <c r="Q512">
        <f>1/COUNTIF(tblSales[Order ID],tblSales[[#This Row],[Order ID]])</f>
        <v>0.5</v>
      </c>
    </row>
    <row r="513" spans="1:17" x14ac:dyDescent="0.3">
      <c r="A513">
        <v>202107</v>
      </c>
      <c r="B513" s="15">
        <v>45490</v>
      </c>
      <c r="C513">
        <v>117255</v>
      </c>
      <c r="D513">
        <v>300191</v>
      </c>
      <c r="E513" t="s">
        <v>1040</v>
      </c>
      <c r="F513" t="s">
        <v>1051</v>
      </c>
      <c r="G513">
        <v>1</v>
      </c>
      <c r="H513" s="59">
        <v>21.99</v>
      </c>
      <c r="I513" t="s">
        <v>1041</v>
      </c>
      <c r="J513" t="s">
        <v>14</v>
      </c>
      <c r="K513" s="60" t="s">
        <v>14</v>
      </c>
      <c r="L513" s="59">
        <v>0</v>
      </c>
      <c r="M513" s="61">
        <v>21.99</v>
      </c>
      <c r="N513">
        <f ca="1">IF(LEFT(tblSales[[#This Row],[Category]],1)="A",RANDBETWEEN(1,4),RANDBETWEEN(2,7))</f>
        <v>3</v>
      </c>
      <c r="O513" s="61" t="str">
        <f>IF(COUNTIF($A$2:A513,A513)=1,SUMIFS(tblSales[Revenue],tblSales[Order ID],tblSales[[#This Row],[Order ID]]),"")</f>
        <v/>
      </c>
      <c r="P513" t="str">
        <f>TEXT(tblSales[[#This Row],[Date]],"ddd")</f>
        <v>Wed</v>
      </c>
      <c r="Q513">
        <f>1/COUNTIF(tblSales[Order ID],tblSales[[#This Row],[Order ID]])</f>
        <v>0.5</v>
      </c>
    </row>
    <row r="514" spans="1:17" x14ac:dyDescent="0.3">
      <c r="A514">
        <v>202108</v>
      </c>
      <c r="B514" s="15">
        <v>45485</v>
      </c>
      <c r="C514">
        <v>106835</v>
      </c>
      <c r="D514">
        <v>300187</v>
      </c>
      <c r="E514" t="s">
        <v>1040</v>
      </c>
      <c r="F514" t="s">
        <v>1058</v>
      </c>
      <c r="G514">
        <v>2</v>
      </c>
      <c r="H514" s="59">
        <v>54.99</v>
      </c>
      <c r="I514" t="s">
        <v>1041</v>
      </c>
      <c r="J514" t="s">
        <v>14</v>
      </c>
      <c r="K514" s="60" t="s">
        <v>14</v>
      </c>
      <c r="L514" s="59">
        <v>0</v>
      </c>
      <c r="M514" s="61">
        <v>109.98</v>
      </c>
      <c r="N514">
        <f ca="1">IF(LEFT(tblSales[[#This Row],[Category]],1)="A",RANDBETWEEN(1,4),RANDBETWEEN(2,7))</f>
        <v>4</v>
      </c>
      <c r="O514" s="61">
        <f>IF(COUNTIF($A$2:A514,A514)=1,SUMIFS(tblSales[Revenue],tblSales[Order ID],tblSales[[#This Row],[Order ID]]),"")</f>
        <v>109.98</v>
      </c>
      <c r="P514" t="str">
        <f>TEXT(tblSales[[#This Row],[Date]],"ddd")</f>
        <v>Fri</v>
      </c>
      <c r="Q514">
        <f>1/COUNTIF(tblSales[Order ID],tblSales[[#This Row],[Order ID]])</f>
        <v>1</v>
      </c>
    </row>
    <row r="515" spans="1:17" x14ac:dyDescent="0.3">
      <c r="A515">
        <v>202109</v>
      </c>
      <c r="B515" s="15">
        <v>45481</v>
      </c>
      <c r="C515">
        <v>111400</v>
      </c>
      <c r="D515">
        <v>300187</v>
      </c>
      <c r="E515" t="s">
        <v>1040</v>
      </c>
      <c r="F515" t="s">
        <v>1058</v>
      </c>
      <c r="G515">
        <v>4</v>
      </c>
      <c r="H515" s="59">
        <v>54.99</v>
      </c>
      <c r="I515" t="s">
        <v>1041</v>
      </c>
      <c r="J515" t="s">
        <v>14</v>
      </c>
      <c r="K515" s="60" t="s">
        <v>14</v>
      </c>
      <c r="L515" s="59">
        <v>0</v>
      </c>
      <c r="M515" s="61">
        <v>219.96</v>
      </c>
      <c r="N515">
        <f ca="1">IF(LEFT(tblSales[[#This Row],[Category]],1)="A",RANDBETWEEN(1,4),RANDBETWEEN(2,7))</f>
        <v>4</v>
      </c>
      <c r="O515" s="61">
        <f>IF(COUNTIF($A$2:A515,A515)=1,SUMIFS(tblSales[Revenue],tblSales[Order ID],tblSales[[#This Row],[Order ID]]),"")</f>
        <v>219.96</v>
      </c>
      <c r="P515" t="str">
        <f>TEXT(tblSales[[#This Row],[Date]],"ddd")</f>
        <v>Mon</v>
      </c>
      <c r="Q515">
        <f>1/COUNTIF(tblSales[Order ID],tblSales[[#This Row],[Order ID]])</f>
        <v>1</v>
      </c>
    </row>
    <row r="516" spans="1:17" x14ac:dyDescent="0.3">
      <c r="A516">
        <v>202110</v>
      </c>
      <c r="B516" s="15">
        <v>45483</v>
      </c>
      <c r="C516">
        <v>129141</v>
      </c>
      <c r="D516">
        <v>300191</v>
      </c>
      <c r="E516" t="s">
        <v>1040</v>
      </c>
      <c r="F516" t="s">
        <v>1051</v>
      </c>
      <c r="G516">
        <v>1</v>
      </c>
      <c r="H516" s="59">
        <v>21.99</v>
      </c>
      <c r="I516" t="s">
        <v>1041</v>
      </c>
      <c r="J516" t="s">
        <v>14</v>
      </c>
      <c r="K516" s="60" t="s">
        <v>14</v>
      </c>
      <c r="L516" s="59">
        <v>0</v>
      </c>
      <c r="M516" s="61">
        <v>21.99</v>
      </c>
      <c r="N516">
        <f ca="1">IF(LEFT(tblSales[[#This Row],[Category]],1)="A",RANDBETWEEN(1,4),RANDBETWEEN(2,7))</f>
        <v>2</v>
      </c>
      <c r="O516" s="61">
        <f>IF(COUNTIF($A$2:A516,A516)=1,SUMIFS(tblSales[Revenue],tblSales[Order ID],tblSales[[#This Row],[Order ID]]),"")</f>
        <v>21.99</v>
      </c>
      <c r="P516" t="str">
        <f>TEXT(tblSales[[#This Row],[Date]],"ddd")</f>
        <v>Wed</v>
      </c>
      <c r="Q516">
        <f>1/COUNTIF(tblSales[Order ID],tblSales[[#This Row],[Order ID]])</f>
        <v>1</v>
      </c>
    </row>
    <row r="517" spans="1:17" x14ac:dyDescent="0.3">
      <c r="A517">
        <v>202111</v>
      </c>
      <c r="B517" s="15">
        <v>45485</v>
      </c>
      <c r="C517">
        <v>123790</v>
      </c>
      <c r="D517">
        <v>100250</v>
      </c>
      <c r="E517" t="s">
        <v>1046</v>
      </c>
      <c r="F517" t="s">
        <v>202</v>
      </c>
      <c r="G517">
        <v>3</v>
      </c>
      <c r="H517" s="59">
        <v>189</v>
      </c>
      <c r="I517" t="s">
        <v>1041</v>
      </c>
      <c r="J517" t="s">
        <v>14</v>
      </c>
      <c r="K517" s="60" t="s">
        <v>14</v>
      </c>
      <c r="L517" s="59">
        <v>0</v>
      </c>
      <c r="M517" s="61">
        <v>567</v>
      </c>
      <c r="N517">
        <f ca="1">IF(LEFT(tblSales[[#This Row],[Category]],1)="A",RANDBETWEEN(1,4),RANDBETWEEN(2,7))</f>
        <v>2</v>
      </c>
      <c r="O517" s="61">
        <f>IF(COUNTIF($A$2:A517,A517)=1,SUMIFS(tblSales[Revenue],tblSales[Order ID],tblSales[[#This Row],[Order ID]]),"")</f>
        <v>761.96</v>
      </c>
      <c r="P517" t="str">
        <f>TEXT(tblSales[[#This Row],[Date]],"ddd")</f>
        <v>Fri</v>
      </c>
      <c r="Q517">
        <f>1/COUNTIF(tblSales[Order ID],tblSales[[#This Row],[Order ID]])</f>
        <v>0.2</v>
      </c>
    </row>
    <row r="518" spans="1:17" x14ac:dyDescent="0.3">
      <c r="A518">
        <v>202111</v>
      </c>
      <c r="B518" s="15">
        <v>45485</v>
      </c>
      <c r="C518">
        <v>123790</v>
      </c>
      <c r="D518">
        <v>300187</v>
      </c>
      <c r="E518" t="s">
        <v>1040</v>
      </c>
      <c r="F518" t="s">
        <v>1058</v>
      </c>
      <c r="G518">
        <v>1</v>
      </c>
      <c r="H518" s="59">
        <v>54.99</v>
      </c>
      <c r="I518" t="s">
        <v>1041</v>
      </c>
      <c r="J518" t="s">
        <v>14</v>
      </c>
      <c r="K518" s="60" t="s">
        <v>14</v>
      </c>
      <c r="L518" s="59">
        <v>0</v>
      </c>
      <c r="M518" s="61">
        <v>54.99</v>
      </c>
      <c r="N518">
        <f ca="1">IF(LEFT(tblSales[[#This Row],[Category]],1)="A",RANDBETWEEN(1,4),RANDBETWEEN(2,7))</f>
        <v>4</v>
      </c>
      <c r="O518" s="61" t="str">
        <f>IF(COUNTIF($A$2:A518,A518)=1,SUMIFS(tblSales[Revenue],tblSales[Order ID],tblSales[[#This Row],[Order ID]]),"")</f>
        <v/>
      </c>
      <c r="P518" t="str">
        <f>TEXT(tblSales[[#This Row],[Date]],"ddd")</f>
        <v>Fri</v>
      </c>
      <c r="Q518">
        <f>1/COUNTIF(tblSales[Order ID],tblSales[[#This Row],[Order ID]])</f>
        <v>0.2</v>
      </c>
    </row>
    <row r="519" spans="1:17" x14ac:dyDescent="0.3">
      <c r="A519">
        <v>202111</v>
      </c>
      <c r="B519" s="15">
        <v>45485</v>
      </c>
      <c r="C519">
        <v>123790</v>
      </c>
      <c r="D519">
        <v>200555</v>
      </c>
      <c r="E519" t="s">
        <v>1043</v>
      </c>
      <c r="F519" t="s">
        <v>1063</v>
      </c>
      <c r="G519">
        <v>1</v>
      </c>
      <c r="H519" s="59">
        <v>39.99</v>
      </c>
      <c r="I519" t="s">
        <v>1041</v>
      </c>
      <c r="J519" t="s">
        <v>14</v>
      </c>
      <c r="K519" s="60" t="s">
        <v>14</v>
      </c>
      <c r="L519" s="59">
        <v>0</v>
      </c>
      <c r="M519" s="61">
        <v>39.99</v>
      </c>
      <c r="N519">
        <f ca="1">IF(LEFT(tblSales[[#This Row],[Category]],1)="A",RANDBETWEEN(1,4),RANDBETWEEN(2,7))</f>
        <v>1</v>
      </c>
      <c r="O519" s="61" t="str">
        <f>IF(COUNTIF($A$2:A519,A519)=1,SUMIFS(tblSales[Revenue],tblSales[Order ID],tblSales[[#This Row],[Order ID]]),"")</f>
        <v/>
      </c>
      <c r="P519" t="str">
        <f>TEXT(tblSales[[#This Row],[Date]],"ddd")</f>
        <v>Fri</v>
      </c>
      <c r="Q519">
        <f>1/COUNTIF(tblSales[Order ID],tblSales[[#This Row],[Order ID]])</f>
        <v>0.2</v>
      </c>
    </row>
    <row r="520" spans="1:17" x14ac:dyDescent="0.3">
      <c r="A520">
        <v>202111</v>
      </c>
      <c r="B520" s="15">
        <v>45485</v>
      </c>
      <c r="C520">
        <v>123790</v>
      </c>
      <c r="D520">
        <v>200555</v>
      </c>
      <c r="E520" t="s">
        <v>1043</v>
      </c>
      <c r="F520" t="s">
        <v>1063</v>
      </c>
      <c r="G520">
        <v>1</v>
      </c>
      <c r="H520" s="59">
        <v>39.99</v>
      </c>
      <c r="I520" t="s">
        <v>1041</v>
      </c>
      <c r="J520" t="s">
        <v>14</v>
      </c>
      <c r="K520" s="60" t="s">
        <v>14</v>
      </c>
      <c r="L520" s="59">
        <v>0</v>
      </c>
      <c r="M520" s="61">
        <v>39.99</v>
      </c>
      <c r="N520">
        <f ca="1">IF(LEFT(tblSales[[#This Row],[Category]],1)="A",RANDBETWEEN(1,4),RANDBETWEEN(2,7))</f>
        <v>2</v>
      </c>
      <c r="O520" s="61" t="str">
        <f>IF(COUNTIF($A$2:A520,A520)=1,SUMIFS(tblSales[Revenue],tblSales[Order ID],tblSales[[#This Row],[Order ID]]),"")</f>
        <v/>
      </c>
      <c r="P520" t="str">
        <f>TEXT(tblSales[[#This Row],[Date]],"ddd")</f>
        <v>Fri</v>
      </c>
      <c r="Q520">
        <f>1/COUNTIF(tblSales[Order ID],tblSales[[#This Row],[Order ID]])</f>
        <v>0.2</v>
      </c>
    </row>
    <row r="521" spans="1:17" x14ac:dyDescent="0.3">
      <c r="A521">
        <v>202111</v>
      </c>
      <c r="B521" s="15">
        <v>45485</v>
      </c>
      <c r="C521">
        <v>123790</v>
      </c>
      <c r="D521">
        <v>200559</v>
      </c>
      <c r="E521" t="s">
        <v>1043</v>
      </c>
      <c r="F521" t="s">
        <v>1045</v>
      </c>
      <c r="G521">
        <v>1</v>
      </c>
      <c r="H521" s="59">
        <v>59.99</v>
      </c>
      <c r="I521" t="s">
        <v>1041</v>
      </c>
      <c r="J521" t="s">
        <v>14</v>
      </c>
      <c r="K521" s="60" t="s">
        <v>14</v>
      </c>
      <c r="L521" s="59">
        <v>0</v>
      </c>
      <c r="M521" s="61">
        <v>59.99</v>
      </c>
      <c r="N521">
        <f ca="1">IF(LEFT(tblSales[[#This Row],[Category]],1)="A",RANDBETWEEN(1,4),RANDBETWEEN(2,7))</f>
        <v>3</v>
      </c>
      <c r="O521" s="61" t="str">
        <f>IF(COUNTIF($A$2:A521,A521)=1,SUMIFS(tblSales[Revenue],tblSales[Order ID],tblSales[[#This Row],[Order ID]]),"")</f>
        <v/>
      </c>
      <c r="P521" t="str">
        <f>TEXT(tblSales[[#This Row],[Date]],"ddd")</f>
        <v>Fri</v>
      </c>
      <c r="Q521">
        <f>1/COUNTIF(tblSales[Order ID],tblSales[[#This Row],[Order ID]])</f>
        <v>0.2</v>
      </c>
    </row>
    <row r="522" spans="1:17" x14ac:dyDescent="0.3">
      <c r="A522">
        <v>202112</v>
      </c>
      <c r="B522" s="15">
        <v>45489</v>
      </c>
      <c r="C522">
        <v>127446</v>
      </c>
      <c r="D522">
        <v>200549</v>
      </c>
      <c r="E522" t="s">
        <v>1043</v>
      </c>
      <c r="F522" t="s">
        <v>1042</v>
      </c>
      <c r="G522">
        <v>1</v>
      </c>
      <c r="H522" s="59">
        <v>18.989999999999998</v>
      </c>
      <c r="I522" t="s">
        <v>1041</v>
      </c>
      <c r="J522" t="s">
        <v>14</v>
      </c>
      <c r="K522" s="60" t="s">
        <v>14</v>
      </c>
      <c r="L522" s="59">
        <v>0</v>
      </c>
      <c r="M522" s="61">
        <v>18.989999999999998</v>
      </c>
      <c r="N522">
        <f ca="1">IF(LEFT(tblSales[[#This Row],[Category]],1)="A",RANDBETWEEN(1,4),RANDBETWEEN(2,7))</f>
        <v>4</v>
      </c>
      <c r="O522" s="61">
        <f>IF(COUNTIF($A$2:A522,A522)=1,SUMIFS(tblSales[Revenue],tblSales[Order ID],tblSales[[#This Row],[Order ID]]),"")</f>
        <v>1646.98</v>
      </c>
      <c r="P522" t="str">
        <f>TEXT(tblSales[[#This Row],[Date]],"ddd")</f>
        <v>Tue</v>
      </c>
      <c r="Q522">
        <f>1/COUNTIF(tblSales[Order ID],tblSales[[#This Row],[Order ID]])</f>
        <v>0.33333333333333331</v>
      </c>
    </row>
    <row r="523" spans="1:17" x14ac:dyDescent="0.3">
      <c r="A523">
        <v>202112</v>
      </c>
      <c r="B523" s="15">
        <v>45489</v>
      </c>
      <c r="C523">
        <v>127446</v>
      </c>
      <c r="D523">
        <v>300185</v>
      </c>
      <c r="E523" t="s">
        <v>1040</v>
      </c>
      <c r="F523" t="s">
        <v>1049</v>
      </c>
      <c r="G523">
        <v>1</v>
      </c>
      <c r="H523" s="59">
        <v>29.99</v>
      </c>
      <c r="I523" t="s">
        <v>1041</v>
      </c>
      <c r="J523" t="s">
        <v>14</v>
      </c>
      <c r="K523" s="60" t="s">
        <v>14</v>
      </c>
      <c r="L523" s="59">
        <v>0</v>
      </c>
      <c r="M523" s="61">
        <v>29.99</v>
      </c>
      <c r="N523">
        <f ca="1">IF(LEFT(tblSales[[#This Row],[Category]],1)="A",RANDBETWEEN(1,4),RANDBETWEEN(2,7))</f>
        <v>4</v>
      </c>
      <c r="O523" s="61" t="str">
        <f>IF(COUNTIF($A$2:A523,A523)=1,SUMIFS(tblSales[Revenue],tblSales[Order ID],tblSales[[#This Row],[Order ID]]),"")</f>
        <v/>
      </c>
      <c r="P523" t="str">
        <f>TEXT(tblSales[[#This Row],[Date]],"ddd")</f>
        <v>Tue</v>
      </c>
      <c r="Q523">
        <f>1/COUNTIF(tblSales[Order ID],tblSales[[#This Row],[Order ID]])</f>
        <v>0.33333333333333331</v>
      </c>
    </row>
    <row r="524" spans="1:17" x14ac:dyDescent="0.3">
      <c r="A524">
        <v>202112</v>
      </c>
      <c r="B524" s="15">
        <v>45489</v>
      </c>
      <c r="C524">
        <v>127446</v>
      </c>
      <c r="D524">
        <v>100254</v>
      </c>
      <c r="E524" t="s">
        <v>1046</v>
      </c>
      <c r="F524" t="s">
        <v>164</v>
      </c>
      <c r="G524">
        <v>2</v>
      </c>
      <c r="H524" s="59">
        <v>799</v>
      </c>
      <c r="I524" t="s">
        <v>1041</v>
      </c>
      <c r="J524" t="s">
        <v>14</v>
      </c>
      <c r="K524" s="60" t="s">
        <v>14</v>
      </c>
      <c r="L524" s="59">
        <v>0</v>
      </c>
      <c r="M524" s="61">
        <v>1598</v>
      </c>
      <c r="N524">
        <f ca="1">IF(LEFT(tblSales[[#This Row],[Category]],1)="A",RANDBETWEEN(1,4),RANDBETWEEN(2,7))</f>
        <v>6</v>
      </c>
      <c r="O524" s="61" t="str">
        <f>IF(COUNTIF($A$2:A524,A524)=1,SUMIFS(tblSales[Revenue],tblSales[Order ID],tblSales[[#This Row],[Order ID]]),"")</f>
        <v/>
      </c>
      <c r="P524" t="str">
        <f>TEXT(tblSales[[#This Row],[Date]],"ddd")</f>
        <v>Tue</v>
      </c>
      <c r="Q524">
        <f>1/COUNTIF(tblSales[Order ID],tblSales[[#This Row],[Order ID]])</f>
        <v>0.33333333333333331</v>
      </c>
    </row>
    <row r="525" spans="1:17" x14ac:dyDescent="0.3">
      <c r="A525">
        <v>202113</v>
      </c>
      <c r="B525" s="15">
        <v>45484</v>
      </c>
      <c r="C525">
        <v>116184</v>
      </c>
      <c r="D525">
        <v>200549</v>
      </c>
      <c r="E525" t="s">
        <v>1043</v>
      </c>
      <c r="F525" t="s">
        <v>1042</v>
      </c>
      <c r="G525">
        <v>1</v>
      </c>
      <c r="H525" s="59">
        <v>18.989999999999998</v>
      </c>
      <c r="I525" t="s">
        <v>1041</v>
      </c>
      <c r="J525" t="s">
        <v>14</v>
      </c>
      <c r="K525" s="60" t="s">
        <v>14</v>
      </c>
      <c r="L525" s="59">
        <v>0</v>
      </c>
      <c r="M525" s="61">
        <v>18.989999999999998</v>
      </c>
      <c r="N525">
        <f ca="1">IF(LEFT(tblSales[[#This Row],[Category]],1)="A",RANDBETWEEN(1,4),RANDBETWEEN(2,7))</f>
        <v>4</v>
      </c>
      <c r="O525" s="61">
        <f>IF(COUNTIF($A$2:A525,A525)=1,SUMIFS(tblSales[Revenue],tblSales[Order ID],tblSales[[#This Row],[Order ID]]),"")</f>
        <v>37.979999999999997</v>
      </c>
      <c r="P525" t="str">
        <f>TEXT(tblSales[[#This Row],[Date]],"ddd")</f>
        <v>Thu</v>
      </c>
      <c r="Q525">
        <f>1/COUNTIF(tblSales[Order ID],tblSales[[#This Row],[Order ID]])</f>
        <v>0.5</v>
      </c>
    </row>
    <row r="526" spans="1:17" x14ac:dyDescent="0.3">
      <c r="A526">
        <v>202113</v>
      </c>
      <c r="B526" s="15">
        <v>45484</v>
      </c>
      <c r="C526">
        <v>116184</v>
      </c>
      <c r="D526">
        <v>200549</v>
      </c>
      <c r="E526" t="s">
        <v>1043</v>
      </c>
      <c r="F526" t="s">
        <v>1042</v>
      </c>
      <c r="G526">
        <v>1</v>
      </c>
      <c r="H526" s="59">
        <v>18.989999999999998</v>
      </c>
      <c r="I526" t="s">
        <v>1041</v>
      </c>
      <c r="J526" t="s">
        <v>14</v>
      </c>
      <c r="K526" s="60" t="s">
        <v>14</v>
      </c>
      <c r="L526" s="59">
        <v>0</v>
      </c>
      <c r="M526" s="61">
        <v>18.989999999999998</v>
      </c>
      <c r="N526">
        <f ca="1">IF(LEFT(tblSales[[#This Row],[Category]],1)="A",RANDBETWEEN(1,4),RANDBETWEEN(2,7))</f>
        <v>3</v>
      </c>
      <c r="O526" s="61" t="str">
        <f>IF(COUNTIF($A$2:A526,A526)=1,SUMIFS(tblSales[Revenue],tblSales[Order ID],tblSales[[#This Row],[Order ID]]),"")</f>
        <v/>
      </c>
      <c r="P526" t="str">
        <f>TEXT(tblSales[[#This Row],[Date]],"ddd")</f>
        <v>Thu</v>
      </c>
      <c r="Q526">
        <f>1/COUNTIF(tblSales[Order ID],tblSales[[#This Row],[Order ID]])</f>
        <v>0.5</v>
      </c>
    </row>
    <row r="527" spans="1:17" x14ac:dyDescent="0.3">
      <c r="A527">
        <v>202114</v>
      </c>
      <c r="B527" s="15">
        <v>45490</v>
      </c>
      <c r="C527">
        <v>130778</v>
      </c>
      <c r="D527">
        <v>200559</v>
      </c>
      <c r="E527" t="s">
        <v>1043</v>
      </c>
      <c r="F527" t="s">
        <v>1045</v>
      </c>
      <c r="G527">
        <v>2</v>
      </c>
      <c r="H527" s="59">
        <v>59.99</v>
      </c>
      <c r="I527" t="s">
        <v>1041</v>
      </c>
      <c r="J527" t="s">
        <v>14</v>
      </c>
      <c r="K527" s="60" t="s">
        <v>14</v>
      </c>
      <c r="L527" s="59">
        <v>0</v>
      </c>
      <c r="M527" s="61">
        <v>119.98</v>
      </c>
      <c r="N527">
        <f ca="1">IF(LEFT(tblSales[[#This Row],[Category]],1)="A",RANDBETWEEN(1,4),RANDBETWEEN(2,7))</f>
        <v>4</v>
      </c>
      <c r="O527" s="61">
        <f>IF(COUNTIF($A$2:A527,A527)=1,SUMIFS(tblSales[Revenue],tblSales[Order ID],tblSales[[#This Row],[Order ID]]),"")</f>
        <v>2251.92</v>
      </c>
      <c r="P527" t="str">
        <f>TEXT(tblSales[[#This Row],[Date]],"ddd")</f>
        <v>Wed</v>
      </c>
      <c r="Q527">
        <f>1/COUNTIF(tblSales[Order ID],tblSales[[#This Row],[Order ID]])</f>
        <v>0.25</v>
      </c>
    </row>
    <row r="528" spans="1:17" x14ac:dyDescent="0.3">
      <c r="A528">
        <v>202114</v>
      </c>
      <c r="B528" s="15">
        <v>45490</v>
      </c>
      <c r="C528">
        <v>130778</v>
      </c>
      <c r="D528">
        <v>200557</v>
      </c>
      <c r="E528" t="s">
        <v>1043</v>
      </c>
      <c r="F528" t="s">
        <v>1054</v>
      </c>
      <c r="G528">
        <v>2</v>
      </c>
      <c r="H528" s="59">
        <v>129.99</v>
      </c>
      <c r="I528" t="s">
        <v>1041</v>
      </c>
      <c r="J528" t="s">
        <v>14</v>
      </c>
      <c r="K528" s="60" t="s">
        <v>14</v>
      </c>
      <c r="L528" s="59">
        <v>0</v>
      </c>
      <c r="M528" s="61">
        <v>259.98</v>
      </c>
      <c r="N528">
        <f ca="1">IF(LEFT(tblSales[[#This Row],[Category]],1)="A",RANDBETWEEN(1,4),RANDBETWEEN(2,7))</f>
        <v>1</v>
      </c>
      <c r="O528" s="61" t="str">
        <f>IF(COUNTIF($A$2:A528,A528)=1,SUMIFS(tblSales[Revenue],tblSales[Order ID],tblSales[[#This Row],[Order ID]]),"")</f>
        <v/>
      </c>
      <c r="P528" t="str">
        <f>TEXT(tblSales[[#This Row],[Date]],"ddd")</f>
        <v>Wed</v>
      </c>
      <c r="Q528">
        <f>1/COUNTIF(tblSales[Order ID],tblSales[[#This Row],[Order ID]])</f>
        <v>0.25</v>
      </c>
    </row>
    <row r="529" spans="1:17" x14ac:dyDescent="0.3">
      <c r="A529">
        <v>202114</v>
      </c>
      <c r="B529" s="15">
        <v>45490</v>
      </c>
      <c r="C529">
        <v>130778</v>
      </c>
      <c r="D529">
        <v>100252</v>
      </c>
      <c r="E529" t="s">
        <v>1046</v>
      </c>
      <c r="F529" t="s">
        <v>158</v>
      </c>
      <c r="G529">
        <v>4</v>
      </c>
      <c r="H529" s="59">
        <v>449</v>
      </c>
      <c r="I529" t="s">
        <v>1041</v>
      </c>
      <c r="J529" t="s">
        <v>14</v>
      </c>
      <c r="K529" s="60" t="s">
        <v>14</v>
      </c>
      <c r="L529" s="59">
        <v>0</v>
      </c>
      <c r="M529" s="61">
        <v>1796</v>
      </c>
      <c r="N529">
        <f ca="1">IF(LEFT(tblSales[[#This Row],[Category]],1)="A",RANDBETWEEN(1,4),RANDBETWEEN(2,7))</f>
        <v>2</v>
      </c>
      <c r="O529" s="61" t="str">
        <f>IF(COUNTIF($A$2:A529,A529)=1,SUMIFS(tblSales[Revenue],tblSales[Order ID],tblSales[[#This Row],[Order ID]]),"")</f>
        <v/>
      </c>
      <c r="P529" t="str">
        <f>TEXT(tblSales[[#This Row],[Date]],"ddd")</f>
        <v>Wed</v>
      </c>
      <c r="Q529">
        <f>1/COUNTIF(tblSales[Order ID],tblSales[[#This Row],[Order ID]])</f>
        <v>0.25</v>
      </c>
    </row>
    <row r="530" spans="1:17" x14ac:dyDescent="0.3">
      <c r="A530">
        <v>202114</v>
      </c>
      <c r="B530" s="15">
        <v>45490</v>
      </c>
      <c r="C530">
        <v>130778</v>
      </c>
      <c r="D530">
        <v>200549</v>
      </c>
      <c r="E530" t="s">
        <v>1043</v>
      </c>
      <c r="F530" t="s">
        <v>1042</v>
      </c>
      <c r="G530">
        <v>4</v>
      </c>
      <c r="H530" s="59">
        <v>18.989999999999998</v>
      </c>
      <c r="I530" t="s">
        <v>1041</v>
      </c>
      <c r="J530" t="s">
        <v>14</v>
      </c>
      <c r="K530" s="60" t="s">
        <v>14</v>
      </c>
      <c r="L530" s="59">
        <v>0</v>
      </c>
      <c r="M530" s="61">
        <v>75.959999999999994</v>
      </c>
      <c r="N530">
        <f ca="1">IF(LEFT(tblSales[[#This Row],[Category]],1)="A",RANDBETWEEN(1,4),RANDBETWEEN(2,7))</f>
        <v>3</v>
      </c>
      <c r="O530" s="61" t="str">
        <f>IF(COUNTIF($A$2:A530,A530)=1,SUMIFS(tblSales[Revenue],tblSales[Order ID],tblSales[[#This Row],[Order ID]]),"")</f>
        <v/>
      </c>
      <c r="P530" t="str">
        <f>TEXT(tblSales[[#This Row],[Date]],"ddd")</f>
        <v>Wed</v>
      </c>
      <c r="Q530">
        <f>1/COUNTIF(tblSales[Order ID],tblSales[[#This Row],[Order ID]])</f>
        <v>0.25</v>
      </c>
    </row>
    <row r="531" spans="1:17" x14ac:dyDescent="0.3">
      <c r="A531">
        <v>202115</v>
      </c>
      <c r="B531" s="15">
        <v>45492</v>
      </c>
      <c r="C531">
        <v>121702</v>
      </c>
      <c r="D531">
        <v>300191</v>
      </c>
      <c r="E531" t="s">
        <v>1040</v>
      </c>
      <c r="F531" t="s">
        <v>1051</v>
      </c>
      <c r="G531">
        <v>1</v>
      </c>
      <c r="H531" s="59">
        <v>21.99</v>
      </c>
      <c r="I531" t="s">
        <v>1041</v>
      </c>
      <c r="J531" t="s">
        <v>14</v>
      </c>
      <c r="K531" s="60" t="s">
        <v>14</v>
      </c>
      <c r="L531" s="59">
        <v>0</v>
      </c>
      <c r="M531" s="61">
        <v>21.99</v>
      </c>
      <c r="N531">
        <f ca="1">IF(LEFT(tblSales[[#This Row],[Category]],1)="A",RANDBETWEEN(1,4),RANDBETWEEN(2,7))</f>
        <v>1</v>
      </c>
      <c r="O531" s="61">
        <f>IF(COUNTIF($A$2:A531,A531)=1,SUMIFS(tblSales[Revenue],tblSales[Order ID],tblSales[[#This Row],[Order ID]]),"")</f>
        <v>21.99</v>
      </c>
      <c r="P531" t="str">
        <f>TEXT(tblSales[[#This Row],[Date]],"ddd")</f>
        <v>Fri</v>
      </c>
      <c r="Q531">
        <f>1/COUNTIF(tblSales[Order ID],tblSales[[#This Row],[Order ID]])</f>
        <v>1</v>
      </c>
    </row>
    <row r="532" spans="1:17" x14ac:dyDescent="0.3">
      <c r="A532">
        <v>202116</v>
      </c>
      <c r="B532" s="15">
        <v>45483</v>
      </c>
      <c r="C532">
        <v>106587</v>
      </c>
      <c r="D532">
        <v>100253</v>
      </c>
      <c r="E532" t="s">
        <v>1046</v>
      </c>
      <c r="F532" t="s">
        <v>192</v>
      </c>
      <c r="G532">
        <v>1</v>
      </c>
      <c r="H532" s="59">
        <v>279</v>
      </c>
      <c r="I532" t="s">
        <v>1041</v>
      </c>
      <c r="J532" t="s">
        <v>14</v>
      </c>
      <c r="K532" s="60" t="s">
        <v>14</v>
      </c>
      <c r="L532" s="59">
        <v>0</v>
      </c>
      <c r="M532" s="61">
        <v>279</v>
      </c>
      <c r="N532">
        <f ca="1">IF(LEFT(tblSales[[#This Row],[Category]],1)="A",RANDBETWEEN(1,4),RANDBETWEEN(2,7))</f>
        <v>6</v>
      </c>
      <c r="O532" s="61">
        <f>IF(COUNTIF($A$2:A532,A532)=1,SUMIFS(tblSales[Revenue],tblSales[Order ID],tblSales[[#This Row],[Order ID]]),"")</f>
        <v>297.99</v>
      </c>
      <c r="P532" t="str">
        <f>TEXT(tblSales[[#This Row],[Date]],"ddd")</f>
        <v>Wed</v>
      </c>
      <c r="Q532">
        <f>1/COUNTIF(tblSales[Order ID],tblSales[[#This Row],[Order ID]])</f>
        <v>0.5</v>
      </c>
    </row>
    <row r="533" spans="1:17" x14ac:dyDescent="0.3">
      <c r="A533">
        <v>202116</v>
      </c>
      <c r="B533" s="15">
        <v>45483</v>
      </c>
      <c r="C533">
        <v>106587</v>
      </c>
      <c r="D533">
        <v>200549</v>
      </c>
      <c r="E533" t="s">
        <v>1043</v>
      </c>
      <c r="F533" t="s">
        <v>1042</v>
      </c>
      <c r="G533">
        <v>1</v>
      </c>
      <c r="H533" s="59">
        <v>18.989999999999998</v>
      </c>
      <c r="I533" t="s">
        <v>1041</v>
      </c>
      <c r="J533" t="s">
        <v>14</v>
      </c>
      <c r="K533" s="60" t="s">
        <v>14</v>
      </c>
      <c r="L533" s="59">
        <v>0</v>
      </c>
      <c r="M533" s="61">
        <v>18.989999999999998</v>
      </c>
      <c r="N533">
        <f ca="1">IF(LEFT(tblSales[[#This Row],[Category]],1)="A",RANDBETWEEN(1,4),RANDBETWEEN(2,7))</f>
        <v>4</v>
      </c>
      <c r="O533" s="61" t="str">
        <f>IF(COUNTIF($A$2:A533,A533)=1,SUMIFS(tblSales[Revenue],tblSales[Order ID],tblSales[[#This Row],[Order ID]]),"")</f>
        <v/>
      </c>
      <c r="P533" t="str">
        <f>TEXT(tblSales[[#This Row],[Date]],"ddd")</f>
        <v>Wed</v>
      </c>
      <c r="Q533">
        <f>1/COUNTIF(tblSales[Order ID],tblSales[[#This Row],[Order ID]])</f>
        <v>0.5</v>
      </c>
    </row>
    <row r="534" spans="1:17" x14ac:dyDescent="0.3">
      <c r="A534">
        <v>202117</v>
      </c>
      <c r="B534" s="15">
        <v>45490</v>
      </c>
      <c r="C534">
        <v>111590</v>
      </c>
      <c r="D534">
        <v>300191</v>
      </c>
      <c r="E534" t="s">
        <v>1040</v>
      </c>
      <c r="F534" t="s">
        <v>1051</v>
      </c>
      <c r="G534">
        <v>1</v>
      </c>
      <c r="H534" s="59">
        <v>21.99</v>
      </c>
      <c r="I534" t="s">
        <v>1041</v>
      </c>
      <c r="J534" t="s">
        <v>14</v>
      </c>
      <c r="K534" s="60" t="s">
        <v>14</v>
      </c>
      <c r="L534" s="59">
        <v>0</v>
      </c>
      <c r="M534" s="61">
        <v>21.99</v>
      </c>
      <c r="N534">
        <f ca="1">IF(LEFT(tblSales[[#This Row],[Category]],1)="A",RANDBETWEEN(1,4),RANDBETWEEN(2,7))</f>
        <v>3</v>
      </c>
      <c r="O534" s="61">
        <f>IF(COUNTIF($A$2:A534,A534)=1,SUMIFS(tblSales[Revenue],tblSales[Order ID],tblSales[[#This Row],[Order ID]]),"")</f>
        <v>2303.87</v>
      </c>
      <c r="P534" t="str">
        <f>TEXT(tblSales[[#This Row],[Date]],"ddd")</f>
        <v>Wed</v>
      </c>
      <c r="Q534">
        <f>1/COUNTIF(tblSales[Order ID],tblSales[[#This Row],[Order ID]])</f>
        <v>0.16666666666666666</v>
      </c>
    </row>
    <row r="535" spans="1:17" x14ac:dyDescent="0.3">
      <c r="A535">
        <v>202117</v>
      </c>
      <c r="B535" s="15">
        <v>45490</v>
      </c>
      <c r="C535">
        <v>111590</v>
      </c>
      <c r="D535">
        <v>200549</v>
      </c>
      <c r="E535" t="s">
        <v>1043</v>
      </c>
      <c r="F535" t="s">
        <v>1042</v>
      </c>
      <c r="G535">
        <v>4</v>
      </c>
      <c r="H535" s="59">
        <v>18.989999999999998</v>
      </c>
      <c r="I535" t="s">
        <v>1041</v>
      </c>
      <c r="J535" t="s">
        <v>14</v>
      </c>
      <c r="K535" s="60" t="s">
        <v>14</v>
      </c>
      <c r="L535" s="59">
        <v>0</v>
      </c>
      <c r="M535" s="61">
        <v>75.959999999999994</v>
      </c>
      <c r="N535">
        <f ca="1">IF(LEFT(tblSales[[#This Row],[Category]],1)="A",RANDBETWEEN(1,4),RANDBETWEEN(2,7))</f>
        <v>2</v>
      </c>
      <c r="O535" s="61" t="str">
        <f>IF(COUNTIF($A$2:A535,A535)=1,SUMIFS(tblSales[Revenue],tblSales[Order ID],tblSales[[#This Row],[Order ID]]),"")</f>
        <v/>
      </c>
      <c r="P535" t="str">
        <f>TEXT(tblSales[[#This Row],[Date]],"ddd")</f>
        <v>Wed</v>
      </c>
      <c r="Q535">
        <f>1/COUNTIF(tblSales[Order ID],tblSales[[#This Row],[Order ID]])</f>
        <v>0.16666666666666666</v>
      </c>
    </row>
    <row r="536" spans="1:17" x14ac:dyDescent="0.3">
      <c r="A536">
        <v>202117</v>
      </c>
      <c r="B536" s="15">
        <v>45490</v>
      </c>
      <c r="C536">
        <v>111590</v>
      </c>
      <c r="D536">
        <v>200556</v>
      </c>
      <c r="E536" t="s">
        <v>1043</v>
      </c>
      <c r="F536" t="s">
        <v>1044</v>
      </c>
      <c r="G536">
        <v>4</v>
      </c>
      <c r="H536" s="59">
        <v>64.989999999999995</v>
      </c>
      <c r="I536" t="s">
        <v>1041</v>
      </c>
      <c r="J536" t="s">
        <v>14</v>
      </c>
      <c r="K536" s="60" t="s">
        <v>14</v>
      </c>
      <c r="L536" s="59">
        <v>0</v>
      </c>
      <c r="M536" s="61">
        <v>259.95999999999998</v>
      </c>
      <c r="N536">
        <f ca="1">IF(LEFT(tblSales[[#This Row],[Category]],1)="A",RANDBETWEEN(1,4),RANDBETWEEN(2,7))</f>
        <v>3</v>
      </c>
      <c r="O536" s="61" t="str">
        <f>IF(COUNTIF($A$2:A536,A536)=1,SUMIFS(tblSales[Revenue],tblSales[Order ID],tblSales[[#This Row],[Order ID]]),"")</f>
        <v/>
      </c>
      <c r="P536" t="str">
        <f>TEXT(tblSales[[#This Row],[Date]],"ddd")</f>
        <v>Wed</v>
      </c>
      <c r="Q536">
        <f>1/COUNTIF(tblSales[Order ID],tblSales[[#This Row],[Order ID]])</f>
        <v>0.16666666666666666</v>
      </c>
    </row>
    <row r="537" spans="1:17" x14ac:dyDescent="0.3">
      <c r="A537">
        <v>202117</v>
      </c>
      <c r="B537" s="15">
        <v>45490</v>
      </c>
      <c r="C537">
        <v>111590</v>
      </c>
      <c r="D537">
        <v>300185</v>
      </c>
      <c r="E537" t="s">
        <v>1040</v>
      </c>
      <c r="F537" t="s">
        <v>1049</v>
      </c>
      <c r="G537">
        <v>3</v>
      </c>
      <c r="H537" s="59">
        <v>29.99</v>
      </c>
      <c r="I537" t="s">
        <v>1041</v>
      </c>
      <c r="J537" t="s">
        <v>14</v>
      </c>
      <c r="K537" s="60" t="s">
        <v>14</v>
      </c>
      <c r="L537" s="59">
        <v>0</v>
      </c>
      <c r="M537" s="61">
        <v>89.97</v>
      </c>
      <c r="N537">
        <f ca="1">IF(LEFT(tblSales[[#This Row],[Category]],1)="A",RANDBETWEEN(1,4),RANDBETWEEN(2,7))</f>
        <v>1</v>
      </c>
      <c r="O537" s="61" t="str">
        <f>IF(COUNTIF($A$2:A537,A537)=1,SUMIFS(tblSales[Revenue],tblSales[Order ID],tblSales[[#This Row],[Order ID]]),"")</f>
        <v/>
      </c>
      <c r="P537" t="str">
        <f>TEXT(tblSales[[#This Row],[Date]],"ddd")</f>
        <v>Wed</v>
      </c>
      <c r="Q537">
        <f>1/COUNTIF(tblSales[Order ID],tblSales[[#This Row],[Order ID]])</f>
        <v>0.16666666666666666</v>
      </c>
    </row>
    <row r="538" spans="1:17" x14ac:dyDescent="0.3">
      <c r="A538">
        <v>202117</v>
      </c>
      <c r="B538" s="15">
        <v>45490</v>
      </c>
      <c r="C538">
        <v>111590</v>
      </c>
      <c r="D538">
        <v>200559</v>
      </c>
      <c r="E538" t="s">
        <v>1043</v>
      </c>
      <c r="F538" t="s">
        <v>1045</v>
      </c>
      <c r="G538">
        <v>1</v>
      </c>
      <c r="H538" s="59">
        <v>59.99</v>
      </c>
      <c r="I538" t="s">
        <v>1041</v>
      </c>
      <c r="J538" t="s">
        <v>14</v>
      </c>
      <c r="K538" s="60" t="s">
        <v>14</v>
      </c>
      <c r="L538" s="59">
        <v>0</v>
      </c>
      <c r="M538" s="61">
        <v>59.99</v>
      </c>
      <c r="N538">
        <f ca="1">IF(LEFT(tblSales[[#This Row],[Category]],1)="A",RANDBETWEEN(1,4),RANDBETWEEN(2,7))</f>
        <v>3</v>
      </c>
      <c r="O538" s="61" t="str">
        <f>IF(COUNTIF($A$2:A538,A538)=1,SUMIFS(tblSales[Revenue],tblSales[Order ID],tblSales[[#This Row],[Order ID]]),"")</f>
        <v/>
      </c>
      <c r="P538" t="str">
        <f>TEXT(tblSales[[#This Row],[Date]],"ddd")</f>
        <v>Wed</v>
      </c>
      <c r="Q538">
        <f>1/COUNTIF(tblSales[Order ID],tblSales[[#This Row],[Order ID]])</f>
        <v>0.16666666666666666</v>
      </c>
    </row>
    <row r="539" spans="1:17" x14ac:dyDescent="0.3">
      <c r="A539">
        <v>202117</v>
      </c>
      <c r="B539" s="15">
        <v>45490</v>
      </c>
      <c r="C539">
        <v>111590</v>
      </c>
      <c r="D539">
        <v>100252</v>
      </c>
      <c r="E539" t="s">
        <v>1046</v>
      </c>
      <c r="F539" t="s">
        <v>158</v>
      </c>
      <c r="G539">
        <v>4</v>
      </c>
      <c r="H539" s="59">
        <v>449</v>
      </c>
      <c r="I539" t="s">
        <v>1041</v>
      </c>
      <c r="J539" t="s">
        <v>14</v>
      </c>
      <c r="K539" s="60" t="s">
        <v>14</v>
      </c>
      <c r="L539" s="59">
        <v>0</v>
      </c>
      <c r="M539" s="61">
        <v>1796</v>
      </c>
      <c r="N539">
        <f ca="1">IF(LEFT(tblSales[[#This Row],[Category]],1)="A",RANDBETWEEN(1,4),RANDBETWEEN(2,7))</f>
        <v>5</v>
      </c>
      <c r="O539" s="61" t="str">
        <f>IF(COUNTIF($A$2:A539,A539)=1,SUMIFS(tblSales[Revenue],tblSales[Order ID],tblSales[[#This Row],[Order ID]]),"")</f>
        <v/>
      </c>
      <c r="P539" t="str">
        <f>TEXT(tblSales[[#This Row],[Date]],"ddd")</f>
        <v>Wed</v>
      </c>
      <c r="Q539">
        <f>1/COUNTIF(tblSales[Order ID],tblSales[[#This Row],[Order ID]])</f>
        <v>0.16666666666666666</v>
      </c>
    </row>
    <row r="540" spans="1:17" x14ac:dyDescent="0.3">
      <c r="A540">
        <v>202118</v>
      </c>
      <c r="B540" s="15">
        <v>45494</v>
      </c>
      <c r="C540">
        <v>104777</v>
      </c>
      <c r="D540">
        <v>200559</v>
      </c>
      <c r="E540" t="s">
        <v>1043</v>
      </c>
      <c r="F540" t="s">
        <v>1045</v>
      </c>
      <c r="G540">
        <v>4</v>
      </c>
      <c r="H540" s="59">
        <v>59.99</v>
      </c>
      <c r="I540" t="s">
        <v>1041</v>
      </c>
      <c r="J540" t="s">
        <v>14</v>
      </c>
      <c r="K540" s="60" t="s">
        <v>14</v>
      </c>
      <c r="L540" s="59">
        <v>0</v>
      </c>
      <c r="M540" s="61">
        <v>239.96</v>
      </c>
      <c r="N540">
        <f ca="1">IF(LEFT(tblSales[[#This Row],[Category]],1)="A",RANDBETWEEN(1,4),RANDBETWEEN(2,7))</f>
        <v>4</v>
      </c>
      <c r="O540" s="61">
        <f>IF(COUNTIF($A$2:A540,A540)=1,SUMIFS(tblSales[Revenue],tblSales[Order ID],tblSales[[#This Row],[Order ID]]),"")</f>
        <v>239.96</v>
      </c>
      <c r="P540" t="str">
        <f>TEXT(tblSales[[#This Row],[Date]],"ddd")</f>
        <v>Sun</v>
      </c>
      <c r="Q540">
        <f>1/COUNTIF(tblSales[Order ID],tblSales[[#This Row],[Order ID]])</f>
        <v>1</v>
      </c>
    </row>
    <row r="541" spans="1:17" x14ac:dyDescent="0.3">
      <c r="A541">
        <v>202119</v>
      </c>
      <c r="B541" s="15">
        <v>45486</v>
      </c>
      <c r="C541">
        <v>114792</v>
      </c>
      <c r="D541">
        <v>300189</v>
      </c>
      <c r="E541" t="s">
        <v>1040</v>
      </c>
      <c r="F541" t="s">
        <v>1050</v>
      </c>
      <c r="G541">
        <v>1</v>
      </c>
      <c r="H541" s="59">
        <v>24.99</v>
      </c>
      <c r="I541" t="s">
        <v>120</v>
      </c>
      <c r="J541" t="s">
        <v>1064</v>
      </c>
      <c r="K541" s="60">
        <v>0.1</v>
      </c>
      <c r="L541" s="59">
        <v>2.4990000000000001</v>
      </c>
      <c r="M541" s="61">
        <v>22.491</v>
      </c>
      <c r="N541">
        <f ca="1">IF(LEFT(tblSales[[#This Row],[Category]],1)="A",RANDBETWEEN(1,4),RANDBETWEEN(2,7))</f>
        <v>3</v>
      </c>
      <c r="O541" s="61">
        <f>IF(COUNTIF($A$2:A541,A541)=1,SUMIFS(tblSales[Revenue],tblSales[Order ID],tblSales[[#This Row],[Order ID]]),"")</f>
        <v>22.491</v>
      </c>
      <c r="P541" t="str">
        <f>TEXT(tblSales[[#This Row],[Date]],"ddd")</f>
        <v>Sat</v>
      </c>
      <c r="Q541">
        <f>1/COUNTIF(tblSales[Order ID],tblSales[[#This Row],[Order ID]])</f>
        <v>1</v>
      </c>
    </row>
    <row r="542" spans="1:17" x14ac:dyDescent="0.3">
      <c r="A542">
        <v>202120</v>
      </c>
      <c r="B542" s="15">
        <v>45491</v>
      </c>
      <c r="C542">
        <v>112659</v>
      </c>
      <c r="D542">
        <v>300185</v>
      </c>
      <c r="E542" t="s">
        <v>1040</v>
      </c>
      <c r="F542" t="s">
        <v>1049</v>
      </c>
      <c r="G542">
        <v>1</v>
      </c>
      <c r="H542" s="59">
        <v>29.99</v>
      </c>
      <c r="I542" t="s">
        <v>120</v>
      </c>
      <c r="J542" t="s">
        <v>1052</v>
      </c>
      <c r="K542" s="60">
        <v>0.15</v>
      </c>
      <c r="L542" s="59">
        <v>4.4984999999999999</v>
      </c>
      <c r="M542" s="61">
        <v>25.491499999999998</v>
      </c>
      <c r="N542">
        <f ca="1">IF(LEFT(tblSales[[#This Row],[Category]],1)="A",RANDBETWEEN(1,4),RANDBETWEEN(2,7))</f>
        <v>1</v>
      </c>
      <c r="O542" s="61">
        <f>IF(COUNTIF($A$2:A542,A542)=1,SUMIFS(tblSales[Revenue],tblSales[Order ID],tblSales[[#This Row],[Order ID]]),"")</f>
        <v>25.491499999999998</v>
      </c>
      <c r="P542" t="str">
        <f>TEXT(tblSales[[#This Row],[Date]],"ddd")</f>
        <v>Thu</v>
      </c>
      <c r="Q542">
        <f>1/COUNTIF(tblSales[Order ID],tblSales[[#This Row],[Order ID]])</f>
        <v>1</v>
      </c>
    </row>
    <row r="543" spans="1:17" x14ac:dyDescent="0.3">
      <c r="A543">
        <v>202121</v>
      </c>
      <c r="B543" s="15">
        <v>45486</v>
      </c>
      <c r="C543">
        <v>130926</v>
      </c>
      <c r="D543">
        <v>100252</v>
      </c>
      <c r="E543" t="s">
        <v>1046</v>
      </c>
      <c r="F543" t="s">
        <v>158</v>
      </c>
      <c r="G543">
        <v>1</v>
      </c>
      <c r="H543" s="59">
        <v>449</v>
      </c>
      <c r="I543" t="s">
        <v>1041</v>
      </c>
      <c r="J543" t="s">
        <v>14</v>
      </c>
      <c r="K543" s="60" t="s">
        <v>14</v>
      </c>
      <c r="L543" s="59">
        <v>0</v>
      </c>
      <c r="M543" s="61">
        <v>449</v>
      </c>
      <c r="N543">
        <f ca="1">IF(LEFT(tblSales[[#This Row],[Category]],1)="A",RANDBETWEEN(1,4),RANDBETWEEN(2,7))</f>
        <v>4</v>
      </c>
      <c r="O543" s="61">
        <f>IF(COUNTIF($A$2:A543,A543)=1,SUMIFS(tblSales[Revenue],tblSales[Order ID],tblSales[[#This Row],[Order ID]]),"")</f>
        <v>836.97</v>
      </c>
      <c r="P543" t="str">
        <f>TEXT(tblSales[[#This Row],[Date]],"ddd")</f>
        <v>Sat</v>
      </c>
      <c r="Q543">
        <f>1/COUNTIF(tblSales[Order ID],tblSales[[#This Row],[Order ID]])</f>
        <v>0.2</v>
      </c>
    </row>
    <row r="544" spans="1:17" x14ac:dyDescent="0.3">
      <c r="A544">
        <v>202121</v>
      </c>
      <c r="B544" s="15">
        <v>45486</v>
      </c>
      <c r="C544">
        <v>130926</v>
      </c>
      <c r="D544">
        <v>200556</v>
      </c>
      <c r="E544" t="s">
        <v>1043</v>
      </c>
      <c r="F544" t="s">
        <v>1044</v>
      </c>
      <c r="G544">
        <v>1</v>
      </c>
      <c r="H544" s="59">
        <v>64.989999999999995</v>
      </c>
      <c r="I544" t="s">
        <v>1041</v>
      </c>
      <c r="J544" t="s">
        <v>14</v>
      </c>
      <c r="K544" s="60" t="s">
        <v>14</v>
      </c>
      <c r="L544" s="59">
        <v>0</v>
      </c>
      <c r="M544" s="61">
        <v>64.989999999999995</v>
      </c>
      <c r="N544">
        <f ca="1">IF(LEFT(tblSales[[#This Row],[Category]],1)="A",RANDBETWEEN(1,4),RANDBETWEEN(2,7))</f>
        <v>4</v>
      </c>
      <c r="O544" s="61" t="str">
        <f>IF(COUNTIF($A$2:A544,A544)=1,SUMIFS(tblSales[Revenue],tblSales[Order ID],tblSales[[#This Row],[Order ID]]),"")</f>
        <v/>
      </c>
      <c r="P544" t="str">
        <f>TEXT(tblSales[[#This Row],[Date]],"ddd")</f>
        <v>Sat</v>
      </c>
      <c r="Q544">
        <f>1/COUNTIF(tblSales[Order ID],tblSales[[#This Row],[Order ID]])</f>
        <v>0.2</v>
      </c>
    </row>
    <row r="545" spans="1:17" x14ac:dyDescent="0.3">
      <c r="A545">
        <v>202121</v>
      </c>
      <c r="B545" s="15">
        <v>45486</v>
      </c>
      <c r="C545">
        <v>130926</v>
      </c>
      <c r="D545">
        <v>300191</v>
      </c>
      <c r="E545" t="s">
        <v>1040</v>
      </c>
      <c r="F545" t="s">
        <v>1051</v>
      </c>
      <c r="G545">
        <v>1</v>
      </c>
      <c r="H545" s="59">
        <v>21.99</v>
      </c>
      <c r="I545" t="s">
        <v>1041</v>
      </c>
      <c r="J545" t="s">
        <v>14</v>
      </c>
      <c r="K545" s="60" t="s">
        <v>14</v>
      </c>
      <c r="L545" s="59">
        <v>0</v>
      </c>
      <c r="M545" s="61">
        <v>21.99</v>
      </c>
      <c r="N545">
        <f ca="1">IF(LEFT(tblSales[[#This Row],[Category]],1)="A",RANDBETWEEN(1,4),RANDBETWEEN(2,7))</f>
        <v>4</v>
      </c>
      <c r="O545" s="61" t="str">
        <f>IF(COUNTIF($A$2:A545,A545)=1,SUMIFS(tblSales[Revenue],tblSales[Order ID],tblSales[[#This Row],[Order ID]]),"")</f>
        <v/>
      </c>
      <c r="P545" t="str">
        <f>TEXT(tblSales[[#This Row],[Date]],"ddd")</f>
        <v>Sat</v>
      </c>
      <c r="Q545">
        <f>1/COUNTIF(tblSales[Order ID],tblSales[[#This Row],[Order ID]])</f>
        <v>0.2</v>
      </c>
    </row>
    <row r="546" spans="1:17" x14ac:dyDescent="0.3">
      <c r="A546">
        <v>202121</v>
      </c>
      <c r="B546" s="15">
        <v>45486</v>
      </c>
      <c r="C546">
        <v>130926</v>
      </c>
      <c r="D546">
        <v>100253</v>
      </c>
      <c r="E546" t="s">
        <v>1046</v>
      </c>
      <c r="F546" t="s">
        <v>192</v>
      </c>
      <c r="G546">
        <v>1</v>
      </c>
      <c r="H546" s="59">
        <v>279</v>
      </c>
      <c r="I546" t="s">
        <v>1041</v>
      </c>
      <c r="J546" t="s">
        <v>14</v>
      </c>
      <c r="K546" s="60" t="s">
        <v>14</v>
      </c>
      <c r="L546" s="59">
        <v>0</v>
      </c>
      <c r="M546" s="61">
        <v>279</v>
      </c>
      <c r="N546">
        <f ca="1">IF(LEFT(tblSales[[#This Row],[Category]],1)="A",RANDBETWEEN(1,4),RANDBETWEEN(2,7))</f>
        <v>7</v>
      </c>
      <c r="O546" s="61" t="str">
        <f>IF(COUNTIF($A$2:A546,A546)=1,SUMIFS(tblSales[Revenue],tblSales[Order ID],tblSales[[#This Row],[Order ID]]),"")</f>
        <v/>
      </c>
      <c r="P546" t="str">
        <f>TEXT(tblSales[[#This Row],[Date]],"ddd")</f>
        <v>Sat</v>
      </c>
      <c r="Q546">
        <f>1/COUNTIF(tblSales[Order ID],tblSales[[#This Row],[Order ID]])</f>
        <v>0.2</v>
      </c>
    </row>
    <row r="547" spans="1:17" x14ac:dyDescent="0.3">
      <c r="A547">
        <v>202121</v>
      </c>
      <c r="B547" s="15">
        <v>45486</v>
      </c>
      <c r="C547">
        <v>130926</v>
      </c>
      <c r="D547">
        <v>300191</v>
      </c>
      <c r="E547" t="s">
        <v>1040</v>
      </c>
      <c r="F547" t="s">
        <v>1051</v>
      </c>
      <c r="G547">
        <v>1</v>
      </c>
      <c r="H547" s="59">
        <v>21.99</v>
      </c>
      <c r="I547" t="s">
        <v>1041</v>
      </c>
      <c r="J547" t="s">
        <v>14</v>
      </c>
      <c r="K547" s="60" t="s">
        <v>14</v>
      </c>
      <c r="L547" s="59">
        <v>0</v>
      </c>
      <c r="M547" s="61">
        <v>21.99</v>
      </c>
      <c r="N547">
        <f ca="1">IF(LEFT(tblSales[[#This Row],[Category]],1)="A",RANDBETWEEN(1,4),RANDBETWEEN(2,7))</f>
        <v>4</v>
      </c>
      <c r="O547" s="61" t="str">
        <f>IF(COUNTIF($A$2:A547,A547)=1,SUMIFS(tblSales[Revenue],tblSales[Order ID],tblSales[[#This Row],[Order ID]]),"")</f>
        <v/>
      </c>
      <c r="P547" t="str">
        <f>TEXT(tblSales[[#This Row],[Date]],"ddd")</f>
        <v>Sat</v>
      </c>
      <c r="Q547">
        <f>1/COUNTIF(tblSales[Order ID],tblSales[[#This Row],[Order ID]])</f>
        <v>0.2</v>
      </c>
    </row>
    <row r="548" spans="1:17" x14ac:dyDescent="0.3">
      <c r="A548">
        <v>202122</v>
      </c>
      <c r="B548" s="15">
        <v>45493</v>
      </c>
      <c r="C548">
        <v>126862</v>
      </c>
      <c r="D548">
        <v>300191</v>
      </c>
      <c r="E548" t="s">
        <v>1040</v>
      </c>
      <c r="F548" t="s">
        <v>1051</v>
      </c>
      <c r="G548">
        <v>1</v>
      </c>
      <c r="H548" s="59">
        <v>21.99</v>
      </c>
      <c r="I548" t="s">
        <v>1041</v>
      </c>
      <c r="J548" t="s">
        <v>14</v>
      </c>
      <c r="K548" s="60" t="s">
        <v>14</v>
      </c>
      <c r="L548" s="59">
        <v>0</v>
      </c>
      <c r="M548" s="61">
        <v>21.99</v>
      </c>
      <c r="N548">
        <f ca="1">IF(LEFT(tblSales[[#This Row],[Category]],1)="A",RANDBETWEEN(1,4),RANDBETWEEN(2,7))</f>
        <v>1</v>
      </c>
      <c r="O548" s="61">
        <f>IF(COUNTIF($A$2:A548,A548)=1,SUMIFS(tblSales[Revenue],tblSales[Order ID],tblSales[[#This Row],[Order ID]]),"")</f>
        <v>1753.98</v>
      </c>
      <c r="P548" t="str">
        <f>TEXT(tblSales[[#This Row],[Date]],"ddd")</f>
        <v>Sat</v>
      </c>
      <c r="Q548">
        <f>1/COUNTIF(tblSales[Order ID],tblSales[[#This Row],[Order ID]])</f>
        <v>0.25</v>
      </c>
    </row>
    <row r="549" spans="1:17" x14ac:dyDescent="0.3">
      <c r="A549">
        <v>202122</v>
      </c>
      <c r="B549" s="15">
        <v>45493</v>
      </c>
      <c r="C549">
        <v>126862</v>
      </c>
      <c r="D549">
        <v>100255</v>
      </c>
      <c r="E549" t="s">
        <v>1046</v>
      </c>
      <c r="F549" t="s">
        <v>172</v>
      </c>
      <c r="G549">
        <v>1</v>
      </c>
      <c r="H549" s="59">
        <v>1299</v>
      </c>
      <c r="I549" t="s">
        <v>1041</v>
      </c>
      <c r="J549" t="s">
        <v>14</v>
      </c>
      <c r="K549" s="60" t="s">
        <v>14</v>
      </c>
      <c r="L549" s="59">
        <v>0</v>
      </c>
      <c r="M549" s="61">
        <v>1299</v>
      </c>
      <c r="N549">
        <f ca="1">IF(LEFT(tblSales[[#This Row],[Category]],1)="A",RANDBETWEEN(1,4),RANDBETWEEN(2,7))</f>
        <v>2</v>
      </c>
      <c r="O549" s="61" t="str">
        <f>IF(COUNTIF($A$2:A549,A549)=1,SUMIFS(tblSales[Revenue],tblSales[Order ID],tblSales[[#This Row],[Order ID]]),"")</f>
        <v/>
      </c>
      <c r="P549" t="str">
        <f>TEXT(tblSales[[#This Row],[Date]],"ddd")</f>
        <v>Sat</v>
      </c>
      <c r="Q549">
        <f>1/COUNTIF(tblSales[Order ID],tblSales[[#This Row],[Order ID]])</f>
        <v>0.25</v>
      </c>
    </row>
    <row r="550" spans="1:17" x14ac:dyDescent="0.3">
      <c r="A550">
        <v>202122</v>
      </c>
      <c r="B550" s="15">
        <v>45493</v>
      </c>
      <c r="C550">
        <v>126862</v>
      </c>
      <c r="D550">
        <v>300187</v>
      </c>
      <c r="E550" t="s">
        <v>1040</v>
      </c>
      <c r="F550" t="s">
        <v>1058</v>
      </c>
      <c r="G550">
        <v>1</v>
      </c>
      <c r="H550" s="59">
        <v>54.99</v>
      </c>
      <c r="I550" t="s">
        <v>1041</v>
      </c>
      <c r="J550" t="s">
        <v>14</v>
      </c>
      <c r="K550" s="60" t="s">
        <v>14</v>
      </c>
      <c r="L550" s="59">
        <v>0</v>
      </c>
      <c r="M550" s="61">
        <v>54.99</v>
      </c>
      <c r="N550">
        <f ca="1">IF(LEFT(tblSales[[#This Row],[Category]],1)="A",RANDBETWEEN(1,4),RANDBETWEEN(2,7))</f>
        <v>1</v>
      </c>
      <c r="O550" s="61" t="str">
        <f>IF(COUNTIF($A$2:A550,A550)=1,SUMIFS(tblSales[Revenue],tblSales[Order ID],tblSales[[#This Row],[Order ID]]),"")</f>
        <v/>
      </c>
      <c r="P550" t="str">
        <f>TEXT(tblSales[[#This Row],[Date]],"ddd")</f>
        <v>Sat</v>
      </c>
      <c r="Q550">
        <f>1/COUNTIF(tblSales[Order ID],tblSales[[#This Row],[Order ID]])</f>
        <v>0.25</v>
      </c>
    </row>
    <row r="551" spans="1:17" x14ac:dyDescent="0.3">
      <c r="A551">
        <v>202122</v>
      </c>
      <c r="B551" s="15">
        <v>45493</v>
      </c>
      <c r="C551">
        <v>126862</v>
      </c>
      <c r="D551">
        <v>100250</v>
      </c>
      <c r="E551" t="s">
        <v>1046</v>
      </c>
      <c r="F551" t="s">
        <v>202</v>
      </c>
      <c r="G551">
        <v>2</v>
      </c>
      <c r="H551" s="59">
        <v>189</v>
      </c>
      <c r="I551" t="s">
        <v>1041</v>
      </c>
      <c r="J551" t="s">
        <v>14</v>
      </c>
      <c r="K551" s="60" t="s">
        <v>14</v>
      </c>
      <c r="L551" s="59">
        <v>0</v>
      </c>
      <c r="M551" s="61">
        <v>378</v>
      </c>
      <c r="N551">
        <f ca="1">IF(LEFT(tblSales[[#This Row],[Category]],1)="A",RANDBETWEEN(1,4),RANDBETWEEN(2,7))</f>
        <v>2</v>
      </c>
      <c r="O551" s="61" t="str">
        <f>IF(COUNTIF($A$2:A551,A551)=1,SUMIFS(tblSales[Revenue],tblSales[Order ID],tblSales[[#This Row],[Order ID]]),"")</f>
        <v/>
      </c>
      <c r="P551" t="str">
        <f>TEXT(tblSales[[#This Row],[Date]],"ddd")</f>
        <v>Sat</v>
      </c>
      <c r="Q551">
        <f>1/COUNTIF(tblSales[Order ID],tblSales[[#This Row],[Order ID]])</f>
        <v>0.25</v>
      </c>
    </row>
    <row r="552" spans="1:17" x14ac:dyDescent="0.3">
      <c r="A552">
        <v>202123</v>
      </c>
      <c r="B552" s="15">
        <v>45493</v>
      </c>
      <c r="C552">
        <v>106824</v>
      </c>
      <c r="D552">
        <v>100250</v>
      </c>
      <c r="E552" t="s">
        <v>1046</v>
      </c>
      <c r="F552" t="s">
        <v>202</v>
      </c>
      <c r="G552">
        <v>1</v>
      </c>
      <c r="H552" s="59">
        <v>189</v>
      </c>
      <c r="I552" t="s">
        <v>120</v>
      </c>
      <c r="J552" t="s">
        <v>1047</v>
      </c>
      <c r="K552" s="60">
        <v>0.1</v>
      </c>
      <c r="L552" s="59">
        <v>18.900000000000002</v>
      </c>
      <c r="M552" s="61">
        <v>170.1</v>
      </c>
      <c r="N552">
        <f ca="1">IF(LEFT(tblSales[[#This Row],[Category]],1)="A",RANDBETWEEN(1,4),RANDBETWEEN(2,7))</f>
        <v>5</v>
      </c>
      <c r="O552" s="61">
        <f>IF(COUNTIF($A$2:A552,A552)=1,SUMIFS(tblSales[Revenue],tblSales[Order ID],tblSales[[#This Row],[Order ID]]),"")</f>
        <v>1608.3</v>
      </c>
      <c r="P552" t="str">
        <f>TEXT(tblSales[[#This Row],[Date]],"ddd")</f>
        <v>Sat</v>
      </c>
      <c r="Q552">
        <f>1/COUNTIF(tblSales[Order ID],tblSales[[#This Row],[Order ID]])</f>
        <v>0.5</v>
      </c>
    </row>
    <row r="553" spans="1:17" x14ac:dyDescent="0.3">
      <c r="A553">
        <v>202123</v>
      </c>
      <c r="B553" s="15">
        <v>45493</v>
      </c>
      <c r="C553">
        <v>106824</v>
      </c>
      <c r="D553">
        <v>100254</v>
      </c>
      <c r="E553" t="s">
        <v>1046</v>
      </c>
      <c r="F553" t="s">
        <v>164</v>
      </c>
      <c r="G553">
        <v>2</v>
      </c>
      <c r="H553" s="59">
        <v>799</v>
      </c>
      <c r="I553" t="s">
        <v>120</v>
      </c>
      <c r="J553" t="s">
        <v>1047</v>
      </c>
      <c r="K553" s="60">
        <v>0.1</v>
      </c>
      <c r="L553" s="59">
        <v>159.80000000000001</v>
      </c>
      <c r="M553" s="61">
        <v>1438.2</v>
      </c>
      <c r="N553">
        <f ca="1">IF(LEFT(tblSales[[#This Row],[Category]],1)="A",RANDBETWEEN(1,4),RANDBETWEEN(2,7))</f>
        <v>6</v>
      </c>
      <c r="O553" s="61" t="str">
        <f>IF(COUNTIF($A$2:A553,A553)=1,SUMIFS(tblSales[Revenue],tblSales[Order ID],tblSales[[#This Row],[Order ID]]),"")</f>
        <v/>
      </c>
      <c r="P553" t="str">
        <f>TEXT(tblSales[[#This Row],[Date]],"ddd")</f>
        <v>Sat</v>
      </c>
      <c r="Q553">
        <f>1/COUNTIF(tblSales[Order ID],tblSales[[#This Row],[Order ID]])</f>
        <v>0.5</v>
      </c>
    </row>
    <row r="554" spans="1:17" x14ac:dyDescent="0.3">
      <c r="A554">
        <v>202124</v>
      </c>
      <c r="B554" s="15">
        <v>45493</v>
      </c>
      <c r="C554">
        <v>128966</v>
      </c>
      <c r="D554">
        <v>300185</v>
      </c>
      <c r="E554" t="s">
        <v>1040</v>
      </c>
      <c r="F554" t="s">
        <v>1049</v>
      </c>
      <c r="G554">
        <v>3</v>
      </c>
      <c r="H554" s="59">
        <v>29.99</v>
      </c>
      <c r="I554" t="s">
        <v>120</v>
      </c>
      <c r="J554" t="s">
        <v>1064</v>
      </c>
      <c r="K554" s="60">
        <v>0.1</v>
      </c>
      <c r="L554" s="59">
        <v>8.9969999999999999</v>
      </c>
      <c r="M554" s="61">
        <v>80.972999999999999</v>
      </c>
      <c r="N554">
        <f ca="1">IF(LEFT(tblSales[[#This Row],[Category]],1)="A",RANDBETWEEN(1,4),RANDBETWEEN(2,7))</f>
        <v>4</v>
      </c>
      <c r="O554" s="61">
        <f>IF(COUNTIF($A$2:A554,A554)=1,SUMIFS(tblSales[Revenue],tblSales[Order ID],tblSales[[#This Row],[Order ID]]),"")</f>
        <v>80.972999999999999</v>
      </c>
      <c r="P554" t="str">
        <f>TEXT(tblSales[[#This Row],[Date]],"ddd")</f>
        <v>Sat</v>
      </c>
      <c r="Q554">
        <f>1/COUNTIF(tblSales[Order ID],tblSales[[#This Row],[Order ID]])</f>
        <v>1</v>
      </c>
    </row>
    <row r="555" spans="1:17" x14ac:dyDescent="0.3">
      <c r="A555">
        <v>202125</v>
      </c>
      <c r="B555" s="15">
        <v>45492</v>
      </c>
      <c r="C555">
        <v>121212</v>
      </c>
      <c r="D555">
        <v>100252</v>
      </c>
      <c r="E555" t="s">
        <v>1046</v>
      </c>
      <c r="F555" t="s">
        <v>158</v>
      </c>
      <c r="G555">
        <v>1</v>
      </c>
      <c r="H555" s="59">
        <v>449</v>
      </c>
      <c r="I555" t="s">
        <v>120</v>
      </c>
      <c r="J555" t="s">
        <v>1052</v>
      </c>
      <c r="K555" s="60">
        <v>0.15</v>
      </c>
      <c r="L555" s="59">
        <v>67.349999999999994</v>
      </c>
      <c r="M555" s="61">
        <v>381.65</v>
      </c>
      <c r="N555">
        <f ca="1">IF(LEFT(tblSales[[#This Row],[Category]],1)="A",RANDBETWEEN(1,4),RANDBETWEEN(2,7))</f>
        <v>5</v>
      </c>
      <c r="O555" s="61">
        <f>IF(COUNTIF($A$2:A555,A555)=1,SUMIFS(tblSales[Revenue],tblSales[Order ID],tblSales[[#This Row],[Order ID]]),"")</f>
        <v>585.61599999999999</v>
      </c>
      <c r="P555" t="str">
        <f>TEXT(tblSales[[#This Row],[Date]],"ddd")</f>
        <v>Fri</v>
      </c>
      <c r="Q555">
        <f>1/COUNTIF(tblSales[Order ID],tblSales[[#This Row],[Order ID]])</f>
        <v>0.5</v>
      </c>
    </row>
    <row r="556" spans="1:17" x14ac:dyDescent="0.3">
      <c r="A556">
        <v>202125</v>
      </c>
      <c r="B556" s="15">
        <v>45492</v>
      </c>
      <c r="C556">
        <v>121212</v>
      </c>
      <c r="D556">
        <v>200559</v>
      </c>
      <c r="E556" t="s">
        <v>1043</v>
      </c>
      <c r="F556" t="s">
        <v>1045</v>
      </c>
      <c r="G556">
        <v>4</v>
      </c>
      <c r="H556" s="59">
        <v>59.99</v>
      </c>
      <c r="I556" t="s">
        <v>120</v>
      </c>
      <c r="J556" t="s">
        <v>1052</v>
      </c>
      <c r="K556" s="60">
        <v>0.15</v>
      </c>
      <c r="L556" s="59">
        <v>35.994</v>
      </c>
      <c r="M556" s="61">
        <v>203.96600000000001</v>
      </c>
      <c r="N556">
        <f ca="1">IF(LEFT(tblSales[[#This Row],[Category]],1)="A",RANDBETWEEN(1,4),RANDBETWEEN(2,7))</f>
        <v>1</v>
      </c>
      <c r="O556" s="61" t="str">
        <f>IF(COUNTIF($A$2:A556,A556)=1,SUMIFS(tblSales[Revenue],tblSales[Order ID],tblSales[[#This Row],[Order ID]]),"")</f>
        <v/>
      </c>
      <c r="P556" t="str">
        <f>TEXT(tblSales[[#This Row],[Date]],"ddd")</f>
        <v>Fri</v>
      </c>
      <c r="Q556">
        <f>1/COUNTIF(tblSales[Order ID],tblSales[[#This Row],[Order ID]])</f>
        <v>0.5</v>
      </c>
    </row>
    <row r="557" spans="1:17" x14ac:dyDescent="0.3">
      <c r="A557">
        <v>202126</v>
      </c>
      <c r="B557" s="15">
        <v>45483</v>
      </c>
      <c r="C557">
        <v>108529</v>
      </c>
      <c r="D557">
        <v>200558</v>
      </c>
      <c r="E557" t="s">
        <v>1043</v>
      </c>
      <c r="F557" t="s">
        <v>1053</v>
      </c>
      <c r="G557">
        <v>4</v>
      </c>
      <c r="H557" s="59">
        <v>18.989999999999998</v>
      </c>
      <c r="I557" t="s">
        <v>1041</v>
      </c>
      <c r="J557" t="s">
        <v>14</v>
      </c>
      <c r="K557" s="60" t="s">
        <v>14</v>
      </c>
      <c r="L557" s="59">
        <v>0</v>
      </c>
      <c r="M557" s="61">
        <v>75.959999999999994</v>
      </c>
      <c r="N557">
        <f ca="1">IF(LEFT(tblSales[[#This Row],[Category]],1)="A",RANDBETWEEN(1,4),RANDBETWEEN(2,7))</f>
        <v>2</v>
      </c>
      <c r="O557" s="61">
        <f>IF(COUNTIF($A$2:A557,A557)=1,SUMIFS(tblSales[Revenue],tblSales[Order ID],tblSales[[#This Row],[Order ID]]),"")</f>
        <v>460.9</v>
      </c>
      <c r="P557" t="str">
        <f>TEXT(tblSales[[#This Row],[Date]],"ddd")</f>
        <v>Wed</v>
      </c>
      <c r="Q557">
        <f>1/COUNTIF(tblSales[Order ID],tblSales[[#This Row],[Order ID]])</f>
        <v>0.33333333333333331</v>
      </c>
    </row>
    <row r="558" spans="1:17" x14ac:dyDescent="0.3">
      <c r="A558">
        <v>202126</v>
      </c>
      <c r="B558" s="15">
        <v>45483</v>
      </c>
      <c r="C558">
        <v>108529</v>
      </c>
      <c r="D558">
        <v>300188</v>
      </c>
      <c r="E558" t="s">
        <v>1040</v>
      </c>
      <c r="F558" t="s">
        <v>1060</v>
      </c>
      <c r="G558">
        <v>5</v>
      </c>
      <c r="H558" s="59">
        <v>64.989999999999995</v>
      </c>
      <c r="I558" t="s">
        <v>1041</v>
      </c>
      <c r="J558" t="s">
        <v>14</v>
      </c>
      <c r="K558" s="60" t="s">
        <v>14</v>
      </c>
      <c r="L558" s="59">
        <v>0</v>
      </c>
      <c r="M558" s="61">
        <v>324.95</v>
      </c>
      <c r="N558">
        <f ca="1">IF(LEFT(tblSales[[#This Row],[Category]],1)="A",RANDBETWEEN(1,4),RANDBETWEEN(2,7))</f>
        <v>1</v>
      </c>
      <c r="O558" s="61" t="str">
        <f>IF(COUNTIF($A$2:A558,A558)=1,SUMIFS(tblSales[Revenue],tblSales[Order ID],tblSales[[#This Row],[Order ID]]),"")</f>
        <v/>
      </c>
      <c r="P558" t="str">
        <f>TEXT(tblSales[[#This Row],[Date]],"ddd")</f>
        <v>Wed</v>
      </c>
      <c r="Q558">
        <f>1/COUNTIF(tblSales[Order ID],tblSales[[#This Row],[Order ID]])</f>
        <v>0.33333333333333331</v>
      </c>
    </row>
    <row r="559" spans="1:17" x14ac:dyDescent="0.3">
      <c r="A559">
        <v>202126</v>
      </c>
      <c r="B559" s="15">
        <v>45483</v>
      </c>
      <c r="C559">
        <v>108529</v>
      </c>
      <c r="D559">
        <v>200559</v>
      </c>
      <c r="E559" t="s">
        <v>1043</v>
      </c>
      <c r="F559" t="s">
        <v>1045</v>
      </c>
      <c r="G559">
        <v>1</v>
      </c>
      <c r="H559" s="59">
        <v>59.99</v>
      </c>
      <c r="I559" t="s">
        <v>1041</v>
      </c>
      <c r="J559" t="s">
        <v>14</v>
      </c>
      <c r="K559" s="60" t="s">
        <v>14</v>
      </c>
      <c r="L559" s="59">
        <v>0</v>
      </c>
      <c r="M559" s="61">
        <v>59.99</v>
      </c>
      <c r="N559">
        <f ca="1">IF(LEFT(tblSales[[#This Row],[Category]],1)="A",RANDBETWEEN(1,4),RANDBETWEEN(2,7))</f>
        <v>3</v>
      </c>
      <c r="O559" s="61" t="str">
        <f>IF(COUNTIF($A$2:A559,A559)=1,SUMIFS(tblSales[Revenue],tblSales[Order ID],tblSales[[#This Row],[Order ID]]),"")</f>
        <v/>
      </c>
      <c r="P559" t="str">
        <f>TEXT(tblSales[[#This Row],[Date]],"ddd")</f>
        <v>Wed</v>
      </c>
      <c r="Q559">
        <f>1/COUNTIF(tblSales[Order ID],tblSales[[#This Row],[Order ID]])</f>
        <v>0.33333333333333331</v>
      </c>
    </row>
    <row r="560" spans="1:17" x14ac:dyDescent="0.3">
      <c r="A560">
        <v>202127</v>
      </c>
      <c r="B560" s="15">
        <v>45493</v>
      </c>
      <c r="C560">
        <v>110114</v>
      </c>
      <c r="D560">
        <v>100250</v>
      </c>
      <c r="E560" t="s">
        <v>1046</v>
      </c>
      <c r="F560" t="s">
        <v>202</v>
      </c>
      <c r="G560">
        <v>3</v>
      </c>
      <c r="H560" s="59">
        <v>189</v>
      </c>
      <c r="I560" t="s">
        <v>1041</v>
      </c>
      <c r="J560" t="s">
        <v>14</v>
      </c>
      <c r="K560" s="60" t="s">
        <v>14</v>
      </c>
      <c r="L560" s="59">
        <v>0</v>
      </c>
      <c r="M560" s="61">
        <v>567</v>
      </c>
      <c r="N560">
        <f ca="1">IF(LEFT(tblSales[[#This Row],[Category]],1)="A",RANDBETWEEN(1,4),RANDBETWEEN(2,7))</f>
        <v>7</v>
      </c>
      <c r="O560" s="61">
        <f>IF(COUNTIF($A$2:A560,A560)=1,SUMIFS(tblSales[Revenue],tblSales[Order ID],tblSales[[#This Row],[Order ID]]),"")</f>
        <v>567</v>
      </c>
      <c r="P560" t="str">
        <f>TEXT(tblSales[[#This Row],[Date]],"ddd")</f>
        <v>Sat</v>
      </c>
      <c r="Q560">
        <f>1/COUNTIF(tblSales[Order ID],tblSales[[#This Row],[Order ID]])</f>
        <v>1</v>
      </c>
    </row>
    <row r="561" spans="1:17" x14ac:dyDescent="0.3">
      <c r="A561">
        <v>202128</v>
      </c>
      <c r="B561" s="15">
        <v>45484</v>
      </c>
      <c r="C561">
        <v>114152</v>
      </c>
      <c r="D561">
        <v>200554</v>
      </c>
      <c r="E561" t="s">
        <v>1043</v>
      </c>
      <c r="F561" t="s">
        <v>1048</v>
      </c>
      <c r="G561">
        <v>4</v>
      </c>
      <c r="H561" s="59">
        <v>67.989999999999995</v>
      </c>
      <c r="I561" t="s">
        <v>1041</v>
      </c>
      <c r="J561" t="s">
        <v>14</v>
      </c>
      <c r="K561" s="60" t="s">
        <v>14</v>
      </c>
      <c r="L561" s="59">
        <v>0</v>
      </c>
      <c r="M561" s="61">
        <v>271.95999999999998</v>
      </c>
      <c r="N561">
        <f ca="1">IF(LEFT(tblSales[[#This Row],[Category]],1)="A",RANDBETWEEN(1,4),RANDBETWEEN(2,7))</f>
        <v>4</v>
      </c>
      <c r="O561" s="61">
        <f>IF(COUNTIF($A$2:A561,A561)=1,SUMIFS(tblSales[Revenue],tblSales[Order ID],tblSales[[#This Row],[Order ID]]),"")</f>
        <v>271.95999999999998</v>
      </c>
      <c r="P561" t="str">
        <f>TEXT(tblSales[[#This Row],[Date]],"ddd")</f>
        <v>Thu</v>
      </c>
      <c r="Q561">
        <f>1/COUNTIF(tblSales[Order ID],tblSales[[#This Row],[Order ID]])</f>
        <v>1</v>
      </c>
    </row>
    <row r="562" spans="1:17" x14ac:dyDescent="0.3">
      <c r="A562">
        <v>202129</v>
      </c>
      <c r="B562" s="15">
        <v>45486</v>
      </c>
      <c r="C562">
        <v>113334</v>
      </c>
      <c r="D562">
        <v>100252</v>
      </c>
      <c r="E562" t="s">
        <v>1046</v>
      </c>
      <c r="F562" t="s">
        <v>158</v>
      </c>
      <c r="G562">
        <v>1</v>
      </c>
      <c r="H562" s="59">
        <v>449</v>
      </c>
      <c r="I562" t="s">
        <v>1041</v>
      </c>
      <c r="J562" t="s">
        <v>14</v>
      </c>
      <c r="K562" s="60" t="s">
        <v>14</v>
      </c>
      <c r="L562" s="59">
        <v>0</v>
      </c>
      <c r="M562" s="61">
        <v>449</v>
      </c>
      <c r="N562">
        <f ca="1">IF(LEFT(tblSales[[#This Row],[Category]],1)="A",RANDBETWEEN(1,4),RANDBETWEEN(2,7))</f>
        <v>2</v>
      </c>
      <c r="O562" s="61">
        <f>IF(COUNTIF($A$2:A562,A562)=1,SUMIFS(tblSales[Revenue],tblSales[Order ID],tblSales[[#This Row],[Order ID]]),"")</f>
        <v>511.97</v>
      </c>
      <c r="P562" t="str">
        <f>TEXT(tblSales[[#This Row],[Date]],"ddd")</f>
        <v>Sat</v>
      </c>
      <c r="Q562">
        <f>1/COUNTIF(tblSales[Order ID],tblSales[[#This Row],[Order ID]])</f>
        <v>0.25</v>
      </c>
    </row>
    <row r="563" spans="1:17" x14ac:dyDescent="0.3">
      <c r="A563">
        <v>202129</v>
      </c>
      <c r="B563" s="15">
        <v>45486</v>
      </c>
      <c r="C563">
        <v>113334</v>
      </c>
      <c r="D563">
        <v>300191</v>
      </c>
      <c r="E563" t="s">
        <v>1040</v>
      </c>
      <c r="F563" t="s">
        <v>1051</v>
      </c>
      <c r="G563">
        <v>1</v>
      </c>
      <c r="H563" s="59">
        <v>21.99</v>
      </c>
      <c r="I563" t="s">
        <v>1041</v>
      </c>
      <c r="J563" t="s">
        <v>14</v>
      </c>
      <c r="K563" s="60" t="s">
        <v>14</v>
      </c>
      <c r="L563" s="59">
        <v>0</v>
      </c>
      <c r="M563" s="61">
        <v>21.99</v>
      </c>
      <c r="N563">
        <f ca="1">IF(LEFT(tblSales[[#This Row],[Category]],1)="A",RANDBETWEEN(1,4),RANDBETWEEN(2,7))</f>
        <v>2</v>
      </c>
      <c r="O563" s="61" t="str">
        <f>IF(COUNTIF($A$2:A563,A563)=1,SUMIFS(tblSales[Revenue],tblSales[Order ID],tblSales[[#This Row],[Order ID]]),"")</f>
        <v/>
      </c>
      <c r="P563" t="str">
        <f>TEXT(tblSales[[#This Row],[Date]],"ddd")</f>
        <v>Sat</v>
      </c>
      <c r="Q563">
        <f>1/COUNTIF(tblSales[Order ID],tblSales[[#This Row],[Order ID]])</f>
        <v>0.25</v>
      </c>
    </row>
    <row r="564" spans="1:17" x14ac:dyDescent="0.3">
      <c r="A564">
        <v>202129</v>
      </c>
      <c r="B564" s="15">
        <v>45486</v>
      </c>
      <c r="C564">
        <v>113334</v>
      </c>
      <c r="D564">
        <v>200549</v>
      </c>
      <c r="E564" t="s">
        <v>1043</v>
      </c>
      <c r="F564" t="s">
        <v>1042</v>
      </c>
      <c r="G564">
        <v>1</v>
      </c>
      <c r="H564" s="59">
        <v>18.989999999999998</v>
      </c>
      <c r="I564" t="s">
        <v>1041</v>
      </c>
      <c r="J564" t="s">
        <v>14</v>
      </c>
      <c r="K564" s="60" t="s">
        <v>14</v>
      </c>
      <c r="L564" s="59">
        <v>0</v>
      </c>
      <c r="M564" s="61">
        <v>18.989999999999998</v>
      </c>
      <c r="N564">
        <f ca="1">IF(LEFT(tblSales[[#This Row],[Category]],1)="A",RANDBETWEEN(1,4),RANDBETWEEN(2,7))</f>
        <v>1</v>
      </c>
      <c r="O564" s="61" t="str">
        <f>IF(COUNTIF($A$2:A564,A564)=1,SUMIFS(tblSales[Revenue],tblSales[Order ID],tblSales[[#This Row],[Order ID]]),"")</f>
        <v/>
      </c>
      <c r="P564" t="str">
        <f>TEXT(tblSales[[#This Row],[Date]],"ddd")</f>
        <v>Sat</v>
      </c>
      <c r="Q564">
        <f>1/COUNTIF(tblSales[Order ID],tblSales[[#This Row],[Order ID]])</f>
        <v>0.25</v>
      </c>
    </row>
    <row r="565" spans="1:17" x14ac:dyDescent="0.3">
      <c r="A565">
        <v>202129</v>
      </c>
      <c r="B565" s="15">
        <v>45486</v>
      </c>
      <c r="C565">
        <v>113334</v>
      </c>
      <c r="D565">
        <v>300191</v>
      </c>
      <c r="E565" t="s">
        <v>1040</v>
      </c>
      <c r="F565" t="s">
        <v>1051</v>
      </c>
      <c r="G565">
        <v>1</v>
      </c>
      <c r="H565" s="59">
        <v>21.99</v>
      </c>
      <c r="I565" t="s">
        <v>1041</v>
      </c>
      <c r="J565" t="s">
        <v>14</v>
      </c>
      <c r="K565" s="60" t="s">
        <v>14</v>
      </c>
      <c r="L565" s="59">
        <v>0</v>
      </c>
      <c r="M565" s="61">
        <v>21.99</v>
      </c>
      <c r="N565">
        <f ca="1">IF(LEFT(tblSales[[#This Row],[Category]],1)="A",RANDBETWEEN(1,4),RANDBETWEEN(2,7))</f>
        <v>1</v>
      </c>
      <c r="O565" s="61" t="str">
        <f>IF(COUNTIF($A$2:A565,A565)=1,SUMIFS(tblSales[Revenue],tblSales[Order ID],tblSales[[#This Row],[Order ID]]),"")</f>
        <v/>
      </c>
      <c r="P565" t="str">
        <f>TEXT(tblSales[[#This Row],[Date]],"ddd")</f>
        <v>Sat</v>
      </c>
      <c r="Q565">
        <f>1/COUNTIF(tblSales[Order ID],tblSales[[#This Row],[Order ID]])</f>
        <v>0.25</v>
      </c>
    </row>
    <row r="566" spans="1:17" x14ac:dyDescent="0.3">
      <c r="A566">
        <v>202130</v>
      </c>
      <c r="B566" s="15">
        <v>45488</v>
      </c>
      <c r="C566">
        <v>128291</v>
      </c>
      <c r="D566">
        <v>200549</v>
      </c>
      <c r="E566" t="s">
        <v>1043</v>
      </c>
      <c r="F566" t="s">
        <v>1042</v>
      </c>
      <c r="G566">
        <v>1</v>
      </c>
      <c r="H566" s="59">
        <v>18.989999999999998</v>
      </c>
      <c r="I566" t="s">
        <v>1041</v>
      </c>
      <c r="J566" t="s">
        <v>14</v>
      </c>
      <c r="K566" s="60" t="s">
        <v>14</v>
      </c>
      <c r="L566" s="59">
        <v>0</v>
      </c>
      <c r="M566" s="61">
        <v>18.989999999999998</v>
      </c>
      <c r="N566">
        <f ca="1">IF(LEFT(tblSales[[#This Row],[Category]],1)="A",RANDBETWEEN(1,4),RANDBETWEEN(2,7))</f>
        <v>4</v>
      </c>
      <c r="O566" s="61">
        <f>IF(COUNTIF($A$2:A566,A566)=1,SUMIFS(tblSales[Revenue],tblSales[Order ID],tblSales[[#This Row],[Order ID]]),"")</f>
        <v>18.989999999999998</v>
      </c>
      <c r="P566" t="str">
        <f>TEXT(tblSales[[#This Row],[Date]],"ddd")</f>
        <v>Mon</v>
      </c>
      <c r="Q566">
        <f>1/COUNTIF(tblSales[Order ID],tblSales[[#This Row],[Order ID]])</f>
        <v>1</v>
      </c>
    </row>
    <row r="567" spans="1:17" x14ac:dyDescent="0.3">
      <c r="A567">
        <v>202131</v>
      </c>
      <c r="B567" s="15">
        <v>45491</v>
      </c>
      <c r="C567">
        <v>112109</v>
      </c>
      <c r="D567">
        <v>200549</v>
      </c>
      <c r="E567" t="s">
        <v>1043</v>
      </c>
      <c r="F567" t="s">
        <v>1042</v>
      </c>
      <c r="G567">
        <v>4</v>
      </c>
      <c r="H567" s="59">
        <v>18.989999999999998</v>
      </c>
      <c r="I567" t="s">
        <v>1041</v>
      </c>
      <c r="J567" t="s">
        <v>14</v>
      </c>
      <c r="K567" s="60" t="s">
        <v>14</v>
      </c>
      <c r="L567" s="59">
        <v>0</v>
      </c>
      <c r="M567" s="61">
        <v>75.959999999999994</v>
      </c>
      <c r="N567">
        <f ca="1">IF(LEFT(tblSales[[#This Row],[Category]],1)="A",RANDBETWEEN(1,4),RANDBETWEEN(2,7))</f>
        <v>1</v>
      </c>
      <c r="O567" s="61">
        <f>IF(COUNTIF($A$2:A567,A567)=1,SUMIFS(tblSales[Revenue],tblSales[Order ID],tblSales[[#This Row],[Order ID]]),"")</f>
        <v>105.94999999999999</v>
      </c>
      <c r="P567" t="str">
        <f>TEXT(tblSales[[#This Row],[Date]],"ddd")</f>
        <v>Thu</v>
      </c>
      <c r="Q567">
        <f>1/COUNTIF(tblSales[Order ID],tblSales[[#This Row],[Order ID]])</f>
        <v>0.5</v>
      </c>
    </row>
    <row r="568" spans="1:17" x14ac:dyDescent="0.3">
      <c r="A568">
        <v>202131</v>
      </c>
      <c r="B568" s="15">
        <v>45491</v>
      </c>
      <c r="C568">
        <v>112109</v>
      </c>
      <c r="D568">
        <v>300185</v>
      </c>
      <c r="E568" t="s">
        <v>1040</v>
      </c>
      <c r="F568" t="s">
        <v>1049</v>
      </c>
      <c r="G568">
        <v>1</v>
      </c>
      <c r="H568" s="59">
        <v>29.99</v>
      </c>
      <c r="I568" t="s">
        <v>1041</v>
      </c>
      <c r="J568" t="s">
        <v>14</v>
      </c>
      <c r="K568" s="60" t="s">
        <v>14</v>
      </c>
      <c r="L568" s="59">
        <v>0</v>
      </c>
      <c r="M568" s="61">
        <v>29.99</v>
      </c>
      <c r="N568">
        <f ca="1">IF(LEFT(tblSales[[#This Row],[Category]],1)="A",RANDBETWEEN(1,4),RANDBETWEEN(2,7))</f>
        <v>1</v>
      </c>
      <c r="O568" s="61" t="str">
        <f>IF(COUNTIF($A$2:A568,A568)=1,SUMIFS(tblSales[Revenue],tblSales[Order ID],tblSales[[#This Row],[Order ID]]),"")</f>
        <v/>
      </c>
      <c r="P568" t="str">
        <f>TEXT(tblSales[[#This Row],[Date]],"ddd")</f>
        <v>Thu</v>
      </c>
      <c r="Q568">
        <f>1/COUNTIF(tblSales[Order ID],tblSales[[#This Row],[Order ID]])</f>
        <v>0.5</v>
      </c>
    </row>
    <row r="569" spans="1:17" x14ac:dyDescent="0.3">
      <c r="A569">
        <v>202132</v>
      </c>
      <c r="B569" s="15">
        <v>45494</v>
      </c>
      <c r="C569">
        <v>106610</v>
      </c>
      <c r="D569">
        <v>300185</v>
      </c>
      <c r="E569" t="s">
        <v>1040</v>
      </c>
      <c r="F569" t="s">
        <v>1049</v>
      </c>
      <c r="G569">
        <v>3</v>
      </c>
      <c r="H569" s="59">
        <v>29.99</v>
      </c>
      <c r="I569" t="s">
        <v>120</v>
      </c>
      <c r="J569" t="s">
        <v>1047</v>
      </c>
      <c r="K569" s="60">
        <v>0.1</v>
      </c>
      <c r="L569" s="59">
        <v>8.9969999999999999</v>
      </c>
      <c r="M569" s="61">
        <v>80.972999999999999</v>
      </c>
      <c r="N569">
        <f ca="1">IF(LEFT(tblSales[[#This Row],[Category]],1)="A",RANDBETWEEN(1,4),RANDBETWEEN(2,7))</f>
        <v>4</v>
      </c>
      <c r="O569" s="61">
        <f>IF(COUNTIF($A$2:A569,A569)=1,SUMIFS(tblSales[Revenue],tblSales[Order ID],tblSales[[#This Row],[Order ID]]),"")</f>
        <v>80.972999999999999</v>
      </c>
      <c r="P569" t="str">
        <f>TEXT(tblSales[[#This Row],[Date]],"ddd")</f>
        <v>Sun</v>
      </c>
      <c r="Q569">
        <f>1/COUNTIF(tblSales[Order ID],tblSales[[#This Row],[Order ID]])</f>
        <v>1</v>
      </c>
    </row>
    <row r="570" spans="1:17" x14ac:dyDescent="0.3">
      <c r="A570">
        <v>202133</v>
      </c>
      <c r="B570" s="15">
        <v>45488</v>
      </c>
      <c r="C570">
        <v>107767</v>
      </c>
      <c r="D570">
        <v>100251</v>
      </c>
      <c r="E570" t="s">
        <v>1046</v>
      </c>
      <c r="F570" t="s">
        <v>150</v>
      </c>
      <c r="G570">
        <v>1</v>
      </c>
      <c r="H570" s="59">
        <v>399</v>
      </c>
      <c r="I570" t="s">
        <v>1041</v>
      </c>
      <c r="J570" t="s">
        <v>14</v>
      </c>
      <c r="K570" s="60" t="s">
        <v>14</v>
      </c>
      <c r="L570" s="59">
        <v>0</v>
      </c>
      <c r="M570" s="61">
        <v>399</v>
      </c>
      <c r="N570">
        <f ca="1">IF(LEFT(tblSales[[#This Row],[Category]],1)="A",RANDBETWEEN(1,4),RANDBETWEEN(2,7))</f>
        <v>7</v>
      </c>
      <c r="O570" s="61">
        <f>IF(COUNTIF($A$2:A570,A570)=1,SUMIFS(tblSales[Revenue],tblSales[Order ID],tblSales[[#This Row],[Order ID]]),"")</f>
        <v>1107.96</v>
      </c>
      <c r="P570" t="str">
        <f>TEXT(tblSales[[#This Row],[Date]],"ddd")</f>
        <v>Mon</v>
      </c>
      <c r="Q570">
        <f>1/COUNTIF(tblSales[Order ID],tblSales[[#This Row],[Order ID]])</f>
        <v>0.25</v>
      </c>
    </row>
    <row r="571" spans="1:17" x14ac:dyDescent="0.3">
      <c r="A571">
        <v>202133</v>
      </c>
      <c r="B571" s="15">
        <v>45488</v>
      </c>
      <c r="C571">
        <v>107767</v>
      </c>
      <c r="D571">
        <v>200556</v>
      </c>
      <c r="E571" t="s">
        <v>1043</v>
      </c>
      <c r="F571" t="s">
        <v>1044</v>
      </c>
      <c r="G571">
        <v>3</v>
      </c>
      <c r="H571" s="59">
        <v>64.989999999999995</v>
      </c>
      <c r="I571" t="s">
        <v>1041</v>
      </c>
      <c r="J571" t="s">
        <v>14</v>
      </c>
      <c r="K571" s="60" t="s">
        <v>14</v>
      </c>
      <c r="L571" s="59">
        <v>0</v>
      </c>
      <c r="M571" s="61">
        <v>194.96999999999997</v>
      </c>
      <c r="N571">
        <f ca="1">IF(LEFT(tblSales[[#This Row],[Category]],1)="A",RANDBETWEEN(1,4),RANDBETWEEN(2,7))</f>
        <v>2</v>
      </c>
      <c r="O571" s="61" t="str">
        <f>IF(COUNTIF($A$2:A571,A571)=1,SUMIFS(tblSales[Revenue],tblSales[Order ID],tblSales[[#This Row],[Order ID]]),"")</f>
        <v/>
      </c>
      <c r="P571" t="str">
        <f>TEXT(tblSales[[#This Row],[Date]],"ddd")</f>
        <v>Mon</v>
      </c>
      <c r="Q571">
        <f>1/COUNTIF(tblSales[Order ID],tblSales[[#This Row],[Order ID]])</f>
        <v>0.25</v>
      </c>
    </row>
    <row r="572" spans="1:17" x14ac:dyDescent="0.3">
      <c r="A572">
        <v>202133</v>
      </c>
      <c r="B572" s="15">
        <v>45488</v>
      </c>
      <c r="C572">
        <v>107767</v>
      </c>
      <c r="D572">
        <v>200556</v>
      </c>
      <c r="E572" t="s">
        <v>1043</v>
      </c>
      <c r="F572" t="s">
        <v>1044</v>
      </c>
      <c r="G572">
        <v>1</v>
      </c>
      <c r="H572" s="59">
        <v>64.989999999999995</v>
      </c>
      <c r="I572" t="s">
        <v>1041</v>
      </c>
      <c r="J572" t="s">
        <v>14</v>
      </c>
      <c r="K572" s="60" t="s">
        <v>14</v>
      </c>
      <c r="L572" s="59">
        <v>0</v>
      </c>
      <c r="M572" s="61">
        <v>64.989999999999995</v>
      </c>
      <c r="N572">
        <f ca="1">IF(LEFT(tblSales[[#This Row],[Category]],1)="A",RANDBETWEEN(1,4),RANDBETWEEN(2,7))</f>
        <v>1</v>
      </c>
      <c r="O572" s="61" t="str">
        <f>IF(COUNTIF($A$2:A572,A572)=1,SUMIFS(tblSales[Revenue],tblSales[Order ID],tblSales[[#This Row],[Order ID]]),"")</f>
        <v/>
      </c>
      <c r="P572" t="str">
        <f>TEXT(tblSales[[#This Row],[Date]],"ddd")</f>
        <v>Mon</v>
      </c>
      <c r="Q572">
        <f>1/COUNTIF(tblSales[Order ID],tblSales[[#This Row],[Order ID]])</f>
        <v>0.25</v>
      </c>
    </row>
    <row r="573" spans="1:17" x14ac:dyDescent="0.3">
      <c r="A573">
        <v>202133</v>
      </c>
      <c r="B573" s="15">
        <v>45488</v>
      </c>
      <c r="C573">
        <v>107767</v>
      </c>
      <c r="D573">
        <v>100252</v>
      </c>
      <c r="E573" t="s">
        <v>1046</v>
      </c>
      <c r="F573" t="s">
        <v>158</v>
      </c>
      <c r="G573">
        <v>1</v>
      </c>
      <c r="H573" s="59">
        <v>449</v>
      </c>
      <c r="I573" t="s">
        <v>1041</v>
      </c>
      <c r="J573" t="s">
        <v>14</v>
      </c>
      <c r="K573" s="60" t="s">
        <v>14</v>
      </c>
      <c r="L573" s="59">
        <v>0</v>
      </c>
      <c r="M573" s="61">
        <v>449</v>
      </c>
      <c r="N573">
        <f ca="1">IF(LEFT(tblSales[[#This Row],[Category]],1)="A",RANDBETWEEN(1,4),RANDBETWEEN(2,7))</f>
        <v>3</v>
      </c>
      <c r="O573" s="61" t="str">
        <f>IF(COUNTIF($A$2:A573,A573)=1,SUMIFS(tblSales[Revenue],tblSales[Order ID],tblSales[[#This Row],[Order ID]]),"")</f>
        <v/>
      </c>
      <c r="P573" t="str">
        <f>TEXT(tblSales[[#This Row],[Date]],"ddd")</f>
        <v>Mon</v>
      </c>
      <c r="Q573">
        <f>1/COUNTIF(tblSales[Order ID],tblSales[[#This Row],[Order ID]])</f>
        <v>0.25</v>
      </c>
    </row>
    <row r="574" spans="1:17" x14ac:dyDescent="0.3">
      <c r="A574">
        <v>202134</v>
      </c>
      <c r="B574" s="15">
        <v>45487</v>
      </c>
      <c r="C574">
        <v>128796</v>
      </c>
      <c r="D574">
        <v>200548</v>
      </c>
      <c r="E574" t="s">
        <v>1043</v>
      </c>
      <c r="F574" t="s">
        <v>1059</v>
      </c>
      <c r="G574">
        <v>1</v>
      </c>
      <c r="H574" s="59">
        <v>29.99</v>
      </c>
      <c r="I574" t="s">
        <v>1041</v>
      </c>
      <c r="J574" t="s">
        <v>14</v>
      </c>
      <c r="K574" s="60" t="s">
        <v>14</v>
      </c>
      <c r="L574" s="59">
        <v>0</v>
      </c>
      <c r="M574" s="61">
        <v>29.99</v>
      </c>
      <c r="N574">
        <f ca="1">IF(LEFT(tblSales[[#This Row],[Category]],1)="A",RANDBETWEEN(1,4),RANDBETWEEN(2,7))</f>
        <v>2</v>
      </c>
      <c r="O574" s="61">
        <f>IF(COUNTIF($A$2:A574,A574)=1,SUMIFS(tblSales[Revenue],tblSales[Order ID],tblSales[[#This Row],[Order ID]]),"")</f>
        <v>127.96</v>
      </c>
      <c r="P574" t="str">
        <f>TEXT(tblSales[[#This Row],[Date]],"ddd")</f>
        <v>Sun</v>
      </c>
      <c r="Q574">
        <f>1/COUNTIF(tblSales[Order ID],tblSales[[#This Row],[Order ID]])</f>
        <v>0.25</v>
      </c>
    </row>
    <row r="575" spans="1:17" x14ac:dyDescent="0.3">
      <c r="A575">
        <v>202134</v>
      </c>
      <c r="B575" s="15">
        <v>45487</v>
      </c>
      <c r="C575">
        <v>128796</v>
      </c>
      <c r="D575">
        <v>200559</v>
      </c>
      <c r="E575" t="s">
        <v>1043</v>
      </c>
      <c r="F575" t="s">
        <v>1045</v>
      </c>
      <c r="G575">
        <v>1</v>
      </c>
      <c r="H575" s="59">
        <v>59.99</v>
      </c>
      <c r="I575" t="s">
        <v>1041</v>
      </c>
      <c r="J575" t="s">
        <v>14</v>
      </c>
      <c r="K575" s="60" t="s">
        <v>14</v>
      </c>
      <c r="L575" s="59">
        <v>0</v>
      </c>
      <c r="M575" s="61">
        <v>59.99</v>
      </c>
      <c r="N575">
        <f ca="1">IF(LEFT(tblSales[[#This Row],[Category]],1)="A",RANDBETWEEN(1,4),RANDBETWEEN(2,7))</f>
        <v>2</v>
      </c>
      <c r="O575" s="61" t="str">
        <f>IF(COUNTIF($A$2:A575,A575)=1,SUMIFS(tblSales[Revenue],tblSales[Order ID],tblSales[[#This Row],[Order ID]]),"")</f>
        <v/>
      </c>
      <c r="P575" t="str">
        <f>TEXT(tblSales[[#This Row],[Date]],"ddd")</f>
        <v>Sun</v>
      </c>
      <c r="Q575">
        <f>1/COUNTIF(tblSales[Order ID],tblSales[[#This Row],[Order ID]])</f>
        <v>0.25</v>
      </c>
    </row>
    <row r="576" spans="1:17" x14ac:dyDescent="0.3">
      <c r="A576">
        <v>202134</v>
      </c>
      <c r="B576" s="15">
        <v>45487</v>
      </c>
      <c r="C576">
        <v>128796</v>
      </c>
      <c r="D576">
        <v>200549</v>
      </c>
      <c r="E576" t="s">
        <v>1043</v>
      </c>
      <c r="F576" t="s">
        <v>1042</v>
      </c>
      <c r="G576">
        <v>1</v>
      </c>
      <c r="H576" s="59">
        <v>18.989999999999998</v>
      </c>
      <c r="I576" t="s">
        <v>1041</v>
      </c>
      <c r="J576" t="s">
        <v>14</v>
      </c>
      <c r="K576" s="60" t="s">
        <v>14</v>
      </c>
      <c r="L576" s="59">
        <v>0</v>
      </c>
      <c r="M576" s="61">
        <v>18.989999999999998</v>
      </c>
      <c r="N576">
        <f ca="1">IF(LEFT(tblSales[[#This Row],[Category]],1)="A",RANDBETWEEN(1,4),RANDBETWEEN(2,7))</f>
        <v>3</v>
      </c>
      <c r="O576" s="61" t="str">
        <f>IF(COUNTIF($A$2:A576,A576)=1,SUMIFS(tblSales[Revenue],tblSales[Order ID],tblSales[[#This Row],[Order ID]]),"")</f>
        <v/>
      </c>
      <c r="P576" t="str">
        <f>TEXT(tblSales[[#This Row],[Date]],"ddd")</f>
        <v>Sun</v>
      </c>
      <c r="Q576">
        <f>1/COUNTIF(tblSales[Order ID],tblSales[[#This Row],[Order ID]])</f>
        <v>0.25</v>
      </c>
    </row>
    <row r="577" spans="1:17" x14ac:dyDescent="0.3">
      <c r="A577">
        <v>202134</v>
      </c>
      <c r="B577" s="15">
        <v>45487</v>
      </c>
      <c r="C577">
        <v>128796</v>
      </c>
      <c r="D577">
        <v>200558</v>
      </c>
      <c r="E577" t="s">
        <v>1043</v>
      </c>
      <c r="F577" t="s">
        <v>1053</v>
      </c>
      <c r="G577">
        <v>1</v>
      </c>
      <c r="H577" s="59">
        <v>18.989999999999998</v>
      </c>
      <c r="I577" t="s">
        <v>1041</v>
      </c>
      <c r="J577" t="s">
        <v>14</v>
      </c>
      <c r="K577" s="60" t="s">
        <v>14</v>
      </c>
      <c r="L577" s="59">
        <v>0</v>
      </c>
      <c r="M577" s="61">
        <v>18.989999999999998</v>
      </c>
      <c r="N577">
        <f ca="1">IF(LEFT(tblSales[[#This Row],[Category]],1)="A",RANDBETWEEN(1,4),RANDBETWEEN(2,7))</f>
        <v>2</v>
      </c>
      <c r="O577" s="61" t="str">
        <f>IF(COUNTIF($A$2:A577,A577)=1,SUMIFS(tblSales[Revenue],tblSales[Order ID],tblSales[[#This Row],[Order ID]]),"")</f>
        <v/>
      </c>
      <c r="P577" t="str">
        <f>TEXT(tblSales[[#This Row],[Date]],"ddd")</f>
        <v>Sun</v>
      </c>
      <c r="Q577">
        <f>1/COUNTIF(tblSales[Order ID],tblSales[[#This Row],[Order ID]])</f>
        <v>0.25</v>
      </c>
    </row>
    <row r="578" spans="1:17" x14ac:dyDescent="0.3">
      <c r="A578">
        <v>202135</v>
      </c>
      <c r="B578" s="15">
        <v>45489</v>
      </c>
      <c r="C578">
        <v>109674</v>
      </c>
      <c r="D578">
        <v>100252</v>
      </c>
      <c r="E578" t="s">
        <v>1046</v>
      </c>
      <c r="F578" t="s">
        <v>158</v>
      </c>
      <c r="G578">
        <v>1</v>
      </c>
      <c r="H578" s="59">
        <v>449</v>
      </c>
      <c r="I578" t="s">
        <v>1041</v>
      </c>
      <c r="J578" t="s">
        <v>14</v>
      </c>
      <c r="K578" s="60" t="s">
        <v>14</v>
      </c>
      <c r="L578" s="59">
        <v>0</v>
      </c>
      <c r="M578" s="61">
        <v>449</v>
      </c>
      <c r="N578">
        <f ca="1">IF(LEFT(tblSales[[#This Row],[Category]],1)="A",RANDBETWEEN(1,4),RANDBETWEEN(2,7))</f>
        <v>6</v>
      </c>
      <c r="O578" s="61">
        <f>IF(COUNTIF($A$2:A578,A578)=1,SUMIFS(tblSales[Revenue],tblSales[Order ID],tblSales[[#This Row],[Order ID]]),"")</f>
        <v>449</v>
      </c>
      <c r="P578" t="str">
        <f>TEXT(tblSales[[#This Row],[Date]],"ddd")</f>
        <v>Tue</v>
      </c>
      <c r="Q578">
        <f>1/COUNTIF(tblSales[Order ID],tblSales[[#This Row],[Order ID]])</f>
        <v>1</v>
      </c>
    </row>
    <row r="579" spans="1:17" x14ac:dyDescent="0.3">
      <c r="A579">
        <v>202136</v>
      </c>
      <c r="B579" s="15">
        <v>45485</v>
      </c>
      <c r="C579">
        <v>120507</v>
      </c>
      <c r="D579">
        <v>200553</v>
      </c>
      <c r="E579" t="s">
        <v>1043</v>
      </c>
      <c r="F579" t="s">
        <v>1055</v>
      </c>
      <c r="G579">
        <v>1</v>
      </c>
      <c r="H579" s="59">
        <v>29.99</v>
      </c>
      <c r="I579" t="s">
        <v>1041</v>
      </c>
      <c r="J579" t="s">
        <v>14</v>
      </c>
      <c r="K579" s="60" t="s">
        <v>14</v>
      </c>
      <c r="L579" s="59">
        <v>0</v>
      </c>
      <c r="M579" s="61">
        <v>29.99</v>
      </c>
      <c r="N579">
        <f ca="1">IF(LEFT(tblSales[[#This Row],[Category]],1)="A",RANDBETWEEN(1,4),RANDBETWEEN(2,7))</f>
        <v>2</v>
      </c>
      <c r="O579" s="61">
        <f>IF(COUNTIF($A$2:A579,A579)=1,SUMIFS(tblSales[Revenue],tblSales[Order ID],tblSales[[#This Row],[Order ID]]),"")</f>
        <v>29.99</v>
      </c>
      <c r="P579" t="str">
        <f>TEXT(tblSales[[#This Row],[Date]],"ddd")</f>
        <v>Fri</v>
      </c>
      <c r="Q579">
        <f>1/COUNTIF(tblSales[Order ID],tblSales[[#This Row],[Order ID]])</f>
        <v>1</v>
      </c>
    </row>
    <row r="580" spans="1:17" x14ac:dyDescent="0.3">
      <c r="A580">
        <v>202137</v>
      </c>
      <c r="B580" s="15">
        <v>45486</v>
      </c>
      <c r="C580">
        <v>104703</v>
      </c>
      <c r="D580">
        <v>100252</v>
      </c>
      <c r="E580" t="s">
        <v>1046</v>
      </c>
      <c r="F580" t="s">
        <v>158</v>
      </c>
      <c r="G580">
        <v>4</v>
      </c>
      <c r="H580" s="59">
        <v>449</v>
      </c>
      <c r="I580" t="s">
        <v>120</v>
      </c>
      <c r="J580" t="s">
        <v>1064</v>
      </c>
      <c r="K580" s="60">
        <v>0.1</v>
      </c>
      <c r="L580" s="59">
        <v>179.60000000000002</v>
      </c>
      <c r="M580" s="61">
        <v>1616.4</v>
      </c>
      <c r="N580">
        <f ca="1">IF(LEFT(tblSales[[#This Row],[Category]],1)="A",RANDBETWEEN(1,4),RANDBETWEEN(2,7))</f>
        <v>2</v>
      </c>
      <c r="O580" s="61">
        <f>IF(COUNTIF($A$2:A580,A580)=1,SUMIFS(tblSales[Revenue],tblSales[Order ID],tblSales[[#This Row],[Order ID]]),"")</f>
        <v>1616.4</v>
      </c>
      <c r="P580" t="str">
        <f>TEXT(tblSales[[#This Row],[Date]],"ddd")</f>
        <v>Sat</v>
      </c>
      <c r="Q580">
        <f>1/COUNTIF(tblSales[Order ID],tblSales[[#This Row],[Order ID]])</f>
        <v>1</v>
      </c>
    </row>
    <row r="581" spans="1:17" x14ac:dyDescent="0.3">
      <c r="A581">
        <v>202138</v>
      </c>
      <c r="B581" s="15">
        <v>45490</v>
      </c>
      <c r="C581">
        <v>122886</v>
      </c>
      <c r="D581">
        <v>300185</v>
      </c>
      <c r="E581" t="s">
        <v>1040</v>
      </c>
      <c r="F581" t="s">
        <v>1049</v>
      </c>
      <c r="G581">
        <v>3</v>
      </c>
      <c r="H581" s="59">
        <v>29.99</v>
      </c>
      <c r="I581" t="s">
        <v>1041</v>
      </c>
      <c r="J581" t="s">
        <v>14</v>
      </c>
      <c r="K581" s="60" t="s">
        <v>14</v>
      </c>
      <c r="L581" s="59">
        <v>0</v>
      </c>
      <c r="M581" s="61">
        <v>89.97</v>
      </c>
      <c r="N581">
        <f ca="1">IF(LEFT(tblSales[[#This Row],[Category]],1)="A",RANDBETWEEN(1,4),RANDBETWEEN(2,7))</f>
        <v>4</v>
      </c>
      <c r="O581" s="61">
        <f>IF(COUNTIF($A$2:A581,A581)=1,SUMIFS(tblSales[Revenue],tblSales[Order ID],tblSales[[#This Row],[Order ID]]),"")</f>
        <v>89.97</v>
      </c>
      <c r="P581" t="str">
        <f>TEXT(tblSales[[#This Row],[Date]],"ddd")</f>
        <v>Wed</v>
      </c>
      <c r="Q581">
        <f>1/COUNTIF(tblSales[Order ID],tblSales[[#This Row],[Order ID]])</f>
        <v>1</v>
      </c>
    </row>
    <row r="582" spans="1:17" x14ac:dyDescent="0.3">
      <c r="A582">
        <v>202139</v>
      </c>
      <c r="B582" s="15">
        <v>45493</v>
      </c>
      <c r="C582">
        <v>121235</v>
      </c>
      <c r="D582">
        <v>300185</v>
      </c>
      <c r="E582" t="s">
        <v>1040</v>
      </c>
      <c r="F582" t="s">
        <v>1049</v>
      </c>
      <c r="G582">
        <v>1</v>
      </c>
      <c r="H582" s="59">
        <v>29.99</v>
      </c>
      <c r="I582" t="s">
        <v>1041</v>
      </c>
      <c r="J582" t="s">
        <v>14</v>
      </c>
      <c r="K582" s="60" t="s">
        <v>14</v>
      </c>
      <c r="L582" s="59">
        <v>0</v>
      </c>
      <c r="M582" s="61">
        <v>29.99</v>
      </c>
      <c r="N582">
        <f ca="1">IF(LEFT(tblSales[[#This Row],[Category]],1)="A",RANDBETWEEN(1,4),RANDBETWEEN(2,7))</f>
        <v>3</v>
      </c>
      <c r="O582" s="61">
        <f>IF(COUNTIF($A$2:A582,A582)=1,SUMIFS(tblSales[Revenue],tblSales[Order ID],tblSales[[#This Row],[Order ID]]),"")</f>
        <v>146.95999999999998</v>
      </c>
      <c r="P582" t="str">
        <f>TEXT(tblSales[[#This Row],[Date]],"ddd")</f>
        <v>Sat</v>
      </c>
      <c r="Q582">
        <f>1/COUNTIF(tblSales[Order ID],tblSales[[#This Row],[Order ID]])</f>
        <v>0.25</v>
      </c>
    </row>
    <row r="583" spans="1:17" x14ac:dyDescent="0.3">
      <c r="A583">
        <v>202139</v>
      </c>
      <c r="B583" s="15">
        <v>45493</v>
      </c>
      <c r="C583">
        <v>121235</v>
      </c>
      <c r="D583">
        <v>300191</v>
      </c>
      <c r="E583" t="s">
        <v>1040</v>
      </c>
      <c r="F583" t="s">
        <v>1051</v>
      </c>
      <c r="G583">
        <v>1</v>
      </c>
      <c r="H583" s="59">
        <v>21.99</v>
      </c>
      <c r="I583" t="s">
        <v>1041</v>
      </c>
      <c r="J583" t="s">
        <v>14</v>
      </c>
      <c r="K583" s="60" t="s">
        <v>14</v>
      </c>
      <c r="L583" s="59">
        <v>0</v>
      </c>
      <c r="M583" s="61">
        <v>21.99</v>
      </c>
      <c r="N583">
        <f ca="1">IF(LEFT(tblSales[[#This Row],[Category]],1)="A",RANDBETWEEN(1,4),RANDBETWEEN(2,7))</f>
        <v>1</v>
      </c>
      <c r="O583" s="61" t="str">
        <f>IF(COUNTIF($A$2:A583,A583)=1,SUMIFS(tblSales[Revenue],tblSales[Order ID],tblSales[[#This Row],[Order ID]]),"")</f>
        <v/>
      </c>
      <c r="P583" t="str">
        <f>TEXT(tblSales[[#This Row],[Date]],"ddd")</f>
        <v>Sat</v>
      </c>
      <c r="Q583">
        <f>1/COUNTIF(tblSales[Order ID],tblSales[[#This Row],[Order ID]])</f>
        <v>0.25</v>
      </c>
    </row>
    <row r="584" spans="1:17" x14ac:dyDescent="0.3">
      <c r="A584">
        <v>202139</v>
      </c>
      <c r="B584" s="15">
        <v>45493</v>
      </c>
      <c r="C584">
        <v>121235</v>
      </c>
      <c r="D584">
        <v>300185</v>
      </c>
      <c r="E584" t="s">
        <v>1040</v>
      </c>
      <c r="F584" t="s">
        <v>1049</v>
      </c>
      <c r="G584">
        <v>1</v>
      </c>
      <c r="H584" s="59">
        <v>29.99</v>
      </c>
      <c r="I584" t="s">
        <v>1041</v>
      </c>
      <c r="J584" t="s">
        <v>14</v>
      </c>
      <c r="K584" s="60" t="s">
        <v>14</v>
      </c>
      <c r="L584" s="59">
        <v>0</v>
      </c>
      <c r="M584" s="61">
        <v>29.99</v>
      </c>
      <c r="N584">
        <f ca="1">IF(LEFT(tblSales[[#This Row],[Category]],1)="A",RANDBETWEEN(1,4),RANDBETWEEN(2,7))</f>
        <v>1</v>
      </c>
      <c r="O584" s="61" t="str">
        <f>IF(COUNTIF($A$2:A584,A584)=1,SUMIFS(tblSales[Revenue],tblSales[Order ID],tblSales[[#This Row],[Order ID]]),"")</f>
        <v/>
      </c>
      <c r="P584" t="str">
        <f>TEXT(tblSales[[#This Row],[Date]],"ddd")</f>
        <v>Sat</v>
      </c>
      <c r="Q584">
        <f>1/COUNTIF(tblSales[Order ID],tblSales[[#This Row],[Order ID]])</f>
        <v>0.25</v>
      </c>
    </row>
    <row r="585" spans="1:17" x14ac:dyDescent="0.3">
      <c r="A585">
        <v>202139</v>
      </c>
      <c r="B585" s="15">
        <v>45493</v>
      </c>
      <c r="C585">
        <v>121235</v>
      </c>
      <c r="D585">
        <v>200556</v>
      </c>
      <c r="E585" t="s">
        <v>1043</v>
      </c>
      <c r="F585" t="s">
        <v>1044</v>
      </c>
      <c r="G585">
        <v>1</v>
      </c>
      <c r="H585" s="59">
        <v>64.989999999999995</v>
      </c>
      <c r="I585" t="s">
        <v>1041</v>
      </c>
      <c r="J585" t="s">
        <v>14</v>
      </c>
      <c r="K585" s="60" t="s">
        <v>14</v>
      </c>
      <c r="L585" s="59">
        <v>0</v>
      </c>
      <c r="M585" s="61">
        <v>64.989999999999995</v>
      </c>
      <c r="N585">
        <f ca="1">IF(LEFT(tblSales[[#This Row],[Category]],1)="A",RANDBETWEEN(1,4),RANDBETWEEN(2,7))</f>
        <v>4</v>
      </c>
      <c r="O585" s="61" t="str">
        <f>IF(COUNTIF($A$2:A585,A585)=1,SUMIFS(tblSales[Revenue],tblSales[Order ID],tblSales[[#This Row],[Order ID]]),"")</f>
        <v/>
      </c>
      <c r="P585" t="str">
        <f>TEXT(tblSales[[#This Row],[Date]],"ddd")</f>
        <v>Sat</v>
      </c>
      <c r="Q585">
        <f>1/COUNTIF(tblSales[Order ID],tblSales[[#This Row],[Order ID]])</f>
        <v>0.25</v>
      </c>
    </row>
    <row r="586" spans="1:17" x14ac:dyDescent="0.3">
      <c r="A586">
        <v>202140</v>
      </c>
      <c r="B586" s="15">
        <v>45493</v>
      </c>
      <c r="C586">
        <v>108374</v>
      </c>
      <c r="D586">
        <v>300185</v>
      </c>
      <c r="E586" t="s">
        <v>1040</v>
      </c>
      <c r="F586" t="s">
        <v>1049</v>
      </c>
      <c r="G586">
        <v>1</v>
      </c>
      <c r="H586" s="59">
        <v>29.99</v>
      </c>
      <c r="I586" t="s">
        <v>1041</v>
      </c>
      <c r="J586" t="s">
        <v>14</v>
      </c>
      <c r="K586" s="60" t="s">
        <v>14</v>
      </c>
      <c r="L586" s="59">
        <v>0</v>
      </c>
      <c r="M586" s="61">
        <v>29.99</v>
      </c>
      <c r="N586">
        <f ca="1">IF(LEFT(tblSales[[#This Row],[Category]],1)="A",RANDBETWEEN(1,4),RANDBETWEEN(2,7))</f>
        <v>2</v>
      </c>
      <c r="O586" s="61">
        <f>IF(COUNTIF($A$2:A586,A586)=1,SUMIFS(tblSales[Revenue],tblSales[Order ID],tblSales[[#This Row],[Order ID]]),"")</f>
        <v>29.99</v>
      </c>
      <c r="P586" t="str">
        <f>TEXT(tblSales[[#This Row],[Date]],"ddd")</f>
        <v>Sat</v>
      </c>
      <c r="Q586">
        <f>1/COUNTIF(tblSales[Order ID],tblSales[[#This Row],[Order ID]])</f>
        <v>1</v>
      </c>
    </row>
    <row r="587" spans="1:17" x14ac:dyDescent="0.3">
      <c r="A587">
        <v>202141</v>
      </c>
      <c r="B587" s="15">
        <v>45493</v>
      </c>
      <c r="C587">
        <v>104053</v>
      </c>
      <c r="D587">
        <v>200559</v>
      </c>
      <c r="E587" t="s">
        <v>1043</v>
      </c>
      <c r="F587" t="s">
        <v>1045</v>
      </c>
      <c r="G587">
        <v>1</v>
      </c>
      <c r="H587" s="59">
        <v>59.99</v>
      </c>
      <c r="I587" t="s">
        <v>1041</v>
      </c>
      <c r="J587" t="s">
        <v>14</v>
      </c>
      <c r="K587" s="60" t="s">
        <v>14</v>
      </c>
      <c r="L587" s="59">
        <v>0</v>
      </c>
      <c r="M587" s="61">
        <v>59.99</v>
      </c>
      <c r="N587">
        <f ca="1">IF(LEFT(tblSales[[#This Row],[Category]],1)="A",RANDBETWEEN(1,4),RANDBETWEEN(2,7))</f>
        <v>1</v>
      </c>
      <c r="O587" s="61">
        <f>IF(COUNTIF($A$2:A587,A587)=1,SUMIFS(tblSales[Revenue],tblSales[Order ID],tblSales[[#This Row],[Order ID]]),"")</f>
        <v>373.96000000000004</v>
      </c>
      <c r="P587" t="str">
        <f>TEXT(tblSales[[#This Row],[Date]],"ddd")</f>
        <v>Sat</v>
      </c>
      <c r="Q587">
        <f>1/COUNTIF(tblSales[Order ID],tblSales[[#This Row],[Order ID]])</f>
        <v>0.25</v>
      </c>
    </row>
    <row r="588" spans="1:17" x14ac:dyDescent="0.3">
      <c r="A588">
        <v>202141</v>
      </c>
      <c r="B588" s="15">
        <v>45493</v>
      </c>
      <c r="C588">
        <v>104053</v>
      </c>
      <c r="D588">
        <v>200556</v>
      </c>
      <c r="E588" t="s">
        <v>1043</v>
      </c>
      <c r="F588" t="s">
        <v>1044</v>
      </c>
      <c r="G588">
        <v>1</v>
      </c>
      <c r="H588" s="59">
        <v>64.989999999999995</v>
      </c>
      <c r="I588" t="s">
        <v>1041</v>
      </c>
      <c r="J588" t="s">
        <v>14</v>
      </c>
      <c r="K588" s="60" t="s">
        <v>14</v>
      </c>
      <c r="L588" s="59">
        <v>0</v>
      </c>
      <c r="M588" s="61">
        <v>64.989999999999995</v>
      </c>
      <c r="N588">
        <f ca="1">IF(LEFT(tblSales[[#This Row],[Category]],1)="A",RANDBETWEEN(1,4),RANDBETWEEN(2,7))</f>
        <v>2</v>
      </c>
      <c r="O588" s="61" t="str">
        <f>IF(COUNTIF($A$2:A588,A588)=1,SUMIFS(tblSales[Revenue],tblSales[Order ID],tblSales[[#This Row],[Order ID]]),"")</f>
        <v/>
      </c>
      <c r="P588" t="str">
        <f>TEXT(tblSales[[#This Row],[Date]],"ddd")</f>
        <v>Sat</v>
      </c>
      <c r="Q588">
        <f>1/COUNTIF(tblSales[Order ID],tblSales[[#This Row],[Order ID]])</f>
        <v>0.25</v>
      </c>
    </row>
    <row r="589" spans="1:17" x14ac:dyDescent="0.3">
      <c r="A589">
        <v>202141</v>
      </c>
      <c r="B589" s="15">
        <v>45493</v>
      </c>
      <c r="C589">
        <v>104053</v>
      </c>
      <c r="D589">
        <v>100250</v>
      </c>
      <c r="E589" t="s">
        <v>1046</v>
      </c>
      <c r="F589" t="s">
        <v>202</v>
      </c>
      <c r="G589">
        <v>1</v>
      </c>
      <c r="H589" s="59">
        <v>189</v>
      </c>
      <c r="I589" t="s">
        <v>1041</v>
      </c>
      <c r="J589" t="s">
        <v>14</v>
      </c>
      <c r="K589" s="60" t="s">
        <v>14</v>
      </c>
      <c r="L589" s="59">
        <v>0</v>
      </c>
      <c r="M589" s="61">
        <v>189</v>
      </c>
      <c r="N589">
        <f ca="1">IF(LEFT(tblSales[[#This Row],[Category]],1)="A",RANDBETWEEN(1,4),RANDBETWEEN(2,7))</f>
        <v>3</v>
      </c>
      <c r="O589" s="61" t="str">
        <f>IF(COUNTIF($A$2:A589,A589)=1,SUMIFS(tblSales[Revenue],tblSales[Order ID],tblSales[[#This Row],[Order ID]]),"")</f>
        <v/>
      </c>
      <c r="P589" t="str">
        <f>TEXT(tblSales[[#This Row],[Date]],"ddd")</f>
        <v>Sat</v>
      </c>
      <c r="Q589">
        <f>1/COUNTIF(tblSales[Order ID],tblSales[[#This Row],[Order ID]])</f>
        <v>0.25</v>
      </c>
    </row>
    <row r="590" spans="1:17" x14ac:dyDescent="0.3">
      <c r="A590">
        <v>202141</v>
      </c>
      <c r="B590" s="15">
        <v>45493</v>
      </c>
      <c r="C590">
        <v>104053</v>
      </c>
      <c r="D590">
        <v>300185</v>
      </c>
      <c r="E590" t="s">
        <v>1040</v>
      </c>
      <c r="F590" t="s">
        <v>1049</v>
      </c>
      <c r="G590">
        <v>2</v>
      </c>
      <c r="H590" s="59">
        <v>29.99</v>
      </c>
      <c r="I590" t="s">
        <v>1041</v>
      </c>
      <c r="J590" t="s">
        <v>14</v>
      </c>
      <c r="K590" s="60" t="s">
        <v>14</v>
      </c>
      <c r="L590" s="59">
        <v>0</v>
      </c>
      <c r="M590" s="61">
        <v>59.98</v>
      </c>
      <c r="N590">
        <f ca="1">IF(LEFT(tblSales[[#This Row],[Category]],1)="A",RANDBETWEEN(1,4),RANDBETWEEN(2,7))</f>
        <v>4</v>
      </c>
      <c r="O590" s="61" t="str">
        <f>IF(COUNTIF($A$2:A590,A590)=1,SUMIFS(tblSales[Revenue],tblSales[Order ID],tblSales[[#This Row],[Order ID]]),"")</f>
        <v/>
      </c>
      <c r="P590" t="str">
        <f>TEXT(tblSales[[#This Row],[Date]],"ddd")</f>
        <v>Sat</v>
      </c>
      <c r="Q590">
        <f>1/COUNTIF(tblSales[Order ID],tblSales[[#This Row],[Order ID]])</f>
        <v>0.25</v>
      </c>
    </row>
    <row r="591" spans="1:17" x14ac:dyDescent="0.3">
      <c r="A591">
        <v>202142</v>
      </c>
      <c r="B591" s="15">
        <v>45484</v>
      </c>
      <c r="C591">
        <v>103404</v>
      </c>
      <c r="D591">
        <v>100250</v>
      </c>
      <c r="E591" t="s">
        <v>1046</v>
      </c>
      <c r="F591" t="s">
        <v>202</v>
      </c>
      <c r="G591">
        <v>5</v>
      </c>
      <c r="H591" s="59">
        <v>189</v>
      </c>
      <c r="I591" t="s">
        <v>1041</v>
      </c>
      <c r="J591" t="s">
        <v>14</v>
      </c>
      <c r="K591" s="60" t="s">
        <v>14</v>
      </c>
      <c r="L591" s="59">
        <v>0</v>
      </c>
      <c r="M591" s="61">
        <v>945</v>
      </c>
      <c r="N591">
        <f ca="1">IF(LEFT(tblSales[[#This Row],[Category]],1)="A",RANDBETWEEN(1,4),RANDBETWEEN(2,7))</f>
        <v>4</v>
      </c>
      <c r="O591" s="61">
        <f>IF(COUNTIF($A$2:A591,A591)=1,SUMIFS(tblSales[Revenue],tblSales[Order ID],tblSales[[#This Row],[Order ID]]),"")</f>
        <v>4141</v>
      </c>
      <c r="P591" t="str">
        <f>TEXT(tblSales[[#This Row],[Date]],"ddd")</f>
        <v>Thu</v>
      </c>
      <c r="Q591">
        <f>1/COUNTIF(tblSales[Order ID],tblSales[[#This Row],[Order ID]])</f>
        <v>0.5</v>
      </c>
    </row>
    <row r="592" spans="1:17" x14ac:dyDescent="0.3">
      <c r="A592">
        <v>202142</v>
      </c>
      <c r="B592" s="15">
        <v>45484</v>
      </c>
      <c r="C592">
        <v>103404</v>
      </c>
      <c r="D592">
        <v>100254</v>
      </c>
      <c r="E592" t="s">
        <v>1046</v>
      </c>
      <c r="F592" t="s">
        <v>164</v>
      </c>
      <c r="G592">
        <v>4</v>
      </c>
      <c r="H592" s="59">
        <v>799</v>
      </c>
      <c r="I592" t="s">
        <v>1041</v>
      </c>
      <c r="J592" t="s">
        <v>14</v>
      </c>
      <c r="K592" s="60" t="s">
        <v>14</v>
      </c>
      <c r="L592" s="59">
        <v>0</v>
      </c>
      <c r="M592" s="61">
        <v>3196</v>
      </c>
      <c r="N592">
        <f ca="1">IF(LEFT(tblSales[[#This Row],[Category]],1)="A",RANDBETWEEN(1,4),RANDBETWEEN(2,7))</f>
        <v>3</v>
      </c>
      <c r="O592" s="61" t="str">
        <f>IF(COUNTIF($A$2:A592,A592)=1,SUMIFS(tblSales[Revenue],tblSales[Order ID],tblSales[[#This Row],[Order ID]]),"")</f>
        <v/>
      </c>
      <c r="P592" t="str">
        <f>TEXT(tblSales[[#This Row],[Date]],"ddd")</f>
        <v>Thu</v>
      </c>
      <c r="Q592">
        <f>1/COUNTIF(tblSales[Order ID],tblSales[[#This Row],[Order ID]])</f>
        <v>0.5</v>
      </c>
    </row>
    <row r="593" spans="1:17" x14ac:dyDescent="0.3">
      <c r="A593">
        <v>202143</v>
      </c>
      <c r="B593" s="15">
        <v>45481</v>
      </c>
      <c r="C593">
        <v>125110</v>
      </c>
      <c r="D593">
        <v>300185</v>
      </c>
      <c r="E593" t="s">
        <v>1040</v>
      </c>
      <c r="F593" t="s">
        <v>1049</v>
      </c>
      <c r="G593">
        <v>1</v>
      </c>
      <c r="H593" s="59">
        <v>29.99</v>
      </c>
      <c r="I593" t="s">
        <v>120</v>
      </c>
      <c r="J593" t="s">
        <v>1047</v>
      </c>
      <c r="K593" s="60">
        <v>0.1</v>
      </c>
      <c r="L593" s="59">
        <v>2.9990000000000001</v>
      </c>
      <c r="M593" s="61">
        <v>26.991</v>
      </c>
      <c r="N593">
        <f ca="1">IF(LEFT(tblSales[[#This Row],[Category]],1)="A",RANDBETWEEN(1,4),RANDBETWEEN(2,7))</f>
        <v>3</v>
      </c>
      <c r="O593" s="61">
        <f>IF(COUNTIF($A$2:A593,A593)=1,SUMIFS(tblSales[Revenue],tblSales[Order ID],tblSales[[#This Row],[Order ID]]),"")</f>
        <v>26.991</v>
      </c>
      <c r="P593" t="str">
        <f>TEXT(tblSales[[#This Row],[Date]],"ddd")</f>
        <v>Mon</v>
      </c>
      <c r="Q593">
        <f>1/COUNTIF(tblSales[Order ID],tblSales[[#This Row],[Order ID]])</f>
        <v>1</v>
      </c>
    </row>
    <row r="594" spans="1:17" x14ac:dyDescent="0.3">
      <c r="A594">
        <v>202144</v>
      </c>
      <c r="B594" s="15">
        <v>45483</v>
      </c>
      <c r="C594">
        <v>114115</v>
      </c>
      <c r="D594">
        <v>200559</v>
      </c>
      <c r="E594" t="s">
        <v>1043</v>
      </c>
      <c r="F594" t="s">
        <v>1045</v>
      </c>
      <c r="G594">
        <v>1</v>
      </c>
      <c r="H594" s="59">
        <v>59.99</v>
      </c>
      <c r="I594" t="s">
        <v>1041</v>
      </c>
      <c r="J594" t="s">
        <v>14</v>
      </c>
      <c r="K594" s="60" t="s">
        <v>14</v>
      </c>
      <c r="L594" s="59">
        <v>0</v>
      </c>
      <c r="M594" s="61">
        <v>59.99</v>
      </c>
      <c r="N594">
        <f ca="1">IF(LEFT(tblSales[[#This Row],[Category]],1)="A",RANDBETWEEN(1,4),RANDBETWEEN(2,7))</f>
        <v>4</v>
      </c>
      <c r="O594" s="61">
        <f>IF(COUNTIF($A$2:A594,A594)=1,SUMIFS(tblSales[Revenue],tblSales[Order ID],tblSales[[#This Row],[Order ID]]),"")</f>
        <v>458.99</v>
      </c>
      <c r="P594" t="str">
        <f>TEXT(tblSales[[#This Row],[Date]],"ddd")</f>
        <v>Wed</v>
      </c>
      <c r="Q594">
        <f>1/COUNTIF(tblSales[Order ID],tblSales[[#This Row],[Order ID]])</f>
        <v>0.5</v>
      </c>
    </row>
    <row r="595" spans="1:17" x14ac:dyDescent="0.3">
      <c r="A595">
        <v>202144</v>
      </c>
      <c r="B595" s="15">
        <v>45483</v>
      </c>
      <c r="C595">
        <v>114115</v>
      </c>
      <c r="D595">
        <v>100251</v>
      </c>
      <c r="E595" t="s">
        <v>1046</v>
      </c>
      <c r="F595" t="s">
        <v>150</v>
      </c>
      <c r="G595">
        <v>1</v>
      </c>
      <c r="H595" s="59">
        <v>399</v>
      </c>
      <c r="I595" t="s">
        <v>1041</v>
      </c>
      <c r="J595" t="s">
        <v>14</v>
      </c>
      <c r="K595" s="60" t="s">
        <v>14</v>
      </c>
      <c r="L595" s="59">
        <v>0</v>
      </c>
      <c r="M595" s="61">
        <v>399</v>
      </c>
      <c r="N595">
        <f ca="1">IF(LEFT(tblSales[[#This Row],[Category]],1)="A",RANDBETWEEN(1,4),RANDBETWEEN(2,7))</f>
        <v>5</v>
      </c>
      <c r="O595" s="61" t="str">
        <f>IF(COUNTIF($A$2:A595,A595)=1,SUMIFS(tblSales[Revenue],tblSales[Order ID],tblSales[[#This Row],[Order ID]]),"")</f>
        <v/>
      </c>
      <c r="P595" t="str">
        <f>TEXT(tblSales[[#This Row],[Date]],"ddd")</f>
        <v>Wed</v>
      </c>
      <c r="Q595">
        <f>1/COUNTIF(tblSales[Order ID],tblSales[[#This Row],[Order ID]])</f>
        <v>0.5</v>
      </c>
    </row>
    <row r="596" spans="1:17" x14ac:dyDescent="0.3">
      <c r="A596">
        <v>202145</v>
      </c>
      <c r="B596" s="15">
        <v>45482</v>
      </c>
      <c r="C596">
        <v>113854</v>
      </c>
      <c r="D596">
        <v>300191</v>
      </c>
      <c r="E596" t="s">
        <v>1040</v>
      </c>
      <c r="F596" t="s">
        <v>1051</v>
      </c>
      <c r="G596">
        <v>1</v>
      </c>
      <c r="H596" s="59">
        <v>21.99</v>
      </c>
      <c r="I596" t="s">
        <v>1041</v>
      </c>
      <c r="J596" t="s">
        <v>14</v>
      </c>
      <c r="K596" s="60" t="s">
        <v>14</v>
      </c>
      <c r="L596" s="59">
        <v>0</v>
      </c>
      <c r="M596" s="61">
        <v>21.99</v>
      </c>
      <c r="N596">
        <f ca="1">IF(LEFT(tblSales[[#This Row],[Category]],1)="A",RANDBETWEEN(1,4),RANDBETWEEN(2,7))</f>
        <v>3</v>
      </c>
      <c r="O596" s="61">
        <f>IF(COUNTIF($A$2:A596,A596)=1,SUMIFS(tblSales[Revenue],tblSales[Order ID],tblSales[[#This Row],[Order ID]]),"")</f>
        <v>21.99</v>
      </c>
      <c r="P596" t="str">
        <f>TEXT(tblSales[[#This Row],[Date]],"ddd")</f>
        <v>Tue</v>
      </c>
      <c r="Q596">
        <f>1/COUNTIF(tblSales[Order ID],tblSales[[#This Row],[Order ID]])</f>
        <v>1</v>
      </c>
    </row>
    <row r="597" spans="1:17" x14ac:dyDescent="0.3">
      <c r="A597">
        <v>202146</v>
      </c>
      <c r="B597" s="15">
        <v>45491</v>
      </c>
      <c r="C597">
        <v>108292</v>
      </c>
      <c r="D597">
        <v>300185</v>
      </c>
      <c r="E597" t="s">
        <v>1040</v>
      </c>
      <c r="F597" t="s">
        <v>1049</v>
      </c>
      <c r="G597">
        <v>4</v>
      </c>
      <c r="H597" s="59">
        <v>29.99</v>
      </c>
      <c r="I597" t="s">
        <v>1041</v>
      </c>
      <c r="J597" t="s">
        <v>14</v>
      </c>
      <c r="K597" s="60" t="s">
        <v>14</v>
      </c>
      <c r="L597" s="59">
        <v>0</v>
      </c>
      <c r="M597" s="61">
        <v>119.96</v>
      </c>
      <c r="N597">
        <f ca="1">IF(LEFT(tblSales[[#This Row],[Category]],1)="A",RANDBETWEEN(1,4),RANDBETWEEN(2,7))</f>
        <v>3</v>
      </c>
      <c r="O597" s="61">
        <f>IF(COUNTIF($A$2:A597,A597)=1,SUMIFS(tblSales[Revenue],tblSales[Order ID],tblSales[[#This Row],[Order ID]]),"")</f>
        <v>119.96</v>
      </c>
      <c r="P597" t="str">
        <f>TEXT(tblSales[[#This Row],[Date]],"ddd")</f>
        <v>Thu</v>
      </c>
      <c r="Q597">
        <f>1/COUNTIF(tblSales[Order ID],tblSales[[#This Row],[Order ID]])</f>
        <v>1</v>
      </c>
    </row>
    <row r="598" spans="1:17" x14ac:dyDescent="0.3">
      <c r="A598">
        <v>202147</v>
      </c>
      <c r="B598" s="15">
        <v>45487</v>
      </c>
      <c r="C598">
        <v>117973</v>
      </c>
      <c r="D598">
        <v>100252</v>
      </c>
      <c r="E598" t="s">
        <v>1046</v>
      </c>
      <c r="F598" t="s">
        <v>158</v>
      </c>
      <c r="G598">
        <v>3</v>
      </c>
      <c r="H598" s="59">
        <v>449</v>
      </c>
      <c r="I598" t="s">
        <v>1041</v>
      </c>
      <c r="J598" t="s">
        <v>14</v>
      </c>
      <c r="K598" s="60" t="s">
        <v>14</v>
      </c>
      <c r="L598" s="59">
        <v>0</v>
      </c>
      <c r="M598" s="61">
        <v>1347</v>
      </c>
      <c r="N598">
        <f ca="1">IF(LEFT(tblSales[[#This Row],[Category]],1)="A",RANDBETWEEN(1,4),RANDBETWEEN(2,7))</f>
        <v>2</v>
      </c>
      <c r="O598" s="61">
        <f>IF(COUNTIF($A$2:A598,A598)=1,SUMIFS(tblSales[Revenue],tblSales[Order ID],tblSales[[#This Row],[Order ID]]),"")</f>
        <v>1347</v>
      </c>
      <c r="P598" t="str">
        <f>TEXT(tblSales[[#This Row],[Date]],"ddd")</f>
        <v>Sun</v>
      </c>
      <c r="Q598">
        <f>1/COUNTIF(tblSales[Order ID],tblSales[[#This Row],[Order ID]])</f>
        <v>1</v>
      </c>
    </row>
    <row r="599" spans="1:17" x14ac:dyDescent="0.3">
      <c r="A599">
        <v>202148</v>
      </c>
      <c r="B599" s="15">
        <v>45486</v>
      </c>
      <c r="C599">
        <v>124489</v>
      </c>
      <c r="D599">
        <v>300185</v>
      </c>
      <c r="E599" t="s">
        <v>1040</v>
      </c>
      <c r="F599" t="s">
        <v>1049</v>
      </c>
      <c r="G599">
        <v>1</v>
      </c>
      <c r="H599" s="59">
        <v>29.99</v>
      </c>
      <c r="I599" t="s">
        <v>1041</v>
      </c>
      <c r="J599" t="s">
        <v>14</v>
      </c>
      <c r="K599" s="60" t="s">
        <v>14</v>
      </c>
      <c r="L599" s="59">
        <v>0</v>
      </c>
      <c r="M599" s="61">
        <v>29.99</v>
      </c>
      <c r="N599">
        <f ca="1">IF(LEFT(tblSales[[#This Row],[Category]],1)="A",RANDBETWEEN(1,4),RANDBETWEEN(2,7))</f>
        <v>1</v>
      </c>
      <c r="O599" s="61">
        <f>IF(COUNTIF($A$2:A599,A599)=1,SUMIFS(tblSales[Revenue],tblSales[Order ID],tblSales[[#This Row],[Order ID]]),"")</f>
        <v>174.95000000000002</v>
      </c>
      <c r="P599" t="str">
        <f>TEXT(tblSales[[#This Row],[Date]],"ddd")</f>
        <v>Sat</v>
      </c>
      <c r="Q599">
        <f>1/COUNTIF(tblSales[Order ID],tblSales[[#This Row],[Order ID]])</f>
        <v>0.25</v>
      </c>
    </row>
    <row r="600" spans="1:17" x14ac:dyDescent="0.3">
      <c r="A600">
        <v>202148</v>
      </c>
      <c r="B600" s="15">
        <v>45486</v>
      </c>
      <c r="C600">
        <v>124489</v>
      </c>
      <c r="D600">
        <v>300185</v>
      </c>
      <c r="E600" t="s">
        <v>1040</v>
      </c>
      <c r="F600" t="s">
        <v>1049</v>
      </c>
      <c r="G600">
        <v>2</v>
      </c>
      <c r="H600" s="59">
        <v>29.99</v>
      </c>
      <c r="I600" t="s">
        <v>1041</v>
      </c>
      <c r="J600" t="s">
        <v>14</v>
      </c>
      <c r="K600" s="60" t="s">
        <v>14</v>
      </c>
      <c r="L600" s="59">
        <v>0</v>
      </c>
      <c r="M600" s="61">
        <v>59.98</v>
      </c>
      <c r="N600">
        <f ca="1">IF(LEFT(tblSales[[#This Row],[Category]],1)="A",RANDBETWEEN(1,4),RANDBETWEEN(2,7))</f>
        <v>3</v>
      </c>
      <c r="O600" s="61" t="str">
        <f>IF(COUNTIF($A$2:A600,A600)=1,SUMIFS(tblSales[Revenue],tblSales[Order ID],tblSales[[#This Row],[Order ID]]),"")</f>
        <v/>
      </c>
      <c r="P600" t="str">
        <f>TEXT(tblSales[[#This Row],[Date]],"ddd")</f>
        <v>Sat</v>
      </c>
      <c r="Q600">
        <f>1/COUNTIF(tblSales[Order ID],tblSales[[#This Row],[Order ID]])</f>
        <v>0.25</v>
      </c>
    </row>
    <row r="601" spans="1:17" x14ac:dyDescent="0.3">
      <c r="A601">
        <v>202148</v>
      </c>
      <c r="B601" s="15">
        <v>45486</v>
      </c>
      <c r="C601">
        <v>124489</v>
      </c>
      <c r="D601">
        <v>200559</v>
      </c>
      <c r="E601" t="s">
        <v>1043</v>
      </c>
      <c r="F601" t="s">
        <v>1045</v>
      </c>
      <c r="G601">
        <v>1</v>
      </c>
      <c r="H601" s="59">
        <v>59.99</v>
      </c>
      <c r="I601" t="s">
        <v>1041</v>
      </c>
      <c r="J601" t="s">
        <v>14</v>
      </c>
      <c r="K601" s="60" t="s">
        <v>14</v>
      </c>
      <c r="L601" s="59">
        <v>0</v>
      </c>
      <c r="M601" s="61">
        <v>59.99</v>
      </c>
      <c r="N601">
        <f ca="1">IF(LEFT(tblSales[[#This Row],[Category]],1)="A",RANDBETWEEN(1,4),RANDBETWEEN(2,7))</f>
        <v>2</v>
      </c>
      <c r="O601" s="61" t="str">
        <f>IF(COUNTIF($A$2:A601,A601)=1,SUMIFS(tblSales[Revenue],tblSales[Order ID],tblSales[[#This Row],[Order ID]]),"")</f>
        <v/>
      </c>
      <c r="P601" t="str">
        <f>TEXT(tblSales[[#This Row],[Date]],"ddd")</f>
        <v>Sat</v>
      </c>
      <c r="Q601">
        <f>1/COUNTIF(tblSales[Order ID],tblSales[[#This Row],[Order ID]])</f>
        <v>0.25</v>
      </c>
    </row>
    <row r="602" spans="1:17" x14ac:dyDescent="0.3">
      <c r="A602">
        <v>202148</v>
      </c>
      <c r="B602" s="15">
        <v>45486</v>
      </c>
      <c r="C602">
        <v>124489</v>
      </c>
      <c r="D602">
        <v>300189</v>
      </c>
      <c r="E602" t="s">
        <v>1040</v>
      </c>
      <c r="F602" t="s">
        <v>1050</v>
      </c>
      <c r="G602">
        <v>1</v>
      </c>
      <c r="H602" s="59">
        <v>24.99</v>
      </c>
      <c r="I602" t="s">
        <v>1041</v>
      </c>
      <c r="J602" t="s">
        <v>14</v>
      </c>
      <c r="K602" s="60" t="s">
        <v>14</v>
      </c>
      <c r="L602" s="59">
        <v>0</v>
      </c>
      <c r="M602" s="61">
        <v>24.99</v>
      </c>
      <c r="N602">
        <f ca="1">IF(LEFT(tblSales[[#This Row],[Category]],1)="A",RANDBETWEEN(1,4),RANDBETWEEN(2,7))</f>
        <v>1</v>
      </c>
      <c r="O602" s="61" t="str">
        <f>IF(COUNTIF($A$2:A602,A602)=1,SUMIFS(tblSales[Revenue],tblSales[Order ID],tblSales[[#This Row],[Order ID]]),"")</f>
        <v/>
      </c>
      <c r="P602" t="str">
        <f>TEXT(tblSales[[#This Row],[Date]],"ddd")</f>
        <v>Sat</v>
      </c>
      <c r="Q602">
        <f>1/COUNTIF(tblSales[Order ID],tblSales[[#This Row],[Order ID]])</f>
        <v>0.25</v>
      </c>
    </row>
    <row r="603" spans="1:17" x14ac:dyDescent="0.3">
      <c r="A603">
        <v>202149</v>
      </c>
      <c r="B603" s="15">
        <v>45493</v>
      </c>
      <c r="C603">
        <v>122926</v>
      </c>
      <c r="D603">
        <v>100252</v>
      </c>
      <c r="E603" t="s">
        <v>1046</v>
      </c>
      <c r="F603" t="s">
        <v>158</v>
      </c>
      <c r="G603">
        <v>1</v>
      </c>
      <c r="H603" s="59">
        <v>449</v>
      </c>
      <c r="I603" t="s">
        <v>1041</v>
      </c>
      <c r="J603" t="s">
        <v>14</v>
      </c>
      <c r="K603" s="60" t="s">
        <v>14</v>
      </c>
      <c r="L603" s="59">
        <v>0</v>
      </c>
      <c r="M603" s="61">
        <v>449</v>
      </c>
      <c r="N603">
        <f ca="1">IF(LEFT(tblSales[[#This Row],[Category]],1)="A",RANDBETWEEN(1,4),RANDBETWEEN(2,7))</f>
        <v>4</v>
      </c>
      <c r="O603" s="61">
        <f>IF(COUNTIF($A$2:A603,A603)=1,SUMIFS(tblSales[Revenue],tblSales[Order ID],tblSales[[#This Row],[Order ID]]),"")</f>
        <v>449</v>
      </c>
      <c r="P603" t="str">
        <f>TEXT(tblSales[[#This Row],[Date]],"ddd")</f>
        <v>Sat</v>
      </c>
      <c r="Q603">
        <f>1/COUNTIF(tblSales[Order ID],tblSales[[#This Row],[Order ID]])</f>
        <v>1</v>
      </c>
    </row>
    <row r="604" spans="1:17" x14ac:dyDescent="0.3">
      <c r="A604">
        <v>202150</v>
      </c>
      <c r="B604" s="15">
        <v>45486</v>
      </c>
      <c r="C604">
        <v>115572</v>
      </c>
      <c r="D604">
        <v>100254</v>
      </c>
      <c r="E604" t="s">
        <v>1046</v>
      </c>
      <c r="F604" t="s">
        <v>164</v>
      </c>
      <c r="G604">
        <v>1</v>
      </c>
      <c r="H604" s="59">
        <v>799</v>
      </c>
      <c r="I604" t="s">
        <v>1041</v>
      </c>
      <c r="J604" t="s">
        <v>14</v>
      </c>
      <c r="K604" s="60" t="s">
        <v>14</v>
      </c>
      <c r="L604" s="59">
        <v>0</v>
      </c>
      <c r="M604" s="61">
        <v>799</v>
      </c>
      <c r="N604">
        <f ca="1">IF(LEFT(tblSales[[#This Row],[Category]],1)="A",RANDBETWEEN(1,4),RANDBETWEEN(2,7))</f>
        <v>2</v>
      </c>
      <c r="O604" s="61">
        <f>IF(COUNTIF($A$2:A604,A604)=1,SUMIFS(tblSales[Revenue],tblSales[Order ID],tblSales[[#This Row],[Order ID]]),"")</f>
        <v>6054.99</v>
      </c>
      <c r="P604" t="str">
        <f>TEXT(tblSales[[#This Row],[Date]],"ddd")</f>
        <v>Sat</v>
      </c>
      <c r="Q604">
        <f>1/COUNTIF(tblSales[Order ID],tblSales[[#This Row],[Order ID]])</f>
        <v>0.33333333333333331</v>
      </c>
    </row>
    <row r="605" spans="1:17" x14ac:dyDescent="0.3">
      <c r="A605">
        <v>202150</v>
      </c>
      <c r="B605" s="15">
        <v>45486</v>
      </c>
      <c r="C605">
        <v>115572</v>
      </c>
      <c r="D605">
        <v>200559</v>
      </c>
      <c r="E605" t="s">
        <v>1043</v>
      </c>
      <c r="F605" t="s">
        <v>1045</v>
      </c>
      <c r="G605">
        <v>1</v>
      </c>
      <c r="H605" s="59">
        <v>59.99</v>
      </c>
      <c r="I605" t="s">
        <v>1041</v>
      </c>
      <c r="J605" t="s">
        <v>14</v>
      </c>
      <c r="K605" s="60" t="s">
        <v>14</v>
      </c>
      <c r="L605" s="59">
        <v>0</v>
      </c>
      <c r="M605" s="61">
        <v>59.99</v>
      </c>
      <c r="N605">
        <f ca="1">IF(LEFT(tblSales[[#This Row],[Category]],1)="A",RANDBETWEEN(1,4),RANDBETWEEN(2,7))</f>
        <v>4</v>
      </c>
      <c r="O605" s="61" t="str">
        <f>IF(COUNTIF($A$2:A605,A605)=1,SUMIFS(tblSales[Revenue],tblSales[Order ID],tblSales[[#This Row],[Order ID]]),"")</f>
        <v/>
      </c>
      <c r="P605" t="str">
        <f>TEXT(tblSales[[#This Row],[Date]],"ddd")</f>
        <v>Sat</v>
      </c>
      <c r="Q605">
        <f>1/COUNTIF(tblSales[Order ID],tblSales[[#This Row],[Order ID]])</f>
        <v>0.33333333333333331</v>
      </c>
    </row>
    <row r="606" spans="1:17" x14ac:dyDescent="0.3">
      <c r="A606">
        <v>202150</v>
      </c>
      <c r="B606" s="15">
        <v>45486</v>
      </c>
      <c r="C606">
        <v>115572</v>
      </c>
      <c r="D606">
        <v>100255</v>
      </c>
      <c r="E606" t="s">
        <v>1046</v>
      </c>
      <c r="F606" t="s">
        <v>172</v>
      </c>
      <c r="G606">
        <v>4</v>
      </c>
      <c r="H606" s="59">
        <v>1299</v>
      </c>
      <c r="I606" t="s">
        <v>1041</v>
      </c>
      <c r="J606" t="s">
        <v>14</v>
      </c>
      <c r="K606" s="60" t="s">
        <v>14</v>
      </c>
      <c r="L606" s="59">
        <v>0</v>
      </c>
      <c r="M606" s="61">
        <v>5196</v>
      </c>
      <c r="N606">
        <f ca="1">IF(LEFT(tblSales[[#This Row],[Category]],1)="A",RANDBETWEEN(1,4),RANDBETWEEN(2,7))</f>
        <v>2</v>
      </c>
      <c r="O606" s="61" t="str">
        <f>IF(COUNTIF($A$2:A606,A606)=1,SUMIFS(tblSales[Revenue],tblSales[Order ID],tblSales[[#This Row],[Order ID]]),"")</f>
        <v/>
      </c>
      <c r="P606" t="str">
        <f>TEXT(tblSales[[#This Row],[Date]],"ddd")</f>
        <v>Sat</v>
      </c>
      <c r="Q606">
        <f>1/COUNTIF(tblSales[Order ID],tblSales[[#This Row],[Order ID]])</f>
        <v>0.33333333333333331</v>
      </c>
    </row>
    <row r="607" spans="1:17" x14ac:dyDescent="0.3">
      <c r="A607">
        <v>202151</v>
      </c>
      <c r="B607" s="15">
        <v>45484</v>
      </c>
      <c r="C607">
        <v>107928</v>
      </c>
      <c r="D607">
        <v>300190</v>
      </c>
      <c r="E607" t="s">
        <v>1040</v>
      </c>
      <c r="F607" t="s">
        <v>1039</v>
      </c>
      <c r="G607">
        <v>1</v>
      </c>
      <c r="H607" s="59">
        <v>35.99</v>
      </c>
      <c r="I607" t="s">
        <v>1041</v>
      </c>
      <c r="J607" t="s">
        <v>14</v>
      </c>
      <c r="K607" s="60" t="s">
        <v>14</v>
      </c>
      <c r="L607" s="59">
        <v>0</v>
      </c>
      <c r="M607" s="61">
        <v>35.99</v>
      </c>
      <c r="N607">
        <f ca="1">IF(LEFT(tblSales[[#This Row],[Category]],1)="A",RANDBETWEEN(1,4),RANDBETWEEN(2,7))</f>
        <v>2</v>
      </c>
      <c r="O607" s="61">
        <f>IF(COUNTIF($A$2:A607,A607)=1,SUMIFS(tblSales[Revenue],tblSales[Order ID],tblSales[[#This Row],[Order ID]]),"")</f>
        <v>364.92</v>
      </c>
      <c r="P607" t="str">
        <f>TEXT(tblSales[[#This Row],[Date]],"ddd")</f>
        <v>Thu</v>
      </c>
      <c r="Q607">
        <f>1/COUNTIF(tblSales[Order ID],tblSales[[#This Row],[Order ID]])</f>
        <v>0.16666666666666666</v>
      </c>
    </row>
    <row r="608" spans="1:17" x14ac:dyDescent="0.3">
      <c r="A608">
        <v>202151</v>
      </c>
      <c r="B608" s="15">
        <v>45484</v>
      </c>
      <c r="C608">
        <v>107928</v>
      </c>
      <c r="D608">
        <v>200559</v>
      </c>
      <c r="E608" t="s">
        <v>1043</v>
      </c>
      <c r="F608" t="s">
        <v>1045</v>
      </c>
      <c r="G608">
        <v>2</v>
      </c>
      <c r="H608" s="59">
        <v>59.99</v>
      </c>
      <c r="I608" t="s">
        <v>1041</v>
      </c>
      <c r="J608" t="s">
        <v>14</v>
      </c>
      <c r="K608" s="60" t="s">
        <v>14</v>
      </c>
      <c r="L608" s="59">
        <v>0</v>
      </c>
      <c r="M608" s="61">
        <v>119.98</v>
      </c>
      <c r="N608">
        <f ca="1">IF(LEFT(tblSales[[#This Row],[Category]],1)="A",RANDBETWEEN(1,4),RANDBETWEEN(2,7))</f>
        <v>4</v>
      </c>
      <c r="O608" s="61" t="str">
        <f>IF(COUNTIF($A$2:A608,A608)=1,SUMIFS(tblSales[Revenue],tblSales[Order ID],tblSales[[#This Row],[Order ID]]),"")</f>
        <v/>
      </c>
      <c r="P608" t="str">
        <f>TEXT(tblSales[[#This Row],[Date]],"ddd")</f>
        <v>Thu</v>
      </c>
      <c r="Q608">
        <f>1/COUNTIF(tblSales[Order ID],tblSales[[#This Row],[Order ID]])</f>
        <v>0.16666666666666666</v>
      </c>
    </row>
    <row r="609" spans="1:17" x14ac:dyDescent="0.3">
      <c r="A609">
        <v>202151</v>
      </c>
      <c r="B609" s="15">
        <v>45484</v>
      </c>
      <c r="C609">
        <v>107928</v>
      </c>
      <c r="D609">
        <v>200556</v>
      </c>
      <c r="E609" t="s">
        <v>1043</v>
      </c>
      <c r="F609" t="s">
        <v>1044</v>
      </c>
      <c r="G609">
        <v>2</v>
      </c>
      <c r="H609" s="59">
        <v>64.989999999999995</v>
      </c>
      <c r="I609" t="s">
        <v>1041</v>
      </c>
      <c r="J609" t="s">
        <v>14</v>
      </c>
      <c r="K609" s="60" t="s">
        <v>14</v>
      </c>
      <c r="L609" s="59">
        <v>0</v>
      </c>
      <c r="M609" s="61">
        <v>129.97999999999999</v>
      </c>
      <c r="N609">
        <f ca="1">IF(LEFT(tblSales[[#This Row],[Category]],1)="A",RANDBETWEEN(1,4),RANDBETWEEN(2,7))</f>
        <v>3</v>
      </c>
      <c r="O609" s="61" t="str">
        <f>IF(COUNTIF($A$2:A609,A609)=1,SUMIFS(tblSales[Revenue],tblSales[Order ID],tblSales[[#This Row],[Order ID]]),"")</f>
        <v/>
      </c>
      <c r="P609" t="str">
        <f>TEXT(tblSales[[#This Row],[Date]],"ddd")</f>
        <v>Thu</v>
      </c>
      <c r="Q609">
        <f>1/COUNTIF(tblSales[Order ID],tblSales[[#This Row],[Order ID]])</f>
        <v>0.16666666666666666</v>
      </c>
    </row>
    <row r="610" spans="1:17" x14ac:dyDescent="0.3">
      <c r="A610">
        <v>202151</v>
      </c>
      <c r="B610" s="15">
        <v>45484</v>
      </c>
      <c r="C610">
        <v>107928</v>
      </c>
      <c r="D610">
        <v>300185</v>
      </c>
      <c r="E610" t="s">
        <v>1040</v>
      </c>
      <c r="F610" t="s">
        <v>1049</v>
      </c>
      <c r="G610">
        <v>1</v>
      </c>
      <c r="H610" s="59">
        <v>29.99</v>
      </c>
      <c r="I610" t="s">
        <v>1041</v>
      </c>
      <c r="J610" t="s">
        <v>14</v>
      </c>
      <c r="K610" s="60" t="s">
        <v>14</v>
      </c>
      <c r="L610" s="59">
        <v>0</v>
      </c>
      <c r="M610" s="61">
        <v>29.99</v>
      </c>
      <c r="N610">
        <f ca="1">IF(LEFT(tblSales[[#This Row],[Category]],1)="A",RANDBETWEEN(1,4),RANDBETWEEN(2,7))</f>
        <v>1</v>
      </c>
      <c r="O610" s="61" t="str">
        <f>IF(COUNTIF($A$2:A610,A610)=1,SUMIFS(tblSales[Revenue],tblSales[Order ID],tblSales[[#This Row],[Order ID]]),"")</f>
        <v/>
      </c>
      <c r="P610" t="str">
        <f>TEXT(tblSales[[#This Row],[Date]],"ddd")</f>
        <v>Thu</v>
      </c>
      <c r="Q610">
        <f>1/COUNTIF(tblSales[Order ID],tblSales[[#This Row],[Order ID]])</f>
        <v>0.16666666666666666</v>
      </c>
    </row>
    <row r="611" spans="1:17" x14ac:dyDescent="0.3">
      <c r="A611">
        <v>202151</v>
      </c>
      <c r="B611" s="15">
        <v>45484</v>
      </c>
      <c r="C611">
        <v>107928</v>
      </c>
      <c r="D611">
        <v>200549</v>
      </c>
      <c r="E611" t="s">
        <v>1043</v>
      </c>
      <c r="F611" t="s">
        <v>1042</v>
      </c>
      <c r="G611">
        <v>1</v>
      </c>
      <c r="H611" s="59">
        <v>18.989999999999998</v>
      </c>
      <c r="I611" t="s">
        <v>1041</v>
      </c>
      <c r="J611" t="s">
        <v>14</v>
      </c>
      <c r="K611" s="60" t="s">
        <v>14</v>
      </c>
      <c r="L611" s="59">
        <v>0</v>
      </c>
      <c r="M611" s="61">
        <v>18.989999999999998</v>
      </c>
      <c r="N611">
        <f ca="1">IF(LEFT(tblSales[[#This Row],[Category]],1)="A",RANDBETWEEN(1,4),RANDBETWEEN(2,7))</f>
        <v>4</v>
      </c>
      <c r="O611" s="61" t="str">
        <f>IF(COUNTIF($A$2:A611,A611)=1,SUMIFS(tblSales[Revenue],tblSales[Order ID],tblSales[[#This Row],[Order ID]]),"")</f>
        <v/>
      </c>
      <c r="P611" t="str">
        <f>TEXT(tblSales[[#This Row],[Date]],"ddd")</f>
        <v>Thu</v>
      </c>
      <c r="Q611">
        <f>1/COUNTIF(tblSales[Order ID],tblSales[[#This Row],[Order ID]])</f>
        <v>0.16666666666666666</v>
      </c>
    </row>
    <row r="612" spans="1:17" x14ac:dyDescent="0.3">
      <c r="A612">
        <v>202151</v>
      </c>
      <c r="B612" s="15">
        <v>45484</v>
      </c>
      <c r="C612">
        <v>107928</v>
      </c>
      <c r="D612">
        <v>200548</v>
      </c>
      <c r="E612" t="s">
        <v>1043</v>
      </c>
      <c r="F612" t="s">
        <v>1059</v>
      </c>
      <c r="G612">
        <v>1</v>
      </c>
      <c r="H612" s="59">
        <v>29.99</v>
      </c>
      <c r="I612" t="s">
        <v>1041</v>
      </c>
      <c r="J612" t="s">
        <v>14</v>
      </c>
      <c r="K612" s="60" t="s">
        <v>14</v>
      </c>
      <c r="L612" s="59">
        <v>0</v>
      </c>
      <c r="M612" s="61">
        <v>29.99</v>
      </c>
      <c r="N612">
        <f ca="1">IF(LEFT(tblSales[[#This Row],[Category]],1)="A",RANDBETWEEN(1,4),RANDBETWEEN(2,7))</f>
        <v>1</v>
      </c>
      <c r="O612" s="61" t="str">
        <f>IF(COUNTIF($A$2:A612,A612)=1,SUMIFS(tblSales[Revenue],tblSales[Order ID],tblSales[[#This Row],[Order ID]]),"")</f>
        <v/>
      </c>
      <c r="P612" t="str">
        <f>TEXT(tblSales[[#This Row],[Date]],"ddd")</f>
        <v>Thu</v>
      </c>
      <c r="Q612">
        <f>1/COUNTIF(tblSales[Order ID],tblSales[[#This Row],[Order ID]])</f>
        <v>0.16666666666666666</v>
      </c>
    </row>
    <row r="613" spans="1:17" x14ac:dyDescent="0.3">
      <c r="A613">
        <v>202152</v>
      </c>
      <c r="B613" s="15">
        <v>45492</v>
      </c>
      <c r="C613">
        <v>105618</v>
      </c>
      <c r="D613">
        <v>100250</v>
      </c>
      <c r="E613" t="s">
        <v>1046</v>
      </c>
      <c r="F613" t="s">
        <v>202</v>
      </c>
      <c r="G613">
        <v>4</v>
      </c>
      <c r="H613" s="59">
        <v>189</v>
      </c>
      <c r="I613" t="s">
        <v>120</v>
      </c>
      <c r="J613" t="s">
        <v>1047</v>
      </c>
      <c r="K613" s="60">
        <v>0.1</v>
      </c>
      <c r="L613" s="59">
        <v>75.600000000000009</v>
      </c>
      <c r="M613" s="61">
        <v>680.4</v>
      </c>
      <c r="N613">
        <f ca="1">IF(LEFT(tblSales[[#This Row],[Category]],1)="A",RANDBETWEEN(1,4),RANDBETWEEN(2,7))</f>
        <v>2</v>
      </c>
      <c r="O613" s="61">
        <f>IF(COUNTIF($A$2:A613,A613)=1,SUMIFS(tblSales[Revenue],tblSales[Order ID],tblSales[[#This Row],[Order ID]]),"")</f>
        <v>680.4</v>
      </c>
      <c r="P613" t="str">
        <f>TEXT(tblSales[[#This Row],[Date]],"ddd")</f>
        <v>Fri</v>
      </c>
      <c r="Q613">
        <f>1/COUNTIF(tblSales[Order ID],tblSales[[#This Row],[Order ID]])</f>
        <v>1</v>
      </c>
    </row>
    <row r="614" spans="1:17" x14ac:dyDescent="0.3">
      <c r="A614">
        <v>202153</v>
      </c>
      <c r="B614" s="15">
        <v>45491</v>
      </c>
      <c r="C614">
        <v>129122</v>
      </c>
      <c r="D614">
        <v>300185</v>
      </c>
      <c r="E614" t="s">
        <v>1040</v>
      </c>
      <c r="F614" t="s">
        <v>1049</v>
      </c>
      <c r="G614">
        <v>2</v>
      </c>
      <c r="H614" s="59">
        <v>29.99</v>
      </c>
      <c r="I614" t="s">
        <v>120</v>
      </c>
      <c r="J614" t="s">
        <v>1047</v>
      </c>
      <c r="K614" s="60">
        <v>0.1</v>
      </c>
      <c r="L614" s="59">
        <v>5.9980000000000002</v>
      </c>
      <c r="M614" s="61">
        <v>53.981999999999999</v>
      </c>
      <c r="N614">
        <f ca="1">IF(LEFT(tblSales[[#This Row],[Category]],1)="A",RANDBETWEEN(1,4),RANDBETWEEN(2,7))</f>
        <v>2</v>
      </c>
      <c r="O614" s="61">
        <f>IF(COUNTIF($A$2:A614,A614)=1,SUMIFS(tblSales[Revenue],tblSales[Order ID],tblSales[[#This Row],[Order ID]]),"")</f>
        <v>53.981999999999999</v>
      </c>
      <c r="P614" t="str">
        <f>TEXT(tblSales[[#This Row],[Date]],"ddd")</f>
        <v>Thu</v>
      </c>
      <c r="Q614">
        <f>1/COUNTIF(tblSales[Order ID],tblSales[[#This Row],[Order ID]])</f>
        <v>1</v>
      </c>
    </row>
    <row r="615" spans="1:17" x14ac:dyDescent="0.3">
      <c r="A615">
        <v>202154</v>
      </c>
      <c r="B615" s="15">
        <v>45486</v>
      </c>
      <c r="C615">
        <v>123836</v>
      </c>
      <c r="D615">
        <v>200556</v>
      </c>
      <c r="E615" t="s">
        <v>1043</v>
      </c>
      <c r="F615" t="s">
        <v>1044</v>
      </c>
      <c r="G615">
        <v>1</v>
      </c>
      <c r="H615" s="59">
        <v>64.989999999999995</v>
      </c>
      <c r="I615" t="s">
        <v>1041</v>
      </c>
      <c r="J615" t="s">
        <v>14</v>
      </c>
      <c r="K615" s="60" t="s">
        <v>14</v>
      </c>
      <c r="L615" s="59">
        <v>0</v>
      </c>
      <c r="M615" s="61">
        <v>64.989999999999995</v>
      </c>
      <c r="N615">
        <f ca="1">IF(LEFT(tblSales[[#This Row],[Category]],1)="A",RANDBETWEEN(1,4),RANDBETWEEN(2,7))</f>
        <v>1</v>
      </c>
      <c r="O615" s="61">
        <f>IF(COUNTIF($A$2:A615,A615)=1,SUMIFS(tblSales[Revenue],tblSales[Order ID],tblSales[[#This Row],[Order ID]]),"")</f>
        <v>64.989999999999995</v>
      </c>
      <c r="P615" t="str">
        <f>TEXT(tblSales[[#This Row],[Date]],"ddd")</f>
        <v>Sat</v>
      </c>
      <c r="Q615">
        <f>1/COUNTIF(tblSales[Order ID],tblSales[[#This Row],[Order ID]])</f>
        <v>1</v>
      </c>
    </row>
    <row r="616" spans="1:17" x14ac:dyDescent="0.3">
      <c r="A616">
        <v>202155</v>
      </c>
      <c r="B616" s="15">
        <v>45485</v>
      </c>
      <c r="C616">
        <v>109663</v>
      </c>
      <c r="D616">
        <v>300191</v>
      </c>
      <c r="E616" t="s">
        <v>1040</v>
      </c>
      <c r="F616" t="s">
        <v>1051</v>
      </c>
      <c r="G616">
        <v>1</v>
      </c>
      <c r="H616" s="59">
        <v>21.99</v>
      </c>
      <c r="I616" t="s">
        <v>120</v>
      </c>
      <c r="J616" t="s">
        <v>1047</v>
      </c>
      <c r="K616" s="60">
        <v>0.1</v>
      </c>
      <c r="L616" s="59">
        <v>2.1989999999999998</v>
      </c>
      <c r="M616" s="61">
        <v>19.790999999999997</v>
      </c>
      <c r="N616">
        <f ca="1">IF(LEFT(tblSales[[#This Row],[Category]],1)="A",RANDBETWEEN(1,4),RANDBETWEEN(2,7))</f>
        <v>2</v>
      </c>
      <c r="O616" s="61">
        <f>IF(COUNTIF($A$2:A616,A616)=1,SUMIFS(tblSales[Revenue],tblSales[Order ID],tblSales[[#This Row],[Order ID]]),"")</f>
        <v>258.255</v>
      </c>
      <c r="P616" t="str">
        <f>TEXT(tblSales[[#This Row],[Date]],"ddd")</f>
        <v>Fri</v>
      </c>
      <c r="Q616">
        <f>1/COUNTIF(tblSales[Order ID],tblSales[[#This Row],[Order ID]])</f>
        <v>0.25</v>
      </c>
    </row>
    <row r="617" spans="1:17" x14ac:dyDescent="0.3">
      <c r="A617">
        <v>202155</v>
      </c>
      <c r="B617" s="15">
        <v>45485</v>
      </c>
      <c r="C617">
        <v>109663</v>
      </c>
      <c r="D617">
        <v>200549</v>
      </c>
      <c r="E617" t="s">
        <v>1043</v>
      </c>
      <c r="F617" t="s">
        <v>1042</v>
      </c>
      <c r="G617">
        <v>3</v>
      </c>
      <c r="H617" s="59">
        <v>18.989999999999998</v>
      </c>
      <c r="I617" t="s">
        <v>120</v>
      </c>
      <c r="J617" t="s">
        <v>1047</v>
      </c>
      <c r="K617" s="60">
        <v>0.1</v>
      </c>
      <c r="L617" s="59">
        <v>5.6970000000000001</v>
      </c>
      <c r="M617" s="61">
        <v>51.272999999999996</v>
      </c>
      <c r="N617">
        <f ca="1">IF(LEFT(tblSales[[#This Row],[Category]],1)="A",RANDBETWEEN(1,4),RANDBETWEEN(2,7))</f>
        <v>3</v>
      </c>
      <c r="O617" s="61" t="str">
        <f>IF(COUNTIF($A$2:A617,A617)=1,SUMIFS(tblSales[Revenue],tblSales[Order ID],tblSales[[#This Row],[Order ID]]),"")</f>
        <v/>
      </c>
      <c r="P617" t="str">
        <f>TEXT(tblSales[[#This Row],[Date]],"ddd")</f>
        <v>Fri</v>
      </c>
      <c r="Q617">
        <f>1/COUNTIF(tblSales[Order ID],tblSales[[#This Row],[Order ID]])</f>
        <v>0.25</v>
      </c>
    </row>
    <row r="618" spans="1:17" x14ac:dyDescent="0.3">
      <c r="A618">
        <v>202155</v>
      </c>
      <c r="B618" s="15">
        <v>45485</v>
      </c>
      <c r="C618">
        <v>109663</v>
      </c>
      <c r="D618">
        <v>100250</v>
      </c>
      <c r="E618" t="s">
        <v>1046</v>
      </c>
      <c r="F618" t="s">
        <v>202</v>
      </c>
      <c r="G618">
        <v>1</v>
      </c>
      <c r="H618" s="59">
        <v>189</v>
      </c>
      <c r="I618" t="s">
        <v>120</v>
      </c>
      <c r="J618" t="s">
        <v>1047</v>
      </c>
      <c r="K618" s="60">
        <v>0.1</v>
      </c>
      <c r="L618" s="59">
        <v>18.900000000000002</v>
      </c>
      <c r="M618" s="61">
        <v>170.1</v>
      </c>
      <c r="N618">
        <f ca="1">IF(LEFT(tblSales[[#This Row],[Category]],1)="A",RANDBETWEEN(1,4),RANDBETWEEN(2,7))</f>
        <v>7</v>
      </c>
      <c r="O618" s="61" t="str">
        <f>IF(COUNTIF($A$2:A618,A618)=1,SUMIFS(tblSales[Revenue],tblSales[Order ID],tblSales[[#This Row],[Order ID]]),"")</f>
        <v/>
      </c>
      <c r="P618" t="str">
        <f>TEXT(tblSales[[#This Row],[Date]],"ddd")</f>
        <v>Fri</v>
      </c>
      <c r="Q618">
        <f>1/COUNTIF(tblSales[Order ID],tblSales[[#This Row],[Order ID]])</f>
        <v>0.25</v>
      </c>
    </row>
    <row r="619" spans="1:17" x14ac:dyDescent="0.3">
      <c r="A619">
        <v>202155</v>
      </c>
      <c r="B619" s="15">
        <v>45485</v>
      </c>
      <c r="C619">
        <v>109663</v>
      </c>
      <c r="D619">
        <v>200549</v>
      </c>
      <c r="E619" t="s">
        <v>1043</v>
      </c>
      <c r="F619" t="s">
        <v>1042</v>
      </c>
      <c r="G619">
        <v>1</v>
      </c>
      <c r="H619" s="59">
        <v>18.989999999999998</v>
      </c>
      <c r="I619" t="s">
        <v>120</v>
      </c>
      <c r="J619" t="s">
        <v>1047</v>
      </c>
      <c r="K619" s="60">
        <v>0.1</v>
      </c>
      <c r="L619" s="59">
        <v>1.899</v>
      </c>
      <c r="M619" s="61">
        <v>17.090999999999998</v>
      </c>
      <c r="N619">
        <f ca="1">IF(LEFT(tblSales[[#This Row],[Category]],1)="A",RANDBETWEEN(1,4),RANDBETWEEN(2,7))</f>
        <v>2</v>
      </c>
      <c r="O619" s="61" t="str">
        <f>IF(COUNTIF($A$2:A619,A619)=1,SUMIFS(tblSales[Revenue],tblSales[Order ID],tblSales[[#This Row],[Order ID]]),"")</f>
        <v/>
      </c>
      <c r="P619" t="str">
        <f>TEXT(tblSales[[#This Row],[Date]],"ddd")</f>
        <v>Fri</v>
      </c>
      <c r="Q619">
        <f>1/COUNTIF(tblSales[Order ID],tblSales[[#This Row],[Order ID]])</f>
        <v>0.25</v>
      </c>
    </row>
    <row r="620" spans="1:17" x14ac:dyDescent="0.3">
      <c r="A620">
        <v>202156</v>
      </c>
      <c r="B620" s="15">
        <v>45486</v>
      </c>
      <c r="C620">
        <v>128619</v>
      </c>
      <c r="D620">
        <v>200559</v>
      </c>
      <c r="E620" t="s">
        <v>1043</v>
      </c>
      <c r="F620" t="s">
        <v>1045</v>
      </c>
      <c r="G620">
        <v>1</v>
      </c>
      <c r="H620" s="59">
        <v>59.99</v>
      </c>
      <c r="I620" t="s">
        <v>1041</v>
      </c>
      <c r="J620" t="s">
        <v>14</v>
      </c>
      <c r="K620" s="60" t="s">
        <v>14</v>
      </c>
      <c r="L620" s="59">
        <v>0</v>
      </c>
      <c r="M620" s="61">
        <v>59.99</v>
      </c>
      <c r="N620">
        <f ca="1">IF(LEFT(tblSales[[#This Row],[Category]],1)="A",RANDBETWEEN(1,4),RANDBETWEEN(2,7))</f>
        <v>3</v>
      </c>
      <c r="O620" s="61">
        <f>IF(COUNTIF($A$2:A620,A620)=1,SUMIFS(tblSales[Revenue],tblSales[Order ID],tblSales[[#This Row],[Order ID]]),"")</f>
        <v>59.99</v>
      </c>
      <c r="P620" t="str">
        <f>TEXT(tblSales[[#This Row],[Date]],"ddd")</f>
        <v>Sat</v>
      </c>
      <c r="Q620">
        <f>1/COUNTIF(tblSales[Order ID],tblSales[[#This Row],[Order ID]])</f>
        <v>1</v>
      </c>
    </row>
    <row r="621" spans="1:17" x14ac:dyDescent="0.3">
      <c r="A621">
        <v>202157</v>
      </c>
      <c r="B621" s="15">
        <v>45491</v>
      </c>
      <c r="C621">
        <v>110844</v>
      </c>
      <c r="D621">
        <v>100254</v>
      </c>
      <c r="E621" t="s">
        <v>1046</v>
      </c>
      <c r="F621" t="s">
        <v>164</v>
      </c>
      <c r="G621">
        <v>1</v>
      </c>
      <c r="H621" s="59">
        <v>799</v>
      </c>
      <c r="I621" t="s">
        <v>1041</v>
      </c>
      <c r="J621" t="s">
        <v>14</v>
      </c>
      <c r="K621" s="60" t="s">
        <v>14</v>
      </c>
      <c r="L621" s="59">
        <v>0</v>
      </c>
      <c r="M621" s="61">
        <v>799</v>
      </c>
      <c r="N621">
        <f ca="1">IF(LEFT(tblSales[[#This Row],[Category]],1)="A",RANDBETWEEN(1,4),RANDBETWEEN(2,7))</f>
        <v>5</v>
      </c>
      <c r="O621" s="61">
        <f>IF(COUNTIF($A$2:A621,A621)=1,SUMIFS(tblSales[Revenue],tblSales[Order ID],tblSales[[#This Row],[Order ID]]),"")</f>
        <v>978.97</v>
      </c>
      <c r="P621" t="str">
        <f>TEXT(tblSales[[#This Row],[Date]],"ddd")</f>
        <v>Thu</v>
      </c>
      <c r="Q621">
        <f>1/COUNTIF(tblSales[Order ID],tblSales[[#This Row],[Order ID]])</f>
        <v>0.25</v>
      </c>
    </row>
    <row r="622" spans="1:17" x14ac:dyDescent="0.3">
      <c r="A622">
        <v>202157</v>
      </c>
      <c r="B622" s="15">
        <v>45491</v>
      </c>
      <c r="C622">
        <v>110844</v>
      </c>
      <c r="D622">
        <v>200559</v>
      </c>
      <c r="E622" t="s">
        <v>1043</v>
      </c>
      <c r="F622" t="s">
        <v>1045</v>
      </c>
      <c r="G622">
        <v>1</v>
      </c>
      <c r="H622" s="59">
        <v>59.99</v>
      </c>
      <c r="I622" t="s">
        <v>1041</v>
      </c>
      <c r="J622" t="s">
        <v>14</v>
      </c>
      <c r="K622" s="60" t="s">
        <v>14</v>
      </c>
      <c r="L622" s="59">
        <v>0</v>
      </c>
      <c r="M622" s="61">
        <v>59.99</v>
      </c>
      <c r="N622">
        <f ca="1">IF(LEFT(tblSales[[#This Row],[Category]],1)="A",RANDBETWEEN(1,4),RANDBETWEEN(2,7))</f>
        <v>4</v>
      </c>
      <c r="O622" s="61" t="str">
        <f>IF(COUNTIF($A$2:A622,A622)=1,SUMIFS(tblSales[Revenue],tblSales[Order ID],tblSales[[#This Row],[Order ID]]),"")</f>
        <v/>
      </c>
      <c r="P622" t="str">
        <f>TEXT(tblSales[[#This Row],[Date]],"ddd")</f>
        <v>Thu</v>
      </c>
      <c r="Q622">
        <f>1/COUNTIF(tblSales[Order ID],tblSales[[#This Row],[Order ID]])</f>
        <v>0.25</v>
      </c>
    </row>
    <row r="623" spans="1:17" x14ac:dyDescent="0.3">
      <c r="A623">
        <v>202157</v>
      </c>
      <c r="B623" s="15">
        <v>45491</v>
      </c>
      <c r="C623">
        <v>110844</v>
      </c>
      <c r="D623">
        <v>200559</v>
      </c>
      <c r="E623" t="s">
        <v>1043</v>
      </c>
      <c r="F623" t="s">
        <v>1045</v>
      </c>
      <c r="G623">
        <v>1</v>
      </c>
      <c r="H623" s="59">
        <v>59.99</v>
      </c>
      <c r="I623" t="s">
        <v>1041</v>
      </c>
      <c r="J623" t="s">
        <v>14</v>
      </c>
      <c r="K623" s="60" t="s">
        <v>14</v>
      </c>
      <c r="L623" s="59">
        <v>0</v>
      </c>
      <c r="M623" s="61">
        <v>59.99</v>
      </c>
      <c r="N623">
        <f ca="1">IF(LEFT(tblSales[[#This Row],[Category]],1)="A",RANDBETWEEN(1,4),RANDBETWEEN(2,7))</f>
        <v>4</v>
      </c>
      <c r="O623" s="61" t="str">
        <f>IF(COUNTIF($A$2:A623,A623)=1,SUMIFS(tblSales[Revenue],tblSales[Order ID],tblSales[[#This Row],[Order ID]]),"")</f>
        <v/>
      </c>
      <c r="P623" t="str">
        <f>TEXT(tblSales[[#This Row],[Date]],"ddd")</f>
        <v>Thu</v>
      </c>
      <c r="Q623">
        <f>1/COUNTIF(tblSales[Order ID],tblSales[[#This Row],[Order ID]])</f>
        <v>0.25</v>
      </c>
    </row>
    <row r="624" spans="1:17" x14ac:dyDescent="0.3">
      <c r="A624">
        <v>202157</v>
      </c>
      <c r="B624" s="15">
        <v>45491</v>
      </c>
      <c r="C624">
        <v>110844</v>
      </c>
      <c r="D624">
        <v>200559</v>
      </c>
      <c r="E624" t="s">
        <v>1043</v>
      </c>
      <c r="F624" t="s">
        <v>1045</v>
      </c>
      <c r="G624">
        <v>1</v>
      </c>
      <c r="H624" s="59">
        <v>59.99</v>
      </c>
      <c r="I624" t="s">
        <v>1041</v>
      </c>
      <c r="J624" t="s">
        <v>14</v>
      </c>
      <c r="K624" s="60" t="s">
        <v>14</v>
      </c>
      <c r="L624" s="59">
        <v>0</v>
      </c>
      <c r="M624" s="61">
        <v>59.99</v>
      </c>
      <c r="N624">
        <f ca="1">IF(LEFT(tblSales[[#This Row],[Category]],1)="A",RANDBETWEEN(1,4),RANDBETWEEN(2,7))</f>
        <v>2</v>
      </c>
      <c r="O624" s="61" t="str">
        <f>IF(COUNTIF($A$2:A624,A624)=1,SUMIFS(tblSales[Revenue],tblSales[Order ID],tblSales[[#This Row],[Order ID]]),"")</f>
        <v/>
      </c>
      <c r="P624" t="str">
        <f>TEXT(tblSales[[#This Row],[Date]],"ddd")</f>
        <v>Thu</v>
      </c>
      <c r="Q624">
        <f>1/COUNTIF(tblSales[Order ID],tblSales[[#This Row],[Order ID]])</f>
        <v>0.25</v>
      </c>
    </row>
    <row r="625" spans="1:17" x14ac:dyDescent="0.3">
      <c r="A625">
        <v>202158</v>
      </c>
      <c r="B625" s="15">
        <v>45483</v>
      </c>
      <c r="C625">
        <v>116270</v>
      </c>
      <c r="D625">
        <v>100250</v>
      </c>
      <c r="E625" t="s">
        <v>1046</v>
      </c>
      <c r="F625" t="s">
        <v>202</v>
      </c>
      <c r="G625">
        <v>2</v>
      </c>
      <c r="H625" s="59">
        <v>189</v>
      </c>
      <c r="I625" t="s">
        <v>1041</v>
      </c>
      <c r="J625" t="s">
        <v>14</v>
      </c>
      <c r="K625" s="60" t="s">
        <v>14</v>
      </c>
      <c r="L625" s="59">
        <v>0</v>
      </c>
      <c r="M625" s="61">
        <v>378</v>
      </c>
      <c r="N625">
        <f ca="1">IF(LEFT(tblSales[[#This Row],[Category]],1)="A",RANDBETWEEN(1,4),RANDBETWEEN(2,7))</f>
        <v>6</v>
      </c>
      <c r="O625" s="61">
        <f>IF(COUNTIF($A$2:A625,A625)=1,SUMIFS(tblSales[Revenue],tblSales[Order ID],tblSales[[#This Row],[Order ID]]),"")</f>
        <v>1677</v>
      </c>
      <c r="P625" t="str">
        <f>TEXT(tblSales[[#This Row],[Date]],"ddd")</f>
        <v>Wed</v>
      </c>
      <c r="Q625">
        <f>1/COUNTIF(tblSales[Order ID],tblSales[[#This Row],[Order ID]])</f>
        <v>0.5</v>
      </c>
    </row>
    <row r="626" spans="1:17" x14ac:dyDescent="0.3">
      <c r="A626">
        <v>202158</v>
      </c>
      <c r="B626" s="15">
        <v>45483</v>
      </c>
      <c r="C626">
        <v>116270</v>
      </c>
      <c r="D626">
        <v>100255</v>
      </c>
      <c r="E626" t="s">
        <v>1046</v>
      </c>
      <c r="F626" t="s">
        <v>172</v>
      </c>
      <c r="G626">
        <v>1</v>
      </c>
      <c r="H626" s="59">
        <v>1299</v>
      </c>
      <c r="I626" t="s">
        <v>1041</v>
      </c>
      <c r="J626" t="s">
        <v>14</v>
      </c>
      <c r="K626" s="60" t="s">
        <v>14</v>
      </c>
      <c r="L626" s="59">
        <v>0</v>
      </c>
      <c r="M626" s="61">
        <v>1299</v>
      </c>
      <c r="N626">
        <f ca="1">IF(LEFT(tblSales[[#This Row],[Category]],1)="A",RANDBETWEEN(1,4),RANDBETWEEN(2,7))</f>
        <v>6</v>
      </c>
      <c r="O626" s="61" t="str">
        <f>IF(COUNTIF($A$2:A626,A626)=1,SUMIFS(tblSales[Revenue],tblSales[Order ID],tblSales[[#This Row],[Order ID]]),"")</f>
        <v/>
      </c>
      <c r="P626" t="str">
        <f>TEXT(tblSales[[#This Row],[Date]],"ddd")</f>
        <v>Wed</v>
      </c>
      <c r="Q626">
        <f>1/COUNTIF(tblSales[Order ID],tblSales[[#This Row],[Order ID]])</f>
        <v>0.5</v>
      </c>
    </row>
    <row r="627" spans="1:17" x14ac:dyDescent="0.3">
      <c r="A627">
        <v>202159</v>
      </c>
      <c r="B627" s="15">
        <v>45493</v>
      </c>
      <c r="C627">
        <v>110119</v>
      </c>
      <c r="D627">
        <v>100249</v>
      </c>
      <c r="E627" t="s">
        <v>1046</v>
      </c>
      <c r="F627" t="s">
        <v>190</v>
      </c>
      <c r="G627">
        <v>4</v>
      </c>
      <c r="H627" s="59">
        <v>249</v>
      </c>
      <c r="I627" t="s">
        <v>120</v>
      </c>
      <c r="J627" t="s">
        <v>1047</v>
      </c>
      <c r="K627" s="60">
        <v>0.1</v>
      </c>
      <c r="L627" s="59">
        <v>99.600000000000009</v>
      </c>
      <c r="M627" s="61">
        <v>896.4</v>
      </c>
      <c r="N627">
        <f ca="1">IF(LEFT(tblSales[[#This Row],[Category]],1)="A",RANDBETWEEN(1,4),RANDBETWEEN(2,7))</f>
        <v>5</v>
      </c>
      <c r="O627" s="61">
        <f>IF(COUNTIF($A$2:A627,A627)=1,SUMIFS(tblSales[Revenue],tblSales[Order ID],tblSales[[#This Row],[Order ID]]),"")</f>
        <v>896.4</v>
      </c>
      <c r="P627" t="str">
        <f>TEXT(tblSales[[#This Row],[Date]],"ddd")</f>
        <v>Sat</v>
      </c>
      <c r="Q627">
        <f>1/COUNTIF(tblSales[Order ID],tblSales[[#This Row],[Order ID]])</f>
        <v>1</v>
      </c>
    </row>
    <row r="628" spans="1:17" x14ac:dyDescent="0.3">
      <c r="A628">
        <v>202160</v>
      </c>
      <c r="B628" s="15">
        <v>45485</v>
      </c>
      <c r="C628">
        <v>130598</v>
      </c>
      <c r="D628">
        <v>200559</v>
      </c>
      <c r="E628" t="s">
        <v>1043</v>
      </c>
      <c r="F628" t="s">
        <v>1045</v>
      </c>
      <c r="G628">
        <v>4</v>
      </c>
      <c r="H628" s="59">
        <v>59.99</v>
      </c>
      <c r="I628" t="s">
        <v>1041</v>
      </c>
      <c r="J628" t="s">
        <v>14</v>
      </c>
      <c r="K628" s="60" t="s">
        <v>14</v>
      </c>
      <c r="L628" s="59">
        <v>0</v>
      </c>
      <c r="M628" s="61">
        <v>239.96</v>
      </c>
      <c r="N628">
        <f ca="1">IF(LEFT(tblSales[[#This Row],[Category]],1)="A",RANDBETWEEN(1,4),RANDBETWEEN(2,7))</f>
        <v>2</v>
      </c>
      <c r="O628" s="61">
        <f>IF(COUNTIF($A$2:A628,A628)=1,SUMIFS(tblSales[Revenue],tblSales[Order ID],tblSales[[#This Row],[Order ID]]),"")</f>
        <v>239.96</v>
      </c>
      <c r="P628" t="str">
        <f>TEXT(tblSales[[#This Row],[Date]],"ddd")</f>
        <v>Fri</v>
      </c>
      <c r="Q628">
        <f>1/COUNTIF(tblSales[Order ID],tblSales[[#This Row],[Order ID]])</f>
        <v>1</v>
      </c>
    </row>
    <row r="629" spans="1:17" x14ac:dyDescent="0.3">
      <c r="A629">
        <v>202161</v>
      </c>
      <c r="B629" s="15">
        <v>45483</v>
      </c>
      <c r="C629">
        <v>126632</v>
      </c>
      <c r="D629">
        <v>200559</v>
      </c>
      <c r="E629" t="s">
        <v>1043</v>
      </c>
      <c r="F629" t="s">
        <v>1045</v>
      </c>
      <c r="G629">
        <v>2</v>
      </c>
      <c r="H629" s="59">
        <v>59.99</v>
      </c>
      <c r="I629" t="s">
        <v>1041</v>
      </c>
      <c r="J629" t="s">
        <v>14</v>
      </c>
      <c r="K629" s="60" t="s">
        <v>14</v>
      </c>
      <c r="L629" s="59">
        <v>0</v>
      </c>
      <c r="M629" s="61">
        <v>119.98</v>
      </c>
      <c r="N629">
        <f ca="1">IF(LEFT(tblSales[[#This Row],[Category]],1)="A",RANDBETWEEN(1,4),RANDBETWEEN(2,7))</f>
        <v>1</v>
      </c>
      <c r="O629" s="61">
        <f>IF(COUNTIF($A$2:A629,A629)=1,SUMIFS(tblSales[Revenue],tblSales[Order ID],tblSales[[#This Row],[Order ID]]),"")</f>
        <v>2023.88</v>
      </c>
      <c r="P629" t="str">
        <f>TEXT(tblSales[[#This Row],[Date]],"ddd")</f>
        <v>Wed</v>
      </c>
      <c r="Q629">
        <f>1/COUNTIF(tblSales[Order ID],tblSales[[#This Row],[Order ID]])</f>
        <v>0.16666666666666666</v>
      </c>
    </row>
    <row r="630" spans="1:17" x14ac:dyDescent="0.3">
      <c r="A630">
        <v>202161</v>
      </c>
      <c r="B630" s="15">
        <v>45483</v>
      </c>
      <c r="C630">
        <v>126632</v>
      </c>
      <c r="D630">
        <v>200559</v>
      </c>
      <c r="E630" t="s">
        <v>1043</v>
      </c>
      <c r="F630" t="s">
        <v>1045</v>
      </c>
      <c r="G630">
        <v>4</v>
      </c>
      <c r="H630" s="59">
        <v>59.99</v>
      </c>
      <c r="I630" t="s">
        <v>1041</v>
      </c>
      <c r="J630" t="s">
        <v>14</v>
      </c>
      <c r="K630" s="60" t="s">
        <v>14</v>
      </c>
      <c r="L630" s="59">
        <v>0</v>
      </c>
      <c r="M630" s="61">
        <v>239.96</v>
      </c>
      <c r="N630">
        <f ca="1">IF(LEFT(tblSales[[#This Row],[Category]],1)="A",RANDBETWEEN(1,4),RANDBETWEEN(2,7))</f>
        <v>3</v>
      </c>
      <c r="O630" s="61" t="str">
        <f>IF(COUNTIF($A$2:A630,A630)=1,SUMIFS(tblSales[Revenue],tblSales[Order ID],tblSales[[#This Row],[Order ID]]),"")</f>
        <v/>
      </c>
      <c r="P630" t="str">
        <f>TEXT(tblSales[[#This Row],[Date]],"ddd")</f>
        <v>Wed</v>
      </c>
      <c r="Q630">
        <f>1/COUNTIF(tblSales[Order ID],tblSales[[#This Row],[Order ID]])</f>
        <v>0.16666666666666666</v>
      </c>
    </row>
    <row r="631" spans="1:17" x14ac:dyDescent="0.3">
      <c r="A631">
        <v>202161</v>
      </c>
      <c r="B631" s="15">
        <v>45483</v>
      </c>
      <c r="C631">
        <v>126632</v>
      </c>
      <c r="D631">
        <v>200559</v>
      </c>
      <c r="E631" t="s">
        <v>1043</v>
      </c>
      <c r="F631" t="s">
        <v>1045</v>
      </c>
      <c r="G631">
        <v>1</v>
      </c>
      <c r="H631" s="59">
        <v>59.99</v>
      </c>
      <c r="I631" t="s">
        <v>1041</v>
      </c>
      <c r="J631" t="s">
        <v>14</v>
      </c>
      <c r="K631" s="60" t="s">
        <v>14</v>
      </c>
      <c r="L631" s="59">
        <v>0</v>
      </c>
      <c r="M631" s="61">
        <v>59.99</v>
      </c>
      <c r="N631">
        <f ca="1">IF(LEFT(tblSales[[#This Row],[Category]],1)="A",RANDBETWEEN(1,4),RANDBETWEEN(2,7))</f>
        <v>2</v>
      </c>
      <c r="O631" s="61" t="str">
        <f>IF(COUNTIF($A$2:A631,A631)=1,SUMIFS(tblSales[Revenue],tblSales[Order ID],tblSales[[#This Row],[Order ID]]),"")</f>
        <v/>
      </c>
      <c r="P631" t="str">
        <f>TEXT(tblSales[[#This Row],[Date]],"ddd")</f>
        <v>Wed</v>
      </c>
      <c r="Q631">
        <f>1/COUNTIF(tblSales[Order ID],tblSales[[#This Row],[Order ID]])</f>
        <v>0.16666666666666666</v>
      </c>
    </row>
    <row r="632" spans="1:17" x14ac:dyDescent="0.3">
      <c r="A632">
        <v>202161</v>
      </c>
      <c r="B632" s="15">
        <v>45483</v>
      </c>
      <c r="C632">
        <v>126632</v>
      </c>
      <c r="D632">
        <v>100255</v>
      </c>
      <c r="E632" t="s">
        <v>1046</v>
      </c>
      <c r="F632" t="s">
        <v>172</v>
      </c>
      <c r="G632">
        <v>1</v>
      </c>
      <c r="H632" s="59">
        <v>1299</v>
      </c>
      <c r="I632" t="s">
        <v>1041</v>
      </c>
      <c r="J632" t="s">
        <v>14</v>
      </c>
      <c r="K632" s="60" t="s">
        <v>14</v>
      </c>
      <c r="L632" s="59">
        <v>0</v>
      </c>
      <c r="M632" s="61">
        <v>1299</v>
      </c>
      <c r="N632">
        <f ca="1">IF(LEFT(tblSales[[#This Row],[Category]],1)="A",RANDBETWEEN(1,4),RANDBETWEEN(2,7))</f>
        <v>2</v>
      </c>
      <c r="O632" s="61" t="str">
        <f>IF(COUNTIF($A$2:A632,A632)=1,SUMIFS(tblSales[Revenue],tblSales[Order ID],tblSales[[#This Row],[Order ID]]),"")</f>
        <v/>
      </c>
      <c r="P632" t="str">
        <f>TEXT(tblSales[[#This Row],[Date]],"ddd")</f>
        <v>Wed</v>
      </c>
      <c r="Q632">
        <f>1/COUNTIF(tblSales[Order ID],tblSales[[#This Row],[Order ID]])</f>
        <v>0.16666666666666666</v>
      </c>
    </row>
    <row r="633" spans="1:17" x14ac:dyDescent="0.3">
      <c r="A633">
        <v>202161</v>
      </c>
      <c r="B633" s="15">
        <v>45483</v>
      </c>
      <c r="C633">
        <v>126632</v>
      </c>
      <c r="D633">
        <v>200559</v>
      </c>
      <c r="E633" t="s">
        <v>1043</v>
      </c>
      <c r="F633" t="s">
        <v>1045</v>
      </c>
      <c r="G633">
        <v>4</v>
      </c>
      <c r="H633" s="59">
        <v>59.99</v>
      </c>
      <c r="I633" t="s">
        <v>1041</v>
      </c>
      <c r="J633" t="s">
        <v>14</v>
      </c>
      <c r="K633" s="60" t="s">
        <v>14</v>
      </c>
      <c r="L633" s="59">
        <v>0</v>
      </c>
      <c r="M633" s="61">
        <v>239.96</v>
      </c>
      <c r="N633">
        <f ca="1">IF(LEFT(tblSales[[#This Row],[Category]],1)="A",RANDBETWEEN(1,4),RANDBETWEEN(2,7))</f>
        <v>1</v>
      </c>
      <c r="O633" s="61" t="str">
        <f>IF(COUNTIF($A$2:A633,A633)=1,SUMIFS(tblSales[Revenue],tblSales[Order ID],tblSales[[#This Row],[Order ID]]),"")</f>
        <v/>
      </c>
      <c r="P633" t="str">
        <f>TEXT(tblSales[[#This Row],[Date]],"ddd")</f>
        <v>Wed</v>
      </c>
      <c r="Q633">
        <f>1/COUNTIF(tblSales[Order ID],tblSales[[#This Row],[Order ID]])</f>
        <v>0.16666666666666666</v>
      </c>
    </row>
    <row r="634" spans="1:17" x14ac:dyDescent="0.3">
      <c r="A634">
        <v>202161</v>
      </c>
      <c r="B634" s="15">
        <v>45483</v>
      </c>
      <c r="C634">
        <v>126632</v>
      </c>
      <c r="D634">
        <v>200556</v>
      </c>
      <c r="E634" t="s">
        <v>1043</v>
      </c>
      <c r="F634" t="s">
        <v>1044</v>
      </c>
      <c r="G634">
        <v>1</v>
      </c>
      <c r="H634" s="59">
        <v>64.989999999999995</v>
      </c>
      <c r="I634" t="s">
        <v>1041</v>
      </c>
      <c r="J634" t="s">
        <v>14</v>
      </c>
      <c r="K634" s="60" t="s">
        <v>14</v>
      </c>
      <c r="L634" s="59">
        <v>0</v>
      </c>
      <c r="M634" s="61">
        <v>64.989999999999995</v>
      </c>
      <c r="N634">
        <f ca="1">IF(LEFT(tblSales[[#This Row],[Category]],1)="A",RANDBETWEEN(1,4),RANDBETWEEN(2,7))</f>
        <v>2</v>
      </c>
      <c r="O634" s="61" t="str">
        <f>IF(COUNTIF($A$2:A634,A634)=1,SUMIFS(tblSales[Revenue],tblSales[Order ID],tblSales[[#This Row],[Order ID]]),"")</f>
        <v/>
      </c>
      <c r="P634" t="str">
        <f>TEXT(tblSales[[#This Row],[Date]],"ddd")</f>
        <v>Wed</v>
      </c>
      <c r="Q634">
        <f>1/COUNTIF(tblSales[Order ID],tblSales[[#This Row],[Order ID]])</f>
        <v>0.16666666666666666</v>
      </c>
    </row>
    <row r="635" spans="1:17" x14ac:dyDescent="0.3">
      <c r="A635">
        <v>202162</v>
      </c>
      <c r="B635" s="15">
        <v>45486</v>
      </c>
      <c r="C635">
        <v>106483</v>
      </c>
      <c r="D635">
        <v>300187</v>
      </c>
      <c r="E635" t="s">
        <v>1040</v>
      </c>
      <c r="F635" t="s">
        <v>1058</v>
      </c>
      <c r="G635">
        <v>1</v>
      </c>
      <c r="H635" s="59">
        <v>54.99</v>
      </c>
      <c r="I635" t="s">
        <v>1041</v>
      </c>
      <c r="J635" t="s">
        <v>14</v>
      </c>
      <c r="K635" s="60" t="s">
        <v>14</v>
      </c>
      <c r="L635" s="59">
        <v>0</v>
      </c>
      <c r="M635" s="61">
        <v>54.99</v>
      </c>
      <c r="N635">
        <f ca="1">IF(LEFT(tblSales[[#This Row],[Category]],1)="A",RANDBETWEEN(1,4),RANDBETWEEN(2,7))</f>
        <v>4</v>
      </c>
      <c r="O635" s="61">
        <f>IF(COUNTIF($A$2:A635,A635)=1,SUMIFS(tblSales[Revenue],tblSales[Order ID],tblSales[[#This Row],[Order ID]]),"")</f>
        <v>1673.97</v>
      </c>
      <c r="P635" t="str">
        <f>TEXT(tblSales[[#This Row],[Date]],"ddd")</f>
        <v>Sat</v>
      </c>
      <c r="Q635">
        <f>1/COUNTIF(tblSales[Order ID],tblSales[[#This Row],[Order ID]])</f>
        <v>0.33333333333333331</v>
      </c>
    </row>
    <row r="636" spans="1:17" x14ac:dyDescent="0.3">
      <c r="A636">
        <v>202162</v>
      </c>
      <c r="B636" s="15">
        <v>45486</v>
      </c>
      <c r="C636">
        <v>106483</v>
      </c>
      <c r="D636">
        <v>100256</v>
      </c>
      <c r="E636" t="s">
        <v>1046</v>
      </c>
      <c r="F636" t="s">
        <v>216</v>
      </c>
      <c r="G636">
        <v>1</v>
      </c>
      <c r="H636" s="59">
        <v>1499</v>
      </c>
      <c r="I636" t="s">
        <v>1041</v>
      </c>
      <c r="J636" t="s">
        <v>14</v>
      </c>
      <c r="K636" s="60" t="s">
        <v>14</v>
      </c>
      <c r="L636" s="59">
        <v>0</v>
      </c>
      <c r="M636" s="61">
        <v>1499</v>
      </c>
      <c r="N636">
        <f ca="1">IF(LEFT(tblSales[[#This Row],[Category]],1)="A",RANDBETWEEN(1,4),RANDBETWEEN(2,7))</f>
        <v>2</v>
      </c>
      <c r="O636" s="61" t="str">
        <f>IF(COUNTIF($A$2:A636,A636)=1,SUMIFS(tblSales[Revenue],tblSales[Order ID],tblSales[[#This Row],[Order ID]]),"")</f>
        <v/>
      </c>
      <c r="P636" t="str">
        <f>TEXT(tblSales[[#This Row],[Date]],"ddd")</f>
        <v>Sat</v>
      </c>
      <c r="Q636">
        <f>1/COUNTIF(tblSales[Order ID],tblSales[[#This Row],[Order ID]])</f>
        <v>0.33333333333333331</v>
      </c>
    </row>
    <row r="637" spans="1:17" x14ac:dyDescent="0.3">
      <c r="A637">
        <v>202162</v>
      </c>
      <c r="B637" s="15">
        <v>45486</v>
      </c>
      <c r="C637">
        <v>106483</v>
      </c>
      <c r="D637">
        <v>200559</v>
      </c>
      <c r="E637" t="s">
        <v>1043</v>
      </c>
      <c r="F637" t="s">
        <v>1045</v>
      </c>
      <c r="G637">
        <v>2</v>
      </c>
      <c r="H637" s="59">
        <v>59.99</v>
      </c>
      <c r="I637" t="s">
        <v>1041</v>
      </c>
      <c r="J637" t="s">
        <v>14</v>
      </c>
      <c r="K637" s="60" t="s">
        <v>14</v>
      </c>
      <c r="L637" s="59">
        <v>0</v>
      </c>
      <c r="M637" s="61">
        <v>119.98</v>
      </c>
      <c r="N637">
        <f ca="1">IF(LEFT(tblSales[[#This Row],[Category]],1)="A",RANDBETWEEN(1,4),RANDBETWEEN(2,7))</f>
        <v>2</v>
      </c>
      <c r="O637" s="61" t="str">
        <f>IF(COUNTIF($A$2:A637,A637)=1,SUMIFS(tblSales[Revenue],tblSales[Order ID],tblSales[[#This Row],[Order ID]]),"")</f>
        <v/>
      </c>
      <c r="P637" t="str">
        <f>TEXT(tblSales[[#This Row],[Date]],"ddd")</f>
        <v>Sat</v>
      </c>
      <c r="Q637">
        <f>1/COUNTIF(tblSales[Order ID],tblSales[[#This Row],[Order ID]])</f>
        <v>0.33333333333333331</v>
      </c>
    </row>
    <row r="638" spans="1:17" x14ac:dyDescent="0.3">
      <c r="A638">
        <v>202163</v>
      </c>
      <c r="B638" s="15">
        <v>45484</v>
      </c>
      <c r="C638">
        <v>120264</v>
      </c>
      <c r="D638">
        <v>100253</v>
      </c>
      <c r="E638" t="s">
        <v>1046</v>
      </c>
      <c r="F638" t="s">
        <v>192</v>
      </c>
      <c r="G638">
        <v>3</v>
      </c>
      <c r="H638" s="59">
        <v>279</v>
      </c>
      <c r="I638" t="s">
        <v>1041</v>
      </c>
      <c r="J638" t="s">
        <v>14</v>
      </c>
      <c r="K638" s="60" t="s">
        <v>14</v>
      </c>
      <c r="L638" s="59">
        <v>0</v>
      </c>
      <c r="M638" s="61">
        <v>837</v>
      </c>
      <c r="N638">
        <f ca="1">IF(LEFT(tblSales[[#This Row],[Category]],1)="A",RANDBETWEEN(1,4),RANDBETWEEN(2,7))</f>
        <v>5</v>
      </c>
      <c r="O638" s="61">
        <f>IF(COUNTIF($A$2:A638,A638)=1,SUMIFS(tblSales[Revenue],tblSales[Order ID],tblSales[[#This Row],[Order ID]]),"")</f>
        <v>1046.96</v>
      </c>
      <c r="P638" t="str">
        <f>TEXT(tblSales[[#This Row],[Date]],"ddd")</f>
        <v>Thu</v>
      </c>
      <c r="Q638">
        <f>1/COUNTIF(tblSales[Order ID],tblSales[[#This Row],[Order ID]])</f>
        <v>0.25</v>
      </c>
    </row>
    <row r="639" spans="1:17" x14ac:dyDescent="0.3">
      <c r="A639">
        <v>202163</v>
      </c>
      <c r="B639" s="15">
        <v>45484</v>
      </c>
      <c r="C639">
        <v>120264</v>
      </c>
      <c r="D639">
        <v>300185</v>
      </c>
      <c r="E639" t="s">
        <v>1040</v>
      </c>
      <c r="F639" t="s">
        <v>1049</v>
      </c>
      <c r="G639">
        <v>1</v>
      </c>
      <c r="H639" s="59">
        <v>29.99</v>
      </c>
      <c r="I639" t="s">
        <v>1041</v>
      </c>
      <c r="J639" t="s">
        <v>14</v>
      </c>
      <c r="K639" s="60" t="s">
        <v>14</v>
      </c>
      <c r="L639" s="59">
        <v>0</v>
      </c>
      <c r="M639" s="61">
        <v>29.99</v>
      </c>
      <c r="N639">
        <f ca="1">IF(LEFT(tblSales[[#This Row],[Category]],1)="A",RANDBETWEEN(1,4),RANDBETWEEN(2,7))</f>
        <v>2</v>
      </c>
      <c r="O639" s="61" t="str">
        <f>IF(COUNTIF($A$2:A639,A639)=1,SUMIFS(tblSales[Revenue],tblSales[Order ID],tblSales[[#This Row],[Order ID]]),"")</f>
        <v/>
      </c>
      <c r="P639" t="str">
        <f>TEXT(tblSales[[#This Row],[Date]],"ddd")</f>
        <v>Thu</v>
      </c>
      <c r="Q639">
        <f>1/COUNTIF(tblSales[Order ID],tblSales[[#This Row],[Order ID]])</f>
        <v>0.25</v>
      </c>
    </row>
    <row r="640" spans="1:17" x14ac:dyDescent="0.3">
      <c r="A640">
        <v>202163</v>
      </c>
      <c r="B640" s="15">
        <v>45484</v>
      </c>
      <c r="C640">
        <v>120264</v>
      </c>
      <c r="D640">
        <v>200559</v>
      </c>
      <c r="E640" t="s">
        <v>1043</v>
      </c>
      <c r="F640" t="s">
        <v>1045</v>
      </c>
      <c r="G640">
        <v>1</v>
      </c>
      <c r="H640" s="59">
        <v>59.99</v>
      </c>
      <c r="I640" t="s">
        <v>1041</v>
      </c>
      <c r="J640" t="s">
        <v>14</v>
      </c>
      <c r="K640" s="60" t="s">
        <v>14</v>
      </c>
      <c r="L640" s="59">
        <v>0</v>
      </c>
      <c r="M640" s="61">
        <v>59.99</v>
      </c>
      <c r="N640">
        <f ca="1">IF(LEFT(tblSales[[#This Row],[Category]],1)="A",RANDBETWEEN(1,4),RANDBETWEEN(2,7))</f>
        <v>3</v>
      </c>
      <c r="O640" s="61" t="str">
        <f>IF(COUNTIF($A$2:A640,A640)=1,SUMIFS(tblSales[Revenue],tblSales[Order ID],tblSales[[#This Row],[Order ID]]),"")</f>
        <v/>
      </c>
      <c r="P640" t="str">
        <f>TEXT(tblSales[[#This Row],[Date]],"ddd")</f>
        <v>Thu</v>
      </c>
      <c r="Q640">
        <f>1/COUNTIF(tblSales[Order ID],tblSales[[#This Row],[Order ID]])</f>
        <v>0.25</v>
      </c>
    </row>
    <row r="641" spans="1:17" x14ac:dyDescent="0.3">
      <c r="A641">
        <v>202163</v>
      </c>
      <c r="B641" s="15">
        <v>45484</v>
      </c>
      <c r="C641">
        <v>120264</v>
      </c>
      <c r="D641">
        <v>200559</v>
      </c>
      <c r="E641" t="s">
        <v>1043</v>
      </c>
      <c r="F641" t="s">
        <v>1045</v>
      </c>
      <c r="G641">
        <v>2</v>
      </c>
      <c r="H641" s="59">
        <v>59.99</v>
      </c>
      <c r="I641" t="s">
        <v>1041</v>
      </c>
      <c r="J641" t="s">
        <v>14</v>
      </c>
      <c r="K641" s="60" t="s">
        <v>14</v>
      </c>
      <c r="L641" s="59">
        <v>0</v>
      </c>
      <c r="M641" s="61">
        <v>119.98</v>
      </c>
      <c r="N641">
        <f ca="1">IF(LEFT(tblSales[[#This Row],[Category]],1)="A",RANDBETWEEN(1,4),RANDBETWEEN(2,7))</f>
        <v>4</v>
      </c>
      <c r="O641" s="61" t="str">
        <f>IF(COUNTIF($A$2:A641,A641)=1,SUMIFS(tblSales[Revenue],tblSales[Order ID],tblSales[[#This Row],[Order ID]]),"")</f>
        <v/>
      </c>
      <c r="P641" t="str">
        <f>TEXT(tblSales[[#This Row],[Date]],"ddd")</f>
        <v>Thu</v>
      </c>
      <c r="Q641">
        <f>1/COUNTIF(tblSales[Order ID],tblSales[[#This Row],[Order ID]])</f>
        <v>0.25</v>
      </c>
    </row>
    <row r="642" spans="1:17" x14ac:dyDescent="0.3">
      <c r="A642">
        <v>202164</v>
      </c>
      <c r="B642" s="15">
        <v>45488</v>
      </c>
      <c r="C642">
        <v>111548</v>
      </c>
      <c r="D642">
        <v>300185</v>
      </c>
      <c r="E642" t="s">
        <v>1040</v>
      </c>
      <c r="F642" t="s">
        <v>1049</v>
      </c>
      <c r="G642">
        <v>1</v>
      </c>
      <c r="H642" s="59">
        <v>29.99</v>
      </c>
      <c r="I642" t="s">
        <v>1041</v>
      </c>
      <c r="J642" t="s">
        <v>14</v>
      </c>
      <c r="K642" s="60" t="s">
        <v>14</v>
      </c>
      <c r="L642" s="59">
        <v>0</v>
      </c>
      <c r="M642" s="61">
        <v>29.99</v>
      </c>
      <c r="N642">
        <f ca="1">IF(LEFT(tblSales[[#This Row],[Category]],1)="A",RANDBETWEEN(1,4),RANDBETWEEN(2,7))</f>
        <v>4</v>
      </c>
      <c r="O642" s="61">
        <f>IF(COUNTIF($A$2:A642,A642)=1,SUMIFS(tblSales[Revenue],tblSales[Order ID],tblSales[[#This Row],[Order ID]]),"")</f>
        <v>29.99</v>
      </c>
      <c r="P642" t="str">
        <f>TEXT(tblSales[[#This Row],[Date]],"ddd")</f>
        <v>Mon</v>
      </c>
      <c r="Q642">
        <f>1/COUNTIF(tblSales[Order ID],tblSales[[#This Row],[Order ID]])</f>
        <v>1</v>
      </c>
    </row>
    <row r="643" spans="1:17" x14ac:dyDescent="0.3">
      <c r="A643">
        <v>202165</v>
      </c>
      <c r="B643" s="15">
        <v>45485</v>
      </c>
      <c r="C643">
        <v>131042</v>
      </c>
      <c r="D643">
        <v>300185</v>
      </c>
      <c r="E643" t="s">
        <v>1040</v>
      </c>
      <c r="F643" t="s">
        <v>1049</v>
      </c>
      <c r="G643">
        <v>1</v>
      </c>
      <c r="H643" s="59">
        <v>29.99</v>
      </c>
      <c r="I643" t="s">
        <v>120</v>
      </c>
      <c r="J643" t="s">
        <v>1047</v>
      </c>
      <c r="K643" s="60">
        <v>0.1</v>
      </c>
      <c r="L643" s="59">
        <v>2.9990000000000001</v>
      </c>
      <c r="M643" s="61">
        <v>26.991</v>
      </c>
      <c r="N643">
        <f ca="1">IF(LEFT(tblSales[[#This Row],[Category]],1)="A",RANDBETWEEN(1,4),RANDBETWEEN(2,7))</f>
        <v>2</v>
      </c>
      <c r="O643" s="61">
        <f>IF(COUNTIF($A$2:A643,A643)=1,SUMIFS(tblSales[Revenue],tblSales[Order ID],tblSales[[#This Row],[Order ID]]),"")</f>
        <v>367.19099999999997</v>
      </c>
      <c r="P643" t="str">
        <f>TEXT(tblSales[[#This Row],[Date]],"ddd")</f>
        <v>Fri</v>
      </c>
      <c r="Q643">
        <f>1/COUNTIF(tblSales[Order ID],tblSales[[#This Row],[Order ID]])</f>
        <v>0.5</v>
      </c>
    </row>
    <row r="644" spans="1:17" x14ac:dyDescent="0.3">
      <c r="A644">
        <v>202165</v>
      </c>
      <c r="B644" s="15">
        <v>45485</v>
      </c>
      <c r="C644">
        <v>131042</v>
      </c>
      <c r="D644">
        <v>100250</v>
      </c>
      <c r="E644" t="s">
        <v>1046</v>
      </c>
      <c r="F644" t="s">
        <v>202</v>
      </c>
      <c r="G644">
        <v>2</v>
      </c>
      <c r="H644" s="59">
        <v>189</v>
      </c>
      <c r="I644" t="s">
        <v>120</v>
      </c>
      <c r="J644" t="s">
        <v>1047</v>
      </c>
      <c r="K644" s="60">
        <v>0.1</v>
      </c>
      <c r="L644" s="59">
        <v>37.800000000000004</v>
      </c>
      <c r="M644" s="61">
        <v>340.2</v>
      </c>
      <c r="N644">
        <f ca="1">IF(LEFT(tblSales[[#This Row],[Category]],1)="A",RANDBETWEEN(1,4),RANDBETWEEN(2,7))</f>
        <v>5</v>
      </c>
      <c r="O644" s="61" t="str">
        <f>IF(COUNTIF($A$2:A644,A644)=1,SUMIFS(tblSales[Revenue],tblSales[Order ID],tblSales[[#This Row],[Order ID]]),"")</f>
        <v/>
      </c>
      <c r="P644" t="str">
        <f>TEXT(tblSales[[#This Row],[Date]],"ddd")</f>
        <v>Fri</v>
      </c>
      <c r="Q644">
        <f>1/COUNTIF(tblSales[Order ID],tblSales[[#This Row],[Order ID]])</f>
        <v>0.5</v>
      </c>
    </row>
    <row r="645" spans="1:17" x14ac:dyDescent="0.3">
      <c r="A645">
        <v>202166</v>
      </c>
      <c r="B645" s="15">
        <v>45486</v>
      </c>
      <c r="C645">
        <v>118008</v>
      </c>
      <c r="D645">
        <v>100250</v>
      </c>
      <c r="E645" t="s">
        <v>1046</v>
      </c>
      <c r="F645" t="s">
        <v>202</v>
      </c>
      <c r="G645">
        <v>1</v>
      </c>
      <c r="H645" s="59">
        <v>189</v>
      </c>
      <c r="I645" t="s">
        <v>1041</v>
      </c>
      <c r="J645" t="s">
        <v>14</v>
      </c>
      <c r="K645" s="60" t="s">
        <v>14</v>
      </c>
      <c r="L645" s="59">
        <v>0</v>
      </c>
      <c r="M645" s="61">
        <v>189</v>
      </c>
      <c r="N645">
        <f ca="1">IF(LEFT(tblSales[[#This Row],[Category]],1)="A",RANDBETWEEN(1,4),RANDBETWEEN(2,7))</f>
        <v>4</v>
      </c>
      <c r="O645" s="61">
        <f>IF(COUNTIF($A$2:A645,A645)=1,SUMIFS(tblSales[Revenue],tblSales[Order ID],tblSales[[#This Row],[Order ID]]),"")</f>
        <v>189</v>
      </c>
      <c r="P645" t="str">
        <f>TEXT(tblSales[[#This Row],[Date]],"ddd")</f>
        <v>Sat</v>
      </c>
      <c r="Q645">
        <f>1/COUNTIF(tblSales[Order ID],tblSales[[#This Row],[Order ID]])</f>
        <v>1</v>
      </c>
    </row>
    <row r="646" spans="1:17" x14ac:dyDescent="0.3">
      <c r="A646">
        <v>202167</v>
      </c>
      <c r="B646" s="15">
        <v>45492</v>
      </c>
      <c r="C646">
        <v>108046</v>
      </c>
      <c r="D646">
        <v>300191</v>
      </c>
      <c r="E646" t="s">
        <v>1040</v>
      </c>
      <c r="F646" t="s">
        <v>1051</v>
      </c>
      <c r="G646">
        <v>5</v>
      </c>
      <c r="H646" s="59">
        <v>21.99</v>
      </c>
      <c r="I646" t="s">
        <v>1041</v>
      </c>
      <c r="J646" t="s">
        <v>14</v>
      </c>
      <c r="K646" s="60" t="s">
        <v>14</v>
      </c>
      <c r="L646" s="59">
        <v>0</v>
      </c>
      <c r="M646" s="61">
        <v>109.94999999999999</v>
      </c>
      <c r="N646">
        <f ca="1">IF(LEFT(tblSales[[#This Row],[Category]],1)="A",RANDBETWEEN(1,4),RANDBETWEEN(2,7))</f>
        <v>2</v>
      </c>
      <c r="O646" s="61">
        <f>IF(COUNTIF($A$2:A646,A646)=1,SUMIFS(tblSales[Revenue],tblSales[Order ID],tblSales[[#This Row],[Order ID]]),"")</f>
        <v>257.89</v>
      </c>
      <c r="P646" t="str">
        <f>TEXT(tblSales[[#This Row],[Date]],"ddd")</f>
        <v>Fri</v>
      </c>
      <c r="Q646">
        <f>1/COUNTIF(tblSales[Order ID],tblSales[[#This Row],[Order ID]])</f>
        <v>0.25</v>
      </c>
    </row>
    <row r="647" spans="1:17" x14ac:dyDescent="0.3">
      <c r="A647">
        <v>202167</v>
      </c>
      <c r="B647" s="15">
        <v>45492</v>
      </c>
      <c r="C647">
        <v>108046</v>
      </c>
      <c r="D647">
        <v>300191</v>
      </c>
      <c r="E647" t="s">
        <v>1040</v>
      </c>
      <c r="F647" t="s">
        <v>1051</v>
      </c>
      <c r="G647">
        <v>4</v>
      </c>
      <c r="H647" s="59">
        <v>21.99</v>
      </c>
      <c r="I647" t="s">
        <v>1041</v>
      </c>
      <c r="J647" t="s">
        <v>14</v>
      </c>
      <c r="K647" s="60" t="s">
        <v>14</v>
      </c>
      <c r="L647" s="59">
        <v>0</v>
      </c>
      <c r="M647" s="61">
        <v>87.96</v>
      </c>
      <c r="N647">
        <f ca="1">IF(LEFT(tblSales[[#This Row],[Category]],1)="A",RANDBETWEEN(1,4),RANDBETWEEN(2,7))</f>
        <v>2</v>
      </c>
      <c r="O647" s="61" t="str">
        <f>IF(COUNTIF($A$2:A647,A647)=1,SUMIFS(tblSales[Revenue],tblSales[Order ID],tblSales[[#This Row],[Order ID]]),"")</f>
        <v/>
      </c>
      <c r="P647" t="str">
        <f>TEXT(tblSales[[#This Row],[Date]],"ddd")</f>
        <v>Fri</v>
      </c>
      <c r="Q647">
        <f>1/COUNTIF(tblSales[Order ID],tblSales[[#This Row],[Order ID]])</f>
        <v>0.25</v>
      </c>
    </row>
    <row r="648" spans="1:17" x14ac:dyDescent="0.3">
      <c r="A648">
        <v>202167</v>
      </c>
      <c r="B648" s="15">
        <v>45492</v>
      </c>
      <c r="C648">
        <v>108046</v>
      </c>
      <c r="D648">
        <v>300185</v>
      </c>
      <c r="E648" t="s">
        <v>1040</v>
      </c>
      <c r="F648" t="s">
        <v>1049</v>
      </c>
      <c r="G648">
        <v>1</v>
      </c>
      <c r="H648" s="59">
        <v>29.99</v>
      </c>
      <c r="I648" t="s">
        <v>1041</v>
      </c>
      <c r="J648" t="s">
        <v>14</v>
      </c>
      <c r="K648" s="60" t="s">
        <v>14</v>
      </c>
      <c r="L648" s="59">
        <v>0</v>
      </c>
      <c r="M648" s="61">
        <v>29.99</v>
      </c>
      <c r="N648">
        <f ca="1">IF(LEFT(tblSales[[#This Row],[Category]],1)="A",RANDBETWEEN(1,4),RANDBETWEEN(2,7))</f>
        <v>1</v>
      </c>
      <c r="O648" s="61" t="str">
        <f>IF(COUNTIF($A$2:A648,A648)=1,SUMIFS(tblSales[Revenue],tblSales[Order ID],tblSales[[#This Row],[Order ID]]),"")</f>
        <v/>
      </c>
      <c r="P648" t="str">
        <f>TEXT(tblSales[[#This Row],[Date]],"ddd")</f>
        <v>Fri</v>
      </c>
      <c r="Q648">
        <f>1/COUNTIF(tblSales[Order ID],tblSales[[#This Row],[Order ID]])</f>
        <v>0.25</v>
      </c>
    </row>
    <row r="649" spans="1:17" x14ac:dyDescent="0.3">
      <c r="A649">
        <v>202167</v>
      </c>
      <c r="B649" s="15">
        <v>45492</v>
      </c>
      <c r="C649">
        <v>108046</v>
      </c>
      <c r="D649">
        <v>300185</v>
      </c>
      <c r="E649" t="s">
        <v>1040</v>
      </c>
      <c r="F649" t="s">
        <v>1049</v>
      </c>
      <c r="G649">
        <v>1</v>
      </c>
      <c r="H649" s="59">
        <v>29.99</v>
      </c>
      <c r="I649" t="s">
        <v>1041</v>
      </c>
      <c r="J649" t="s">
        <v>14</v>
      </c>
      <c r="K649" s="60" t="s">
        <v>14</v>
      </c>
      <c r="L649" s="59">
        <v>0</v>
      </c>
      <c r="M649" s="61">
        <v>29.99</v>
      </c>
      <c r="N649">
        <f ca="1">IF(LEFT(tblSales[[#This Row],[Category]],1)="A",RANDBETWEEN(1,4),RANDBETWEEN(2,7))</f>
        <v>2</v>
      </c>
      <c r="O649" s="61" t="str">
        <f>IF(COUNTIF($A$2:A649,A649)=1,SUMIFS(tblSales[Revenue],tblSales[Order ID],tblSales[[#This Row],[Order ID]]),"")</f>
        <v/>
      </c>
      <c r="P649" t="str">
        <f>TEXT(tblSales[[#This Row],[Date]],"ddd")</f>
        <v>Fri</v>
      </c>
      <c r="Q649">
        <f>1/COUNTIF(tblSales[Order ID],tblSales[[#This Row],[Order ID]])</f>
        <v>0.25</v>
      </c>
    </row>
    <row r="650" spans="1:17" x14ac:dyDescent="0.3">
      <c r="A650">
        <v>202168</v>
      </c>
      <c r="B650" s="15">
        <v>45481</v>
      </c>
      <c r="C650">
        <v>130360</v>
      </c>
      <c r="D650">
        <v>200559</v>
      </c>
      <c r="E650" t="s">
        <v>1043</v>
      </c>
      <c r="F650" t="s">
        <v>1045</v>
      </c>
      <c r="G650">
        <v>2</v>
      </c>
      <c r="H650" s="59">
        <v>59.99</v>
      </c>
      <c r="I650" t="s">
        <v>1041</v>
      </c>
      <c r="J650" t="s">
        <v>14</v>
      </c>
      <c r="K650" s="60" t="s">
        <v>14</v>
      </c>
      <c r="L650" s="59">
        <v>0</v>
      </c>
      <c r="M650" s="61">
        <v>119.98</v>
      </c>
      <c r="N650">
        <f ca="1">IF(LEFT(tblSales[[#This Row],[Category]],1)="A",RANDBETWEEN(1,4),RANDBETWEEN(2,7))</f>
        <v>2</v>
      </c>
      <c r="O650" s="61">
        <f>IF(COUNTIF($A$2:A650,A650)=1,SUMIFS(tblSales[Revenue],tblSales[Order ID],tblSales[[#This Row],[Order ID]]),"")</f>
        <v>119.98</v>
      </c>
      <c r="P650" t="str">
        <f>TEXT(tblSales[[#This Row],[Date]],"ddd")</f>
        <v>Mon</v>
      </c>
      <c r="Q650">
        <f>1/COUNTIF(tblSales[Order ID],tblSales[[#This Row],[Order ID]])</f>
        <v>1</v>
      </c>
    </row>
    <row r="651" spans="1:17" x14ac:dyDescent="0.3">
      <c r="A651">
        <v>202169</v>
      </c>
      <c r="B651" s="15">
        <v>45482</v>
      </c>
      <c r="C651">
        <v>127808</v>
      </c>
      <c r="D651">
        <v>200549</v>
      </c>
      <c r="E651" t="s">
        <v>1043</v>
      </c>
      <c r="F651" t="s">
        <v>1042</v>
      </c>
      <c r="G651">
        <v>3</v>
      </c>
      <c r="H651" s="59">
        <v>18.989999999999998</v>
      </c>
      <c r="I651" t="s">
        <v>1041</v>
      </c>
      <c r="J651" t="s">
        <v>14</v>
      </c>
      <c r="K651" s="60" t="s">
        <v>14</v>
      </c>
      <c r="L651" s="59">
        <v>0</v>
      </c>
      <c r="M651" s="61">
        <v>56.97</v>
      </c>
      <c r="N651">
        <f ca="1">IF(LEFT(tblSales[[#This Row],[Category]],1)="A",RANDBETWEEN(1,4),RANDBETWEEN(2,7))</f>
        <v>4</v>
      </c>
      <c r="O651" s="61">
        <f>IF(COUNTIF($A$2:A651,A651)=1,SUMIFS(tblSales[Revenue],tblSales[Order ID],tblSales[[#This Row],[Order ID]]),"")</f>
        <v>2716.96</v>
      </c>
      <c r="P651" t="str">
        <f>TEXT(tblSales[[#This Row],[Date]],"ddd")</f>
        <v>Tue</v>
      </c>
      <c r="Q651">
        <f>1/COUNTIF(tblSales[Order ID],tblSales[[#This Row],[Order ID]])</f>
        <v>0.2</v>
      </c>
    </row>
    <row r="652" spans="1:17" x14ac:dyDescent="0.3">
      <c r="A652">
        <v>202169</v>
      </c>
      <c r="B652" s="15">
        <v>45482</v>
      </c>
      <c r="C652">
        <v>127808</v>
      </c>
      <c r="D652">
        <v>300188</v>
      </c>
      <c r="E652" t="s">
        <v>1040</v>
      </c>
      <c r="F652" t="s">
        <v>1060</v>
      </c>
      <c r="G652">
        <v>1</v>
      </c>
      <c r="H652" s="59">
        <v>64.989999999999995</v>
      </c>
      <c r="I652" t="s">
        <v>1041</v>
      </c>
      <c r="J652" t="s">
        <v>14</v>
      </c>
      <c r="K652" s="60" t="s">
        <v>14</v>
      </c>
      <c r="L652" s="59">
        <v>0</v>
      </c>
      <c r="M652" s="61">
        <v>64.989999999999995</v>
      </c>
      <c r="N652">
        <f ca="1">IF(LEFT(tblSales[[#This Row],[Category]],1)="A",RANDBETWEEN(1,4),RANDBETWEEN(2,7))</f>
        <v>1</v>
      </c>
      <c r="O652" s="61" t="str">
        <f>IF(COUNTIF($A$2:A652,A652)=1,SUMIFS(tblSales[Revenue],tblSales[Order ID],tblSales[[#This Row],[Order ID]]),"")</f>
        <v/>
      </c>
      <c r="P652" t="str">
        <f>TEXT(tblSales[[#This Row],[Date]],"ddd")</f>
        <v>Tue</v>
      </c>
      <c r="Q652">
        <f>1/COUNTIF(tblSales[Order ID],tblSales[[#This Row],[Order ID]])</f>
        <v>0.2</v>
      </c>
    </row>
    <row r="653" spans="1:17" x14ac:dyDescent="0.3">
      <c r="A653">
        <v>202169</v>
      </c>
      <c r="B653" s="15">
        <v>45482</v>
      </c>
      <c r="C653">
        <v>127808</v>
      </c>
      <c r="D653">
        <v>100252</v>
      </c>
      <c r="E653" t="s">
        <v>1046</v>
      </c>
      <c r="F653" t="s">
        <v>158</v>
      </c>
      <c r="G653">
        <v>1</v>
      </c>
      <c r="H653" s="59">
        <v>449</v>
      </c>
      <c r="I653" t="s">
        <v>1041</v>
      </c>
      <c r="J653" t="s">
        <v>14</v>
      </c>
      <c r="K653" s="60" t="s">
        <v>14</v>
      </c>
      <c r="L653" s="59">
        <v>0</v>
      </c>
      <c r="M653" s="61">
        <v>449</v>
      </c>
      <c r="N653">
        <f ca="1">IF(LEFT(tblSales[[#This Row],[Category]],1)="A",RANDBETWEEN(1,4),RANDBETWEEN(2,7))</f>
        <v>2</v>
      </c>
      <c r="O653" s="61" t="str">
        <f>IF(COUNTIF($A$2:A653,A653)=1,SUMIFS(tblSales[Revenue],tblSales[Order ID],tblSales[[#This Row],[Order ID]]),"")</f>
        <v/>
      </c>
      <c r="P653" t="str">
        <f>TEXT(tblSales[[#This Row],[Date]],"ddd")</f>
        <v>Tue</v>
      </c>
      <c r="Q653">
        <f>1/COUNTIF(tblSales[Order ID],tblSales[[#This Row],[Order ID]])</f>
        <v>0.2</v>
      </c>
    </row>
    <row r="654" spans="1:17" x14ac:dyDescent="0.3">
      <c r="A654">
        <v>202169</v>
      </c>
      <c r="B654" s="15">
        <v>45482</v>
      </c>
      <c r="C654">
        <v>127808</v>
      </c>
      <c r="D654">
        <v>100252</v>
      </c>
      <c r="E654" t="s">
        <v>1046</v>
      </c>
      <c r="F654" t="s">
        <v>158</v>
      </c>
      <c r="G654">
        <v>3</v>
      </c>
      <c r="H654" s="59">
        <v>449</v>
      </c>
      <c r="I654" t="s">
        <v>1041</v>
      </c>
      <c r="J654" t="s">
        <v>14</v>
      </c>
      <c r="K654" s="60" t="s">
        <v>14</v>
      </c>
      <c r="L654" s="59">
        <v>0</v>
      </c>
      <c r="M654" s="61">
        <v>1347</v>
      </c>
      <c r="N654">
        <f ca="1">IF(LEFT(tblSales[[#This Row],[Category]],1)="A",RANDBETWEEN(1,4),RANDBETWEEN(2,7))</f>
        <v>7</v>
      </c>
      <c r="O654" s="61" t="str">
        <f>IF(COUNTIF($A$2:A654,A654)=1,SUMIFS(tblSales[Revenue],tblSales[Order ID],tblSales[[#This Row],[Order ID]]),"")</f>
        <v/>
      </c>
      <c r="P654" t="str">
        <f>TEXT(tblSales[[#This Row],[Date]],"ddd")</f>
        <v>Tue</v>
      </c>
      <c r="Q654">
        <f>1/COUNTIF(tblSales[Order ID],tblSales[[#This Row],[Order ID]])</f>
        <v>0.2</v>
      </c>
    </row>
    <row r="655" spans="1:17" x14ac:dyDescent="0.3">
      <c r="A655">
        <v>202169</v>
      </c>
      <c r="B655" s="15">
        <v>45482</v>
      </c>
      <c r="C655">
        <v>127808</v>
      </c>
      <c r="D655">
        <v>100254</v>
      </c>
      <c r="E655" t="s">
        <v>1046</v>
      </c>
      <c r="F655" t="s">
        <v>164</v>
      </c>
      <c r="G655">
        <v>1</v>
      </c>
      <c r="H655" s="59">
        <v>799</v>
      </c>
      <c r="I655" t="s">
        <v>1041</v>
      </c>
      <c r="J655" t="s">
        <v>14</v>
      </c>
      <c r="K655" s="60" t="s">
        <v>14</v>
      </c>
      <c r="L655" s="59">
        <v>0</v>
      </c>
      <c r="M655" s="61">
        <v>799</v>
      </c>
      <c r="N655">
        <f ca="1">IF(LEFT(tblSales[[#This Row],[Category]],1)="A",RANDBETWEEN(1,4),RANDBETWEEN(2,7))</f>
        <v>3</v>
      </c>
      <c r="O655" s="61" t="str">
        <f>IF(COUNTIF($A$2:A655,A655)=1,SUMIFS(tblSales[Revenue],tblSales[Order ID],tblSales[[#This Row],[Order ID]]),"")</f>
        <v/>
      </c>
      <c r="P655" t="str">
        <f>TEXT(tblSales[[#This Row],[Date]],"ddd")</f>
        <v>Tue</v>
      </c>
      <c r="Q655">
        <f>1/COUNTIF(tblSales[Order ID],tblSales[[#This Row],[Order ID]])</f>
        <v>0.2</v>
      </c>
    </row>
    <row r="656" spans="1:17" x14ac:dyDescent="0.3">
      <c r="A656">
        <v>202170</v>
      </c>
      <c r="B656" s="15">
        <v>45492</v>
      </c>
      <c r="C656">
        <v>120372</v>
      </c>
      <c r="D656">
        <v>200551</v>
      </c>
      <c r="E656" t="s">
        <v>1043</v>
      </c>
      <c r="F656" t="s">
        <v>1062</v>
      </c>
      <c r="G656">
        <v>1</v>
      </c>
      <c r="H656" s="59">
        <v>79.989999999999995</v>
      </c>
      <c r="I656" t="s">
        <v>1041</v>
      </c>
      <c r="J656" t="s">
        <v>14</v>
      </c>
      <c r="K656" s="60" t="s">
        <v>14</v>
      </c>
      <c r="L656" s="59">
        <v>0</v>
      </c>
      <c r="M656" s="61">
        <v>79.989999999999995</v>
      </c>
      <c r="N656">
        <f ca="1">IF(LEFT(tblSales[[#This Row],[Category]],1)="A",RANDBETWEEN(1,4),RANDBETWEEN(2,7))</f>
        <v>4</v>
      </c>
      <c r="O656" s="61">
        <f>IF(COUNTIF($A$2:A656,A656)=1,SUMIFS(tblSales[Revenue],tblSales[Order ID],tblSales[[#This Row],[Order ID]]),"")</f>
        <v>285.93</v>
      </c>
      <c r="P656" t="str">
        <f>TEXT(tblSales[[#This Row],[Date]],"ddd")</f>
        <v>Fri</v>
      </c>
      <c r="Q656">
        <f>1/COUNTIF(tblSales[Order ID],tblSales[[#This Row],[Order ID]])</f>
        <v>0.2</v>
      </c>
    </row>
    <row r="657" spans="1:17" x14ac:dyDescent="0.3">
      <c r="A657">
        <v>202170</v>
      </c>
      <c r="B657" s="15">
        <v>45492</v>
      </c>
      <c r="C657">
        <v>120372</v>
      </c>
      <c r="D657">
        <v>300185</v>
      </c>
      <c r="E657" t="s">
        <v>1040</v>
      </c>
      <c r="F657" t="s">
        <v>1049</v>
      </c>
      <c r="G657">
        <v>1</v>
      </c>
      <c r="H657" s="59">
        <v>29.99</v>
      </c>
      <c r="I657" t="s">
        <v>1041</v>
      </c>
      <c r="J657" t="s">
        <v>14</v>
      </c>
      <c r="K657" s="60" t="s">
        <v>14</v>
      </c>
      <c r="L657" s="59">
        <v>0</v>
      </c>
      <c r="M657" s="61">
        <v>29.99</v>
      </c>
      <c r="N657">
        <f ca="1">IF(LEFT(tblSales[[#This Row],[Category]],1)="A",RANDBETWEEN(1,4),RANDBETWEEN(2,7))</f>
        <v>2</v>
      </c>
      <c r="O657" s="61" t="str">
        <f>IF(COUNTIF($A$2:A657,A657)=1,SUMIFS(tblSales[Revenue],tblSales[Order ID],tblSales[[#This Row],[Order ID]]),"")</f>
        <v/>
      </c>
      <c r="P657" t="str">
        <f>TEXT(tblSales[[#This Row],[Date]],"ddd")</f>
        <v>Fri</v>
      </c>
      <c r="Q657">
        <f>1/COUNTIF(tblSales[Order ID],tblSales[[#This Row],[Order ID]])</f>
        <v>0.2</v>
      </c>
    </row>
    <row r="658" spans="1:17" x14ac:dyDescent="0.3">
      <c r="A658">
        <v>202170</v>
      </c>
      <c r="B658" s="15">
        <v>45492</v>
      </c>
      <c r="C658">
        <v>120372</v>
      </c>
      <c r="D658">
        <v>300191</v>
      </c>
      <c r="E658" t="s">
        <v>1040</v>
      </c>
      <c r="F658" t="s">
        <v>1051</v>
      </c>
      <c r="G658">
        <v>3</v>
      </c>
      <c r="H658" s="59">
        <v>21.99</v>
      </c>
      <c r="I658" t="s">
        <v>1041</v>
      </c>
      <c r="J658" t="s">
        <v>14</v>
      </c>
      <c r="K658" s="60" t="s">
        <v>14</v>
      </c>
      <c r="L658" s="59">
        <v>0</v>
      </c>
      <c r="M658" s="61">
        <v>65.97</v>
      </c>
      <c r="N658">
        <f ca="1">IF(LEFT(tblSales[[#This Row],[Category]],1)="A",RANDBETWEEN(1,4),RANDBETWEEN(2,7))</f>
        <v>4</v>
      </c>
      <c r="O658" s="61" t="str">
        <f>IF(COUNTIF($A$2:A658,A658)=1,SUMIFS(tblSales[Revenue],tblSales[Order ID],tblSales[[#This Row],[Order ID]]),"")</f>
        <v/>
      </c>
      <c r="P658" t="str">
        <f>TEXT(tblSales[[#This Row],[Date]],"ddd")</f>
        <v>Fri</v>
      </c>
      <c r="Q658">
        <f>1/COUNTIF(tblSales[Order ID],tblSales[[#This Row],[Order ID]])</f>
        <v>0.2</v>
      </c>
    </row>
    <row r="659" spans="1:17" x14ac:dyDescent="0.3">
      <c r="A659">
        <v>202170</v>
      </c>
      <c r="B659" s="15">
        <v>45492</v>
      </c>
      <c r="C659">
        <v>120372</v>
      </c>
      <c r="D659">
        <v>200552</v>
      </c>
      <c r="E659" t="s">
        <v>1043</v>
      </c>
      <c r="F659" t="s">
        <v>1056</v>
      </c>
      <c r="G659">
        <v>1</v>
      </c>
      <c r="H659" s="59">
        <v>49.99</v>
      </c>
      <c r="I659" t="s">
        <v>1041</v>
      </c>
      <c r="J659" t="s">
        <v>14</v>
      </c>
      <c r="K659" s="60" t="s">
        <v>14</v>
      </c>
      <c r="L659" s="59">
        <v>0</v>
      </c>
      <c r="M659" s="61">
        <v>49.99</v>
      </c>
      <c r="N659">
        <f ca="1">IF(LEFT(tblSales[[#This Row],[Category]],1)="A",RANDBETWEEN(1,4),RANDBETWEEN(2,7))</f>
        <v>1</v>
      </c>
      <c r="O659" s="61" t="str">
        <f>IF(COUNTIF($A$2:A659,A659)=1,SUMIFS(tblSales[Revenue],tblSales[Order ID],tblSales[[#This Row],[Order ID]]),"")</f>
        <v/>
      </c>
      <c r="P659" t="str">
        <f>TEXT(tblSales[[#This Row],[Date]],"ddd")</f>
        <v>Fri</v>
      </c>
      <c r="Q659">
        <f>1/COUNTIF(tblSales[Order ID],tblSales[[#This Row],[Order ID]])</f>
        <v>0.2</v>
      </c>
    </row>
    <row r="660" spans="1:17" x14ac:dyDescent="0.3">
      <c r="A660">
        <v>202170</v>
      </c>
      <c r="B660" s="15">
        <v>45492</v>
      </c>
      <c r="C660">
        <v>120372</v>
      </c>
      <c r="D660">
        <v>200559</v>
      </c>
      <c r="E660" t="s">
        <v>1043</v>
      </c>
      <c r="F660" t="s">
        <v>1045</v>
      </c>
      <c r="G660">
        <v>1</v>
      </c>
      <c r="H660" s="59">
        <v>59.99</v>
      </c>
      <c r="I660" t="s">
        <v>1041</v>
      </c>
      <c r="J660" t="s">
        <v>14</v>
      </c>
      <c r="K660" s="60" t="s">
        <v>14</v>
      </c>
      <c r="L660" s="59">
        <v>0</v>
      </c>
      <c r="M660" s="61">
        <v>59.99</v>
      </c>
      <c r="N660">
        <f ca="1">IF(LEFT(tblSales[[#This Row],[Category]],1)="A",RANDBETWEEN(1,4),RANDBETWEEN(2,7))</f>
        <v>3</v>
      </c>
      <c r="O660" s="61" t="str">
        <f>IF(COUNTIF($A$2:A660,A660)=1,SUMIFS(tblSales[Revenue],tblSales[Order ID],tblSales[[#This Row],[Order ID]]),"")</f>
        <v/>
      </c>
      <c r="P660" t="str">
        <f>TEXT(tblSales[[#This Row],[Date]],"ddd")</f>
        <v>Fri</v>
      </c>
      <c r="Q660">
        <f>1/COUNTIF(tblSales[Order ID],tblSales[[#This Row],[Order ID]])</f>
        <v>0.2</v>
      </c>
    </row>
    <row r="661" spans="1:17" x14ac:dyDescent="0.3">
      <c r="A661">
        <v>202171</v>
      </c>
      <c r="B661" s="15">
        <v>45493</v>
      </c>
      <c r="C661">
        <v>102692</v>
      </c>
      <c r="D661">
        <v>200556</v>
      </c>
      <c r="E661" t="s">
        <v>1043</v>
      </c>
      <c r="F661" t="s">
        <v>1044</v>
      </c>
      <c r="G661">
        <v>1</v>
      </c>
      <c r="H661" s="59">
        <v>64.989999999999995</v>
      </c>
      <c r="I661" t="s">
        <v>1041</v>
      </c>
      <c r="J661" t="s">
        <v>14</v>
      </c>
      <c r="K661" s="60" t="s">
        <v>14</v>
      </c>
      <c r="L661" s="59">
        <v>0</v>
      </c>
      <c r="M661" s="61">
        <v>64.989999999999995</v>
      </c>
      <c r="N661">
        <f ca="1">IF(LEFT(tblSales[[#This Row],[Category]],1)="A",RANDBETWEEN(1,4),RANDBETWEEN(2,7))</f>
        <v>4</v>
      </c>
      <c r="O661" s="61">
        <f>IF(COUNTIF($A$2:A661,A661)=1,SUMIFS(tblSales[Revenue],tblSales[Order ID],tblSales[[#This Row],[Order ID]]),"")</f>
        <v>253.99</v>
      </c>
      <c r="P661" t="str">
        <f>TEXT(tblSales[[#This Row],[Date]],"ddd")</f>
        <v>Sat</v>
      </c>
      <c r="Q661">
        <f>1/COUNTIF(tblSales[Order ID],tblSales[[#This Row],[Order ID]])</f>
        <v>0.5</v>
      </c>
    </row>
    <row r="662" spans="1:17" x14ac:dyDescent="0.3">
      <c r="A662">
        <v>202171</v>
      </c>
      <c r="B662" s="15">
        <v>45493</v>
      </c>
      <c r="C662">
        <v>102692</v>
      </c>
      <c r="D662">
        <v>100250</v>
      </c>
      <c r="E662" t="s">
        <v>1046</v>
      </c>
      <c r="F662" t="s">
        <v>202</v>
      </c>
      <c r="G662">
        <v>1</v>
      </c>
      <c r="H662" s="59">
        <v>189</v>
      </c>
      <c r="I662" t="s">
        <v>1041</v>
      </c>
      <c r="J662" t="s">
        <v>14</v>
      </c>
      <c r="K662" s="60" t="s">
        <v>14</v>
      </c>
      <c r="L662" s="59">
        <v>0</v>
      </c>
      <c r="M662" s="61">
        <v>189</v>
      </c>
      <c r="N662">
        <f ca="1">IF(LEFT(tblSales[[#This Row],[Category]],1)="A",RANDBETWEEN(1,4),RANDBETWEEN(2,7))</f>
        <v>2</v>
      </c>
      <c r="O662" s="61" t="str">
        <f>IF(COUNTIF($A$2:A662,A662)=1,SUMIFS(tblSales[Revenue],tblSales[Order ID],tblSales[[#This Row],[Order ID]]),"")</f>
        <v/>
      </c>
      <c r="P662" t="str">
        <f>TEXT(tblSales[[#This Row],[Date]],"ddd")</f>
        <v>Sat</v>
      </c>
      <c r="Q662">
        <f>1/COUNTIF(tblSales[Order ID],tblSales[[#This Row],[Order ID]])</f>
        <v>0.5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50C2-1B0B-43E2-AA45-A572C3C4E61F}">
  <dimension ref="A1:K51"/>
  <sheetViews>
    <sheetView showGridLines="0" workbookViewId="0"/>
  </sheetViews>
  <sheetFormatPr defaultRowHeight="14.4" x14ac:dyDescent="0.3"/>
  <cols>
    <col min="1" max="1" width="2.6640625" customWidth="1"/>
    <col min="2" max="2" width="11.44140625" bestFit="1" customWidth="1"/>
    <col min="3" max="3" width="17.109375" customWidth="1"/>
    <col min="4" max="4" width="9.5546875" bestFit="1" customWidth="1"/>
    <col min="5" max="5" width="8.5546875" bestFit="1" customWidth="1"/>
    <col min="6" max="6" width="14.33203125" hidden="1" customWidth="1"/>
    <col min="7" max="7" width="10.6640625" bestFit="1" customWidth="1"/>
    <col min="8" max="8" width="6.33203125" bestFit="1" customWidth="1"/>
    <col min="9" max="9" width="1" customWidth="1"/>
    <col min="11" max="11" width="13.6640625" customWidth="1"/>
  </cols>
  <sheetData>
    <row r="1" spans="1:11" s="57" customFormat="1" ht="30" customHeight="1" x14ac:dyDescent="0.4">
      <c r="A1" s="105">
        <v>3</v>
      </c>
      <c r="B1" s="57" t="s">
        <v>557</v>
      </c>
    </row>
    <row r="3" spans="1:11" x14ac:dyDescent="0.3">
      <c r="B3" t="s">
        <v>1023</v>
      </c>
      <c r="C3" t="s">
        <v>558</v>
      </c>
      <c r="D3" t="s">
        <v>561</v>
      </c>
      <c r="E3" t="s">
        <v>497</v>
      </c>
      <c r="F3" t="s">
        <v>559</v>
      </c>
      <c r="G3" t="s">
        <v>1024</v>
      </c>
      <c r="H3" t="s">
        <v>560</v>
      </c>
      <c r="J3" s="58" t="s">
        <v>14</v>
      </c>
      <c r="K3" s="58" t="s">
        <v>14</v>
      </c>
    </row>
    <row r="4" spans="1:11" x14ac:dyDescent="0.3">
      <c r="B4">
        <v>100609</v>
      </c>
      <c r="C4" t="s">
        <v>212</v>
      </c>
      <c r="D4" t="s">
        <v>562</v>
      </c>
      <c r="E4" t="s">
        <v>159</v>
      </c>
      <c r="G4" s="71">
        <f>COUNTIFS(tblCustomerList[Customer ID],Table5[[#This Row],[Cust ID]])</f>
        <v>1</v>
      </c>
      <c r="H4" s="56" t="b">
        <v>0</v>
      </c>
      <c r="J4" t="str" cm="1">
        <f t="array" ref="J4:K8">IFERROR(
 _xlfn.LET(_xlpm.xRow,_xlfn.XMATCH(TRUE,Table5[Info],0),
 _xlpm.arr,_xlfn._xlws.FILTER(tblCustomerList[[Contact Name]:[Phone Number]],tblCustomerList[Customer ID]=INDEX(Table5[Cust ID],_xlpm.xRow),""),
 IF(_xlpm.xRow=1,_xlpm.arr,_xlfn.VSTACK(_xlfn.EXPAND($J$3:$K$3,_xlpm.xRow-1,,""),_xlpm.arr))),
 "")</f>
        <v/>
      </c>
      <c r="K4" s="55" t="str">
        <v/>
      </c>
    </row>
    <row r="5" spans="1:11" x14ac:dyDescent="0.3">
      <c r="B5">
        <v>100610</v>
      </c>
      <c r="C5" t="s">
        <v>395</v>
      </c>
      <c r="D5" t="s">
        <v>563</v>
      </c>
      <c r="E5" t="s">
        <v>151</v>
      </c>
      <c r="G5" s="71">
        <f>COUNTIFS(tblCustomerList[Customer ID],Table5[[#This Row],[Cust ID]])</f>
        <v>2</v>
      </c>
      <c r="H5" s="56" t="b">
        <v>0</v>
      </c>
      <c r="J5" s="55" t="str">
        <v/>
      </c>
      <c r="K5" s="55" t="str">
        <v/>
      </c>
    </row>
    <row r="6" spans="1:11" x14ac:dyDescent="0.3">
      <c r="B6">
        <v>100611</v>
      </c>
      <c r="C6" t="s">
        <v>241</v>
      </c>
      <c r="D6" t="s">
        <v>562</v>
      </c>
      <c r="E6" t="s">
        <v>151</v>
      </c>
      <c r="G6" s="71">
        <f>COUNTIFS(tblCustomerList[Customer ID],Table5[[#This Row],[Cust ID]])</f>
        <v>2</v>
      </c>
      <c r="H6" s="56" t="b">
        <v>0</v>
      </c>
      <c r="J6" s="55" t="str">
        <v/>
      </c>
      <c r="K6" s="55" t="str">
        <v/>
      </c>
    </row>
    <row r="7" spans="1:11" x14ac:dyDescent="0.3">
      <c r="B7">
        <v>100623</v>
      </c>
      <c r="C7" t="s">
        <v>429</v>
      </c>
      <c r="D7" t="s">
        <v>564</v>
      </c>
      <c r="E7" t="s">
        <v>151</v>
      </c>
      <c r="G7" s="71">
        <f>COUNTIFS(tblCustomerList[Customer ID],Table5[[#This Row],[Cust ID]])</f>
        <v>2</v>
      </c>
      <c r="H7" s="56" t="b">
        <v>1</v>
      </c>
      <c r="J7" s="55" t="str">
        <v>Kingsley</v>
      </c>
      <c r="K7" s="55">
        <v>5554338478</v>
      </c>
    </row>
    <row r="8" spans="1:11" x14ac:dyDescent="0.3">
      <c r="B8">
        <v>100593</v>
      </c>
      <c r="C8" t="s">
        <v>256</v>
      </c>
      <c r="D8" t="s">
        <v>564</v>
      </c>
      <c r="E8" t="s">
        <v>159</v>
      </c>
      <c r="G8" s="71">
        <f>COUNTIFS(tblCustomerList[Customer ID],Table5[[#This Row],[Cust ID]])</f>
        <v>1</v>
      </c>
      <c r="H8" s="56" t="b">
        <v>0</v>
      </c>
      <c r="J8" s="55" t="str">
        <v>Osbourn</v>
      </c>
      <c r="K8" s="55">
        <v>5556486326</v>
      </c>
    </row>
    <row r="9" spans="1:11" x14ac:dyDescent="0.3">
      <c r="B9">
        <v>100587</v>
      </c>
      <c r="C9" t="s">
        <v>174</v>
      </c>
      <c r="D9" t="s">
        <v>562</v>
      </c>
      <c r="E9" t="s">
        <v>151</v>
      </c>
      <c r="G9" s="71">
        <f>COUNTIFS(tblCustomerList[Customer ID],Table5[[#This Row],[Cust ID]])</f>
        <v>2</v>
      </c>
      <c r="H9" s="56" t="b">
        <v>0</v>
      </c>
      <c r="J9" s="55"/>
      <c r="K9" s="55"/>
    </row>
    <row r="10" spans="1:11" x14ac:dyDescent="0.3">
      <c r="B10">
        <v>100602</v>
      </c>
      <c r="C10" t="s">
        <v>201</v>
      </c>
      <c r="D10" t="s">
        <v>562</v>
      </c>
      <c r="E10" t="s">
        <v>151</v>
      </c>
      <c r="G10" s="71">
        <f>COUNTIFS(tblCustomerList[Customer ID],Table5[[#This Row],[Cust ID]])</f>
        <v>4</v>
      </c>
      <c r="H10" s="56" t="b">
        <v>0</v>
      </c>
      <c r="K10" s="55"/>
    </row>
    <row r="11" spans="1:11" x14ac:dyDescent="0.3">
      <c r="B11">
        <v>100592</v>
      </c>
      <c r="C11" t="s">
        <v>404</v>
      </c>
      <c r="D11" t="s">
        <v>564</v>
      </c>
      <c r="E11" t="s">
        <v>151</v>
      </c>
      <c r="G11" s="71">
        <f>COUNTIFS(tblCustomerList[Customer ID],Table5[[#This Row],[Cust ID]])</f>
        <v>1</v>
      </c>
      <c r="H11" s="56" t="b">
        <v>0</v>
      </c>
      <c r="K11" s="55"/>
    </row>
    <row r="12" spans="1:11" x14ac:dyDescent="0.3">
      <c r="B12">
        <v>100588</v>
      </c>
      <c r="C12" t="s">
        <v>187</v>
      </c>
      <c r="D12" t="s">
        <v>562</v>
      </c>
      <c r="E12" t="s">
        <v>159</v>
      </c>
      <c r="G12" s="71">
        <f>COUNTIFS(tblCustomerList[Customer ID],Table5[[#This Row],[Cust ID]])</f>
        <v>2</v>
      </c>
      <c r="H12" s="56" t="b">
        <v>0</v>
      </c>
      <c r="K12" s="55"/>
    </row>
    <row r="13" spans="1:11" x14ac:dyDescent="0.3">
      <c r="B13">
        <v>100605</v>
      </c>
      <c r="C13" t="s">
        <v>356</v>
      </c>
      <c r="D13" t="s">
        <v>564</v>
      </c>
      <c r="E13" t="s">
        <v>151</v>
      </c>
      <c r="G13" s="71">
        <f>COUNTIFS(tblCustomerList[Customer ID],Table5[[#This Row],[Cust ID]])</f>
        <v>3</v>
      </c>
      <c r="H13" s="56" t="b">
        <v>0</v>
      </c>
      <c r="K13" s="55"/>
    </row>
    <row r="14" spans="1:11" x14ac:dyDescent="0.3">
      <c r="B14">
        <v>100610</v>
      </c>
      <c r="C14" t="s">
        <v>395</v>
      </c>
      <c r="D14" t="s">
        <v>562</v>
      </c>
      <c r="E14" t="s">
        <v>159</v>
      </c>
      <c r="G14" s="71">
        <f>COUNTIFS(tblCustomerList[Customer ID],Table5[[#This Row],[Cust ID]])</f>
        <v>2</v>
      </c>
      <c r="H14" s="56" t="b">
        <v>0</v>
      </c>
      <c r="J14" s="55"/>
      <c r="K14" s="55"/>
    </row>
    <row r="15" spans="1:11" x14ac:dyDescent="0.3">
      <c r="B15">
        <v>100600</v>
      </c>
      <c r="C15" t="s">
        <v>345</v>
      </c>
      <c r="D15" t="s">
        <v>563</v>
      </c>
      <c r="E15" t="s">
        <v>159</v>
      </c>
      <c r="G15" s="71">
        <f>COUNTIFS(tblCustomerList[Customer ID],Table5[[#This Row],[Cust ID]])</f>
        <v>1</v>
      </c>
      <c r="H15" s="56" t="b">
        <v>0</v>
      </c>
      <c r="J15" s="55"/>
      <c r="K15" s="55"/>
    </row>
    <row r="16" spans="1:11" x14ac:dyDescent="0.3">
      <c r="B16">
        <v>100598</v>
      </c>
      <c r="C16" t="s">
        <v>439</v>
      </c>
      <c r="D16" t="s">
        <v>564</v>
      </c>
      <c r="E16" t="s">
        <v>159</v>
      </c>
      <c r="G16" s="71">
        <f>COUNTIFS(tblCustomerList[Customer ID],Table5[[#This Row],[Cust ID]])</f>
        <v>3</v>
      </c>
      <c r="H16" s="56" t="b">
        <v>0</v>
      </c>
      <c r="J16" s="55"/>
      <c r="K16" s="55"/>
    </row>
    <row r="17" spans="2:11" x14ac:dyDescent="0.3">
      <c r="B17">
        <v>100609</v>
      </c>
      <c r="C17" t="s">
        <v>212</v>
      </c>
      <c r="D17" t="s">
        <v>564</v>
      </c>
      <c r="E17" t="s">
        <v>151</v>
      </c>
      <c r="G17" s="71">
        <f>COUNTIFS(tblCustomerList[Customer ID],Table5[[#This Row],[Cust ID]])</f>
        <v>1</v>
      </c>
      <c r="H17" s="56" t="b">
        <v>0</v>
      </c>
      <c r="J17" s="55"/>
      <c r="K17" s="55"/>
    </row>
    <row r="18" spans="2:11" x14ac:dyDescent="0.3">
      <c r="B18">
        <v>100590</v>
      </c>
      <c r="C18" t="s">
        <v>350</v>
      </c>
      <c r="D18" t="s">
        <v>564</v>
      </c>
      <c r="E18" t="s">
        <v>159</v>
      </c>
      <c r="G18" s="71">
        <f>COUNTIFS(tblCustomerList[Customer ID],Table5[[#This Row],[Cust ID]])</f>
        <v>2</v>
      </c>
      <c r="H18" s="56" t="b">
        <v>0</v>
      </c>
      <c r="J18" s="55"/>
      <c r="K18" s="55"/>
    </row>
    <row r="19" spans="2:11" x14ac:dyDescent="0.3">
      <c r="B19">
        <v>100607</v>
      </c>
      <c r="C19" t="s">
        <v>208</v>
      </c>
      <c r="D19" t="s">
        <v>562</v>
      </c>
      <c r="E19" t="s">
        <v>159</v>
      </c>
      <c r="G19" s="71">
        <f>COUNTIFS(tblCustomerList[Customer ID],Table5[[#This Row],[Cust ID]])</f>
        <v>1</v>
      </c>
      <c r="H19" s="56" t="b">
        <v>0</v>
      </c>
      <c r="J19" s="55"/>
      <c r="K19" s="55"/>
    </row>
    <row r="20" spans="2:11" x14ac:dyDescent="0.3">
      <c r="B20">
        <v>100590</v>
      </c>
      <c r="C20" t="s">
        <v>350</v>
      </c>
      <c r="D20" t="s">
        <v>562</v>
      </c>
      <c r="E20" t="s">
        <v>159</v>
      </c>
      <c r="G20" s="71">
        <f>COUNTIFS(tblCustomerList[Customer ID],Table5[[#This Row],[Cust ID]])</f>
        <v>2</v>
      </c>
      <c r="H20" s="56" t="b">
        <v>0</v>
      </c>
      <c r="J20" s="55"/>
      <c r="K20" s="55"/>
    </row>
    <row r="21" spans="2:11" x14ac:dyDescent="0.3">
      <c r="B21">
        <v>100585</v>
      </c>
      <c r="C21" t="s">
        <v>251</v>
      </c>
      <c r="D21" t="s">
        <v>562</v>
      </c>
      <c r="E21" t="s">
        <v>159</v>
      </c>
      <c r="G21" s="71">
        <f>COUNTIFS(tblCustomerList[Customer ID],Table5[[#This Row],[Cust ID]])</f>
        <v>3</v>
      </c>
      <c r="H21" s="56" t="b">
        <v>0</v>
      </c>
      <c r="J21" s="55"/>
      <c r="K21" s="55"/>
    </row>
    <row r="22" spans="2:11" x14ac:dyDescent="0.3">
      <c r="B22">
        <v>100599</v>
      </c>
      <c r="C22" t="s">
        <v>228</v>
      </c>
      <c r="D22" t="s">
        <v>564</v>
      </c>
      <c r="E22" t="s">
        <v>151</v>
      </c>
      <c r="G22" s="71">
        <f>COUNTIFS(tblCustomerList[Customer ID],Table5[[#This Row],[Cust ID]])</f>
        <v>4</v>
      </c>
      <c r="H22" s="56" t="b">
        <v>0</v>
      </c>
      <c r="J22" s="55"/>
      <c r="K22" s="55"/>
    </row>
    <row r="23" spans="2:11" x14ac:dyDescent="0.3">
      <c r="B23">
        <v>100589</v>
      </c>
      <c r="C23" t="s">
        <v>279</v>
      </c>
      <c r="D23" t="s">
        <v>563</v>
      </c>
      <c r="E23" t="s">
        <v>159</v>
      </c>
      <c r="G23" s="71">
        <f>COUNTIFS(tblCustomerList[Customer ID],Table5[[#This Row],[Cust ID]])</f>
        <v>3</v>
      </c>
      <c r="H23" s="56" t="b">
        <v>0</v>
      </c>
      <c r="J23" s="55"/>
      <c r="K23" s="55"/>
    </row>
    <row r="24" spans="2:11" x14ac:dyDescent="0.3">
      <c r="B24">
        <v>100593</v>
      </c>
      <c r="C24" t="s">
        <v>256</v>
      </c>
      <c r="D24" t="s">
        <v>562</v>
      </c>
      <c r="E24" t="s">
        <v>159</v>
      </c>
      <c r="G24" s="71">
        <f>COUNTIFS(tblCustomerList[Customer ID],Table5[[#This Row],[Cust ID]])</f>
        <v>1</v>
      </c>
      <c r="H24" s="56" t="b">
        <v>0</v>
      </c>
      <c r="J24" s="55"/>
      <c r="K24" s="55"/>
    </row>
    <row r="25" spans="2:11" x14ac:dyDescent="0.3">
      <c r="B25">
        <v>100608</v>
      </c>
      <c r="C25" t="s">
        <v>184</v>
      </c>
      <c r="D25" t="s">
        <v>563</v>
      </c>
      <c r="E25" t="s">
        <v>159</v>
      </c>
      <c r="G25" s="71">
        <f>COUNTIFS(tblCustomerList[Customer ID],Table5[[#This Row],[Cust ID]])</f>
        <v>1</v>
      </c>
      <c r="H25" s="56" t="b">
        <v>0</v>
      </c>
      <c r="J25" s="55"/>
      <c r="K25" s="55"/>
    </row>
    <row r="26" spans="2:11" x14ac:dyDescent="0.3">
      <c r="B26">
        <v>100592</v>
      </c>
      <c r="C26" t="s">
        <v>404</v>
      </c>
      <c r="D26" t="s">
        <v>562</v>
      </c>
      <c r="E26" t="s">
        <v>159</v>
      </c>
      <c r="G26" s="71">
        <f>COUNTIFS(tblCustomerList[Customer ID],Table5[[#This Row],[Cust ID]])</f>
        <v>1</v>
      </c>
      <c r="H26" s="56" t="b">
        <v>0</v>
      </c>
      <c r="J26" s="55"/>
      <c r="K26" s="55"/>
    </row>
    <row r="27" spans="2:11" x14ac:dyDescent="0.3">
      <c r="B27">
        <v>100618</v>
      </c>
      <c r="C27" t="s">
        <v>361</v>
      </c>
      <c r="D27" t="s">
        <v>563</v>
      </c>
      <c r="E27" t="s">
        <v>151</v>
      </c>
      <c r="G27" s="71">
        <f>COUNTIFS(tblCustomerList[Customer ID],Table5[[#This Row],[Cust ID]])</f>
        <v>4</v>
      </c>
      <c r="H27" s="56" t="b">
        <v>0</v>
      </c>
      <c r="J27" s="55"/>
      <c r="K27" s="55"/>
    </row>
    <row r="28" spans="2:11" x14ac:dyDescent="0.3">
      <c r="B28">
        <v>100601</v>
      </c>
      <c r="C28" t="s">
        <v>341</v>
      </c>
      <c r="D28" t="s">
        <v>564</v>
      </c>
      <c r="E28" t="s">
        <v>159</v>
      </c>
      <c r="G28" s="71">
        <f>COUNTIFS(tblCustomerList[Customer ID],Table5[[#This Row],[Cust ID]])</f>
        <v>2</v>
      </c>
      <c r="H28" s="56" t="b">
        <v>0</v>
      </c>
      <c r="J28" s="55"/>
      <c r="K28" s="55"/>
    </row>
    <row r="29" spans="2:11" x14ac:dyDescent="0.3">
      <c r="B29">
        <v>100622</v>
      </c>
      <c r="C29" t="s">
        <v>245</v>
      </c>
      <c r="D29" t="s">
        <v>563</v>
      </c>
      <c r="E29" t="s">
        <v>159</v>
      </c>
      <c r="G29" s="71">
        <f>COUNTIFS(tblCustomerList[Customer ID],Table5[[#This Row],[Cust ID]])</f>
        <v>3</v>
      </c>
      <c r="H29" s="56" t="b">
        <v>0</v>
      </c>
      <c r="J29" s="55"/>
      <c r="K29" s="55"/>
    </row>
    <row r="30" spans="2:11" x14ac:dyDescent="0.3">
      <c r="B30">
        <v>100587</v>
      </c>
      <c r="C30" t="s">
        <v>174</v>
      </c>
      <c r="D30" t="s">
        <v>562</v>
      </c>
      <c r="E30" t="s">
        <v>159</v>
      </c>
      <c r="G30" s="71">
        <f>COUNTIFS(tblCustomerList[Customer ID],Table5[[#This Row],[Cust ID]])</f>
        <v>2</v>
      </c>
      <c r="H30" s="56" t="b">
        <v>0</v>
      </c>
      <c r="J30" s="55"/>
      <c r="K30" s="55"/>
    </row>
    <row r="31" spans="2:11" x14ac:dyDescent="0.3">
      <c r="B31">
        <v>100604</v>
      </c>
      <c r="C31" t="s">
        <v>354</v>
      </c>
      <c r="D31" t="s">
        <v>562</v>
      </c>
      <c r="E31" t="s">
        <v>159</v>
      </c>
      <c r="G31" s="71">
        <f>COUNTIFS(tblCustomerList[Customer ID],Table5[[#This Row],[Cust ID]])</f>
        <v>4</v>
      </c>
      <c r="H31" s="56" t="b">
        <v>0</v>
      </c>
      <c r="J31" s="55"/>
      <c r="K31" s="55"/>
    </row>
    <row r="32" spans="2:11" x14ac:dyDescent="0.3">
      <c r="B32">
        <v>100614</v>
      </c>
      <c r="C32" t="s">
        <v>325</v>
      </c>
      <c r="D32" t="s">
        <v>564</v>
      </c>
      <c r="E32" t="s">
        <v>151</v>
      </c>
      <c r="G32" s="71">
        <f>COUNTIFS(tblCustomerList[Customer ID],Table5[[#This Row],[Cust ID]])</f>
        <v>1</v>
      </c>
      <c r="H32" s="56" t="b">
        <v>0</v>
      </c>
      <c r="J32" s="55"/>
      <c r="K32" s="55"/>
    </row>
    <row r="33" spans="2:11" x14ac:dyDescent="0.3">
      <c r="B33">
        <v>100617</v>
      </c>
      <c r="C33" t="s">
        <v>320</v>
      </c>
      <c r="D33" t="s">
        <v>564</v>
      </c>
      <c r="E33" t="s">
        <v>159</v>
      </c>
      <c r="G33" s="71">
        <f>COUNTIFS(tblCustomerList[Customer ID],Table5[[#This Row],[Cust ID]])</f>
        <v>2</v>
      </c>
      <c r="H33" s="56" t="b">
        <v>0</v>
      </c>
      <c r="J33" s="55"/>
      <c r="K33" s="55"/>
    </row>
    <row r="34" spans="2:11" x14ac:dyDescent="0.3">
      <c r="B34">
        <v>100605</v>
      </c>
      <c r="C34" t="s">
        <v>356</v>
      </c>
      <c r="D34" t="s">
        <v>562</v>
      </c>
      <c r="E34" t="s">
        <v>151</v>
      </c>
      <c r="G34" s="71">
        <f>COUNTIFS(tblCustomerList[Customer ID],Table5[[#This Row],[Cust ID]])</f>
        <v>3</v>
      </c>
      <c r="H34" s="56" t="b">
        <v>0</v>
      </c>
      <c r="J34" s="55"/>
      <c r="K34" s="55"/>
    </row>
    <row r="35" spans="2:11" x14ac:dyDescent="0.3">
      <c r="B35">
        <v>100620</v>
      </c>
      <c r="C35" t="s">
        <v>262</v>
      </c>
      <c r="D35" t="s">
        <v>564</v>
      </c>
      <c r="E35" t="s">
        <v>159</v>
      </c>
      <c r="G35" s="71">
        <f>COUNTIFS(tblCustomerList[Customer ID],Table5[[#This Row],[Cust ID]])</f>
        <v>1</v>
      </c>
      <c r="H35" s="56" t="b">
        <v>0</v>
      </c>
      <c r="J35" s="55"/>
      <c r="K35" s="55"/>
    </row>
    <row r="36" spans="2:11" x14ac:dyDescent="0.3">
      <c r="B36">
        <v>100588</v>
      </c>
      <c r="C36" t="s">
        <v>187</v>
      </c>
      <c r="D36" t="s">
        <v>562</v>
      </c>
      <c r="E36" t="s">
        <v>159</v>
      </c>
      <c r="G36" s="71">
        <f>COUNTIFS(tblCustomerList[Customer ID],Table5[[#This Row],[Cust ID]])</f>
        <v>2</v>
      </c>
      <c r="H36" s="56" t="b">
        <v>0</v>
      </c>
      <c r="J36" s="55"/>
      <c r="K36" s="55"/>
    </row>
    <row r="37" spans="2:11" x14ac:dyDescent="0.3">
      <c r="I37" s="55"/>
      <c r="K37" s="55"/>
    </row>
    <row r="38" spans="2:11" x14ac:dyDescent="0.3">
      <c r="I38" s="55"/>
      <c r="K38" s="55"/>
    </row>
    <row r="39" spans="2:11" x14ac:dyDescent="0.3">
      <c r="I39" s="55"/>
      <c r="K39" s="55"/>
    </row>
    <row r="40" spans="2:11" x14ac:dyDescent="0.3">
      <c r="I40" s="55"/>
      <c r="K40" s="55"/>
    </row>
    <row r="41" spans="2:11" x14ac:dyDescent="0.3">
      <c r="I41" s="55"/>
      <c r="K41" s="55"/>
    </row>
    <row r="42" spans="2:11" x14ac:dyDescent="0.3">
      <c r="I42" s="55"/>
      <c r="K42" s="55"/>
    </row>
    <row r="43" spans="2:11" x14ac:dyDescent="0.3">
      <c r="I43" s="55"/>
      <c r="K43" s="55"/>
    </row>
    <row r="44" spans="2:11" x14ac:dyDescent="0.3">
      <c r="I44" s="55"/>
      <c r="K44" s="55"/>
    </row>
    <row r="45" spans="2:11" x14ac:dyDescent="0.3">
      <c r="I45" s="55"/>
    </row>
    <row r="46" spans="2:11" x14ac:dyDescent="0.3">
      <c r="I46" s="55"/>
    </row>
    <row r="47" spans="2:11" x14ac:dyDescent="0.3">
      <c r="I47" s="55"/>
    </row>
    <row r="48" spans="2:11" x14ac:dyDescent="0.3">
      <c r="I48" s="55"/>
    </row>
    <row r="49" spans="9:9" x14ac:dyDescent="0.3">
      <c r="I49" s="55"/>
    </row>
    <row r="50" spans="9:9" x14ac:dyDescent="0.3">
      <c r="I50" s="55"/>
    </row>
    <row r="51" spans="9:9" x14ac:dyDescent="0.3">
      <c r="I51" s="55"/>
    </row>
  </sheetData>
  <conditionalFormatting sqref="B4:H36">
    <cfRule type="expression" dxfId="17" priority="8">
      <formula>$H4</formula>
    </cfRule>
  </conditionalFormatting>
  <conditionalFormatting sqref="J4:K43">
    <cfRule type="cellIs" dxfId="16" priority="1" operator="notEqual">
      <formula>""</formula>
    </cfRule>
  </conditionalFormatting>
  <hyperlinks>
    <hyperlink ref="A1" location="'TOC Gallery'!A1" tooltip="Go To Table of Contents" display="'TOC Gallery'!A1" xr:uid="{40E8475E-90F4-438D-9266-81293BD296BE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41F8-92C3-49E6-87F0-90C0074D3425}">
  <sheetPr>
    <tabColor theme="4"/>
  </sheetPr>
  <dimension ref="A1:F479"/>
  <sheetViews>
    <sheetView workbookViewId="0">
      <selection activeCell="C51" sqref="C51"/>
    </sheetView>
  </sheetViews>
  <sheetFormatPr defaultRowHeight="14.4" x14ac:dyDescent="0.3"/>
  <cols>
    <col min="1" max="1" width="14.5546875" customWidth="1"/>
    <col min="2" max="2" width="17.88671875" customWidth="1"/>
    <col min="3" max="3" width="16" customWidth="1"/>
    <col min="4" max="4" width="16.5546875" customWidth="1"/>
    <col min="5" max="5" width="18" bestFit="1" customWidth="1"/>
    <col min="6" max="6" width="14.44140625" bestFit="1" customWidth="1"/>
  </cols>
  <sheetData>
    <row r="1" spans="1:6" x14ac:dyDescent="0.3">
      <c r="A1" t="s">
        <v>556</v>
      </c>
      <c r="B1" t="s">
        <v>490</v>
      </c>
      <c r="C1" t="s">
        <v>489</v>
      </c>
      <c r="D1" t="s">
        <v>488</v>
      </c>
      <c r="E1" t="s">
        <v>487</v>
      </c>
      <c r="F1" t="s">
        <v>486</v>
      </c>
    </row>
    <row r="2" spans="1:6" x14ac:dyDescent="0.3">
      <c r="A2">
        <v>100641</v>
      </c>
      <c r="B2" t="s">
        <v>204</v>
      </c>
      <c r="C2" t="s">
        <v>699</v>
      </c>
      <c r="D2" s="55">
        <v>5552031671</v>
      </c>
      <c r="E2" t="s">
        <v>203</v>
      </c>
      <c r="F2" t="s">
        <v>155</v>
      </c>
    </row>
    <row r="3" spans="1:6" x14ac:dyDescent="0.3">
      <c r="A3">
        <v>100724</v>
      </c>
      <c r="B3" t="s">
        <v>296</v>
      </c>
      <c r="C3" t="s">
        <v>898</v>
      </c>
      <c r="D3" s="55">
        <v>5552053422</v>
      </c>
      <c r="E3" t="s">
        <v>183</v>
      </c>
      <c r="F3" t="s">
        <v>182</v>
      </c>
    </row>
    <row r="4" spans="1:6" x14ac:dyDescent="0.3">
      <c r="A4">
        <v>100757</v>
      </c>
      <c r="B4" t="s">
        <v>275</v>
      </c>
      <c r="C4" t="s">
        <v>976</v>
      </c>
      <c r="D4" s="55">
        <v>5552086767</v>
      </c>
      <c r="E4" t="s">
        <v>249</v>
      </c>
      <c r="F4" t="s">
        <v>182</v>
      </c>
    </row>
    <row r="5" spans="1:6" x14ac:dyDescent="0.3">
      <c r="A5">
        <v>100772</v>
      </c>
      <c r="B5" t="s">
        <v>382</v>
      </c>
      <c r="C5" t="s">
        <v>1015</v>
      </c>
      <c r="D5" s="55">
        <v>5552101719</v>
      </c>
      <c r="E5" t="s">
        <v>265</v>
      </c>
      <c r="F5" t="s">
        <v>182</v>
      </c>
    </row>
    <row r="6" spans="1:6" x14ac:dyDescent="0.3">
      <c r="A6">
        <v>100622</v>
      </c>
      <c r="B6" t="s">
        <v>245</v>
      </c>
      <c r="C6" t="s">
        <v>652</v>
      </c>
      <c r="D6" s="55">
        <v>5552109172</v>
      </c>
      <c r="E6" t="s">
        <v>243</v>
      </c>
      <c r="F6" t="s">
        <v>182</v>
      </c>
    </row>
    <row r="7" spans="1:6" x14ac:dyDescent="0.3">
      <c r="A7">
        <v>100767</v>
      </c>
      <c r="B7" t="s">
        <v>370</v>
      </c>
      <c r="C7" t="s">
        <v>1001</v>
      </c>
      <c r="D7" s="55">
        <v>5552143357</v>
      </c>
      <c r="E7" t="s">
        <v>236</v>
      </c>
      <c r="F7" t="s">
        <v>182</v>
      </c>
    </row>
    <row r="8" spans="1:6" x14ac:dyDescent="0.3">
      <c r="A8">
        <v>100698</v>
      </c>
      <c r="B8" t="s">
        <v>406</v>
      </c>
      <c r="C8" t="s">
        <v>833</v>
      </c>
      <c r="D8" s="55">
        <v>5552149758</v>
      </c>
      <c r="E8" t="s">
        <v>211</v>
      </c>
      <c r="F8" t="s">
        <v>210</v>
      </c>
    </row>
    <row r="9" spans="1:6" x14ac:dyDescent="0.3">
      <c r="A9">
        <v>100680</v>
      </c>
      <c r="B9" t="s">
        <v>410</v>
      </c>
      <c r="C9" t="s">
        <v>790</v>
      </c>
      <c r="D9" s="55">
        <v>5552156082</v>
      </c>
      <c r="E9" t="s">
        <v>269</v>
      </c>
      <c r="F9" t="s">
        <v>182</v>
      </c>
    </row>
    <row r="10" spans="1:6" x14ac:dyDescent="0.3">
      <c r="A10">
        <v>100642</v>
      </c>
      <c r="B10" t="s">
        <v>363</v>
      </c>
      <c r="C10" t="s">
        <v>702</v>
      </c>
      <c r="D10" s="55">
        <v>5552158213</v>
      </c>
      <c r="E10" t="s">
        <v>185</v>
      </c>
      <c r="F10" t="s">
        <v>182</v>
      </c>
    </row>
    <row r="11" spans="1:6" x14ac:dyDescent="0.3">
      <c r="A11">
        <v>100659</v>
      </c>
      <c r="B11" t="s">
        <v>372</v>
      </c>
      <c r="C11" t="s">
        <v>740</v>
      </c>
      <c r="D11" s="55">
        <v>5552161499</v>
      </c>
      <c r="E11" t="s">
        <v>214</v>
      </c>
      <c r="F11" t="s">
        <v>155</v>
      </c>
    </row>
    <row r="12" spans="1:6" x14ac:dyDescent="0.3">
      <c r="A12">
        <v>100591</v>
      </c>
      <c r="B12" t="s">
        <v>448</v>
      </c>
      <c r="C12" t="s">
        <v>583</v>
      </c>
      <c r="D12" s="55">
        <v>5552169194</v>
      </c>
      <c r="E12" t="s">
        <v>233</v>
      </c>
      <c r="F12" t="s">
        <v>155</v>
      </c>
    </row>
    <row r="13" spans="1:6" x14ac:dyDescent="0.3">
      <c r="A13">
        <v>100735</v>
      </c>
      <c r="B13" t="s">
        <v>342</v>
      </c>
      <c r="C13" t="s">
        <v>930</v>
      </c>
      <c r="D13" s="55">
        <v>5552202998</v>
      </c>
      <c r="E13" t="s">
        <v>233</v>
      </c>
      <c r="F13" t="s">
        <v>155</v>
      </c>
    </row>
    <row r="14" spans="1:6" x14ac:dyDescent="0.3">
      <c r="A14">
        <v>100633</v>
      </c>
      <c r="B14" t="s">
        <v>206</v>
      </c>
      <c r="C14" t="s">
        <v>682</v>
      </c>
      <c r="D14" s="55">
        <v>5552212337</v>
      </c>
      <c r="E14" t="s">
        <v>188</v>
      </c>
      <c r="F14" t="s">
        <v>155</v>
      </c>
    </row>
    <row r="15" spans="1:6" x14ac:dyDescent="0.3">
      <c r="A15">
        <v>100711</v>
      </c>
      <c r="B15" t="s">
        <v>411</v>
      </c>
      <c r="C15" t="s">
        <v>864</v>
      </c>
      <c r="D15" s="55">
        <v>5552264675</v>
      </c>
      <c r="E15" t="s">
        <v>198</v>
      </c>
      <c r="F15" t="s">
        <v>155</v>
      </c>
    </row>
    <row r="16" spans="1:6" x14ac:dyDescent="0.3">
      <c r="A16">
        <v>100717</v>
      </c>
      <c r="B16" t="s">
        <v>454</v>
      </c>
      <c r="C16" t="s">
        <v>883</v>
      </c>
      <c r="D16" s="55">
        <v>5552267646</v>
      </c>
      <c r="E16" t="s">
        <v>156</v>
      </c>
      <c r="F16" t="s">
        <v>155</v>
      </c>
    </row>
    <row r="17" spans="1:6" x14ac:dyDescent="0.3">
      <c r="A17">
        <v>100605</v>
      </c>
      <c r="B17" t="s">
        <v>356</v>
      </c>
      <c r="C17" t="s">
        <v>618</v>
      </c>
      <c r="D17" s="55">
        <v>5552300019</v>
      </c>
      <c r="E17" t="s">
        <v>240</v>
      </c>
      <c r="F17" t="s">
        <v>155</v>
      </c>
    </row>
    <row r="18" spans="1:6" x14ac:dyDescent="0.3">
      <c r="A18">
        <v>100733</v>
      </c>
      <c r="B18" t="s">
        <v>426</v>
      </c>
      <c r="C18" t="s">
        <v>924</v>
      </c>
      <c r="D18" s="55">
        <v>5552322832</v>
      </c>
      <c r="E18" t="s">
        <v>156</v>
      </c>
      <c r="F18" t="s">
        <v>155</v>
      </c>
    </row>
    <row r="19" spans="1:6" x14ac:dyDescent="0.3">
      <c r="A19">
        <v>100702</v>
      </c>
      <c r="B19" t="s">
        <v>284</v>
      </c>
      <c r="C19" t="s">
        <v>844</v>
      </c>
      <c r="D19" s="55">
        <v>5552361740</v>
      </c>
      <c r="E19" t="s">
        <v>166</v>
      </c>
      <c r="F19" t="s">
        <v>155</v>
      </c>
    </row>
    <row r="20" spans="1:6" x14ac:dyDescent="0.3">
      <c r="A20">
        <v>100705</v>
      </c>
      <c r="B20" t="s">
        <v>336</v>
      </c>
      <c r="C20" t="s">
        <v>851</v>
      </c>
      <c r="D20" s="55">
        <v>5552370438</v>
      </c>
      <c r="E20" t="s">
        <v>217</v>
      </c>
      <c r="F20" t="s">
        <v>182</v>
      </c>
    </row>
    <row r="21" spans="1:6" x14ac:dyDescent="0.3">
      <c r="A21">
        <v>100631</v>
      </c>
      <c r="B21" t="s">
        <v>283</v>
      </c>
      <c r="C21" t="s">
        <v>675</v>
      </c>
      <c r="D21" s="55">
        <v>5552419601</v>
      </c>
      <c r="E21" t="s">
        <v>170</v>
      </c>
      <c r="F21" t="s">
        <v>155</v>
      </c>
    </row>
    <row r="22" spans="1:6" x14ac:dyDescent="0.3">
      <c r="A22">
        <v>100679</v>
      </c>
      <c r="B22" t="s">
        <v>378</v>
      </c>
      <c r="C22" t="s">
        <v>784</v>
      </c>
      <c r="D22" s="55">
        <v>5552441639</v>
      </c>
      <c r="E22" t="s">
        <v>195</v>
      </c>
      <c r="F22" t="s">
        <v>155</v>
      </c>
    </row>
    <row r="23" spans="1:6" x14ac:dyDescent="0.3">
      <c r="A23">
        <v>100724</v>
      </c>
      <c r="B23" t="s">
        <v>296</v>
      </c>
      <c r="C23" t="s">
        <v>900</v>
      </c>
      <c r="D23" s="55">
        <v>5552460300</v>
      </c>
      <c r="E23" t="s">
        <v>183</v>
      </c>
      <c r="F23" t="s">
        <v>182</v>
      </c>
    </row>
    <row r="24" spans="1:6" x14ac:dyDescent="0.3">
      <c r="A24">
        <v>100703</v>
      </c>
      <c r="B24" t="s">
        <v>413</v>
      </c>
      <c r="C24" t="s">
        <v>846</v>
      </c>
      <c r="D24" s="55">
        <v>5552467627</v>
      </c>
      <c r="E24" t="s">
        <v>265</v>
      </c>
      <c r="F24" t="s">
        <v>182</v>
      </c>
    </row>
    <row r="25" spans="1:6" x14ac:dyDescent="0.3">
      <c r="A25">
        <v>100692</v>
      </c>
      <c r="B25" t="s">
        <v>215</v>
      </c>
      <c r="C25" t="s">
        <v>816</v>
      </c>
      <c r="D25" s="55">
        <v>5552473707</v>
      </c>
      <c r="E25" t="s">
        <v>214</v>
      </c>
      <c r="F25" t="s">
        <v>155</v>
      </c>
    </row>
    <row r="26" spans="1:6" x14ac:dyDescent="0.3">
      <c r="A26">
        <v>100726</v>
      </c>
      <c r="B26" t="s">
        <v>377</v>
      </c>
      <c r="C26" t="s">
        <v>905</v>
      </c>
      <c r="D26" s="55">
        <v>5552492775</v>
      </c>
      <c r="E26" t="s">
        <v>183</v>
      </c>
      <c r="F26" t="s">
        <v>182</v>
      </c>
    </row>
    <row r="27" spans="1:6" x14ac:dyDescent="0.3">
      <c r="A27">
        <v>100763</v>
      </c>
      <c r="B27" t="s">
        <v>298</v>
      </c>
      <c r="C27" t="s">
        <v>994</v>
      </c>
      <c r="D27" s="55">
        <v>5552507671</v>
      </c>
      <c r="E27" t="s">
        <v>243</v>
      </c>
      <c r="F27" t="s">
        <v>182</v>
      </c>
    </row>
    <row r="28" spans="1:6" x14ac:dyDescent="0.3">
      <c r="A28">
        <v>100685</v>
      </c>
      <c r="B28" t="s">
        <v>422</v>
      </c>
      <c r="C28" t="s">
        <v>801</v>
      </c>
      <c r="D28" s="55">
        <v>5552520807</v>
      </c>
      <c r="E28" t="s">
        <v>203</v>
      </c>
      <c r="F28" t="s">
        <v>155</v>
      </c>
    </row>
    <row r="29" spans="1:6" x14ac:dyDescent="0.3">
      <c r="A29">
        <v>100775</v>
      </c>
      <c r="B29" t="s">
        <v>326</v>
      </c>
      <c r="C29" t="s">
        <v>1021</v>
      </c>
      <c r="D29" s="55">
        <v>5552532426</v>
      </c>
      <c r="E29" t="s">
        <v>233</v>
      </c>
      <c r="F29" t="s">
        <v>155</v>
      </c>
    </row>
    <row r="30" spans="1:6" x14ac:dyDescent="0.3">
      <c r="A30">
        <v>100622</v>
      </c>
      <c r="B30" t="s">
        <v>245</v>
      </c>
      <c r="C30" t="s">
        <v>650</v>
      </c>
      <c r="D30" s="55">
        <v>5552556504</v>
      </c>
      <c r="E30" t="s">
        <v>243</v>
      </c>
      <c r="F30" t="s">
        <v>182</v>
      </c>
    </row>
    <row r="31" spans="1:6" x14ac:dyDescent="0.3">
      <c r="A31">
        <v>100719</v>
      </c>
      <c r="B31" t="s">
        <v>375</v>
      </c>
      <c r="C31" t="s">
        <v>889</v>
      </c>
      <c r="D31" s="55">
        <v>5552586965</v>
      </c>
      <c r="E31" t="s">
        <v>308</v>
      </c>
      <c r="F31" t="s">
        <v>155</v>
      </c>
    </row>
    <row r="32" spans="1:6" x14ac:dyDescent="0.3">
      <c r="A32">
        <v>100761</v>
      </c>
      <c r="B32" t="s">
        <v>277</v>
      </c>
      <c r="C32" t="s">
        <v>989</v>
      </c>
      <c r="D32" s="55">
        <v>5552601007</v>
      </c>
      <c r="E32" t="s">
        <v>240</v>
      </c>
      <c r="F32" t="s">
        <v>155</v>
      </c>
    </row>
    <row r="33" spans="1:6" x14ac:dyDescent="0.3">
      <c r="A33">
        <v>100688</v>
      </c>
      <c r="B33" t="s">
        <v>416</v>
      </c>
      <c r="C33" t="s">
        <v>808</v>
      </c>
      <c r="D33" s="55">
        <v>5552605482</v>
      </c>
      <c r="E33" t="s">
        <v>229</v>
      </c>
      <c r="F33" t="s">
        <v>155</v>
      </c>
    </row>
    <row r="34" spans="1:6" x14ac:dyDescent="0.3">
      <c r="A34">
        <v>100618</v>
      </c>
      <c r="B34" t="s">
        <v>361</v>
      </c>
      <c r="C34" t="s">
        <v>641</v>
      </c>
      <c r="D34" s="55">
        <v>5552611915</v>
      </c>
      <c r="E34" t="s">
        <v>229</v>
      </c>
      <c r="F34" t="s">
        <v>155</v>
      </c>
    </row>
    <row r="35" spans="1:6" x14ac:dyDescent="0.3">
      <c r="A35">
        <v>100633</v>
      </c>
      <c r="B35" t="s">
        <v>206</v>
      </c>
      <c r="C35" t="s">
        <v>679</v>
      </c>
      <c r="D35" s="55">
        <v>5552692975</v>
      </c>
      <c r="E35" t="s">
        <v>188</v>
      </c>
      <c r="F35" t="s">
        <v>155</v>
      </c>
    </row>
    <row r="36" spans="1:6" x14ac:dyDescent="0.3">
      <c r="A36">
        <v>100742</v>
      </c>
      <c r="B36" t="s">
        <v>393</v>
      </c>
      <c r="C36" t="s">
        <v>947</v>
      </c>
      <c r="D36" s="55">
        <v>5552709625</v>
      </c>
      <c r="E36" t="s">
        <v>233</v>
      </c>
      <c r="F36" t="s">
        <v>155</v>
      </c>
    </row>
    <row r="37" spans="1:6" x14ac:dyDescent="0.3">
      <c r="A37">
        <v>100670</v>
      </c>
      <c r="B37" t="s">
        <v>329</v>
      </c>
      <c r="C37" t="s">
        <v>763</v>
      </c>
      <c r="D37" s="55">
        <v>5552716564</v>
      </c>
      <c r="E37" t="s">
        <v>203</v>
      </c>
      <c r="F37" t="s">
        <v>155</v>
      </c>
    </row>
    <row r="38" spans="1:6" x14ac:dyDescent="0.3">
      <c r="A38">
        <v>100645</v>
      </c>
      <c r="B38" t="s">
        <v>369</v>
      </c>
      <c r="C38" t="s">
        <v>709</v>
      </c>
      <c r="D38" s="55">
        <v>5552758045</v>
      </c>
      <c r="E38" t="s">
        <v>249</v>
      </c>
      <c r="F38" t="s">
        <v>182</v>
      </c>
    </row>
    <row r="39" spans="1:6" x14ac:dyDescent="0.3">
      <c r="A39">
        <v>100774</v>
      </c>
      <c r="B39" t="s">
        <v>399</v>
      </c>
      <c r="C39" t="s">
        <v>1020</v>
      </c>
      <c r="D39" s="55">
        <v>5552767845</v>
      </c>
      <c r="E39" t="s">
        <v>219</v>
      </c>
      <c r="F39" t="s">
        <v>155</v>
      </c>
    </row>
    <row r="40" spans="1:6" x14ac:dyDescent="0.3">
      <c r="A40">
        <v>100738</v>
      </c>
      <c r="B40" t="s">
        <v>397</v>
      </c>
      <c r="C40" t="s">
        <v>939</v>
      </c>
      <c r="D40" s="55">
        <v>5552771169</v>
      </c>
      <c r="E40" t="s">
        <v>308</v>
      </c>
      <c r="F40" t="s">
        <v>155</v>
      </c>
    </row>
    <row r="41" spans="1:6" x14ac:dyDescent="0.3">
      <c r="A41">
        <v>100733</v>
      </c>
      <c r="B41" t="s">
        <v>426</v>
      </c>
      <c r="C41" t="s">
        <v>926</v>
      </c>
      <c r="D41" s="55">
        <v>5552794888</v>
      </c>
      <c r="E41" t="s">
        <v>156</v>
      </c>
      <c r="F41" t="s">
        <v>155</v>
      </c>
    </row>
    <row r="42" spans="1:6" x14ac:dyDescent="0.3">
      <c r="A42">
        <v>100591</v>
      </c>
      <c r="B42" t="s">
        <v>448</v>
      </c>
      <c r="C42" t="s">
        <v>585</v>
      </c>
      <c r="D42" s="55">
        <v>5552801438</v>
      </c>
      <c r="E42" t="s">
        <v>233</v>
      </c>
      <c r="F42" t="s">
        <v>155</v>
      </c>
    </row>
    <row r="43" spans="1:6" x14ac:dyDescent="0.3">
      <c r="A43">
        <v>100625</v>
      </c>
      <c r="B43" t="s">
        <v>333</v>
      </c>
      <c r="C43" t="s">
        <v>658</v>
      </c>
      <c r="D43" s="55">
        <v>5552820508</v>
      </c>
      <c r="E43" t="s">
        <v>183</v>
      </c>
      <c r="F43" t="s">
        <v>182</v>
      </c>
    </row>
    <row r="44" spans="1:6" x14ac:dyDescent="0.3">
      <c r="A44">
        <v>100753</v>
      </c>
      <c r="B44" t="s">
        <v>194</v>
      </c>
      <c r="C44" t="s">
        <v>966</v>
      </c>
      <c r="D44" s="55">
        <v>5552831530</v>
      </c>
      <c r="E44" t="s">
        <v>193</v>
      </c>
      <c r="F44" t="s">
        <v>155</v>
      </c>
    </row>
    <row r="45" spans="1:6" x14ac:dyDescent="0.3">
      <c r="A45">
        <v>100762</v>
      </c>
      <c r="B45" t="s">
        <v>340</v>
      </c>
      <c r="C45" t="s">
        <v>992</v>
      </c>
      <c r="D45" s="55">
        <v>5552836230</v>
      </c>
      <c r="E45" t="s">
        <v>211</v>
      </c>
      <c r="F45" t="s">
        <v>210</v>
      </c>
    </row>
    <row r="46" spans="1:6" x14ac:dyDescent="0.3">
      <c r="A46">
        <v>100625</v>
      </c>
      <c r="B46" t="s">
        <v>333</v>
      </c>
      <c r="C46" t="s">
        <v>660</v>
      </c>
      <c r="D46" s="55">
        <v>5552839556</v>
      </c>
      <c r="E46" t="s">
        <v>183</v>
      </c>
      <c r="F46" t="s">
        <v>182</v>
      </c>
    </row>
    <row r="47" spans="1:6" x14ac:dyDescent="0.3">
      <c r="A47">
        <v>100624</v>
      </c>
      <c r="B47" t="s">
        <v>344</v>
      </c>
      <c r="C47" t="s">
        <v>657</v>
      </c>
      <c r="D47" s="55">
        <v>5552845862</v>
      </c>
      <c r="E47" t="s">
        <v>308</v>
      </c>
      <c r="F47" t="s">
        <v>155</v>
      </c>
    </row>
    <row r="48" spans="1:6" x14ac:dyDescent="0.3">
      <c r="A48">
        <v>100610</v>
      </c>
      <c r="B48" t="s">
        <v>395</v>
      </c>
      <c r="C48" t="s">
        <v>626</v>
      </c>
      <c r="D48" s="55">
        <v>5552850629</v>
      </c>
      <c r="E48" t="s">
        <v>236</v>
      </c>
      <c r="F48" t="s">
        <v>182</v>
      </c>
    </row>
    <row r="49" spans="1:6" x14ac:dyDescent="0.3">
      <c r="A49">
        <v>100737</v>
      </c>
      <c r="B49" t="s">
        <v>360</v>
      </c>
      <c r="C49" t="s">
        <v>937</v>
      </c>
      <c r="D49" s="55">
        <v>5552856285</v>
      </c>
      <c r="E49" t="s">
        <v>173</v>
      </c>
      <c r="F49" t="s">
        <v>155</v>
      </c>
    </row>
    <row r="50" spans="1:6" x14ac:dyDescent="0.3">
      <c r="A50">
        <v>100711</v>
      </c>
      <c r="B50" t="s">
        <v>411</v>
      </c>
      <c r="C50" t="s">
        <v>862</v>
      </c>
      <c r="D50" s="55">
        <v>5552879911</v>
      </c>
      <c r="E50" t="s">
        <v>198</v>
      </c>
      <c r="F50" t="s">
        <v>155</v>
      </c>
    </row>
    <row r="51" spans="1:6" x14ac:dyDescent="0.3">
      <c r="A51">
        <v>100769</v>
      </c>
      <c r="B51" t="s">
        <v>343</v>
      </c>
      <c r="C51" t="s">
        <v>1007</v>
      </c>
      <c r="D51" s="55">
        <v>5552970600</v>
      </c>
      <c r="E51" t="s">
        <v>198</v>
      </c>
      <c r="F51" t="s">
        <v>155</v>
      </c>
    </row>
    <row r="52" spans="1:6" x14ac:dyDescent="0.3">
      <c r="A52">
        <v>100648</v>
      </c>
      <c r="B52" t="s">
        <v>440</v>
      </c>
      <c r="C52" t="s">
        <v>716</v>
      </c>
      <c r="D52" s="55">
        <v>5553000419</v>
      </c>
      <c r="E52" t="s">
        <v>203</v>
      </c>
      <c r="F52" t="s">
        <v>155</v>
      </c>
    </row>
    <row r="53" spans="1:6" x14ac:dyDescent="0.3">
      <c r="A53">
        <v>100678</v>
      </c>
      <c r="B53" t="s">
        <v>412</v>
      </c>
      <c r="C53" t="s">
        <v>781</v>
      </c>
      <c r="D53" s="55">
        <v>5553023763</v>
      </c>
      <c r="E53" t="s">
        <v>203</v>
      </c>
      <c r="F53" t="s">
        <v>155</v>
      </c>
    </row>
    <row r="54" spans="1:6" x14ac:dyDescent="0.3">
      <c r="A54">
        <v>100634</v>
      </c>
      <c r="B54" t="s">
        <v>337</v>
      </c>
      <c r="C54" t="s">
        <v>684</v>
      </c>
      <c r="D54" s="55">
        <v>5553042773</v>
      </c>
      <c r="E54" t="s">
        <v>221</v>
      </c>
      <c r="F54" t="s">
        <v>155</v>
      </c>
    </row>
    <row r="55" spans="1:6" x14ac:dyDescent="0.3">
      <c r="A55">
        <v>100750</v>
      </c>
      <c r="B55" t="s">
        <v>335</v>
      </c>
      <c r="C55" t="s">
        <v>962</v>
      </c>
      <c r="D55" s="55">
        <v>5553044604</v>
      </c>
      <c r="E55" t="s">
        <v>162</v>
      </c>
      <c r="F55" t="s">
        <v>155</v>
      </c>
    </row>
    <row r="56" spans="1:6" x14ac:dyDescent="0.3">
      <c r="A56">
        <v>100737</v>
      </c>
      <c r="B56" t="s">
        <v>360</v>
      </c>
      <c r="C56" t="s">
        <v>934</v>
      </c>
      <c r="D56" s="55">
        <v>5553048471</v>
      </c>
      <c r="E56" t="s">
        <v>173</v>
      </c>
      <c r="F56" t="s">
        <v>155</v>
      </c>
    </row>
    <row r="57" spans="1:6" x14ac:dyDescent="0.3">
      <c r="A57">
        <v>100685</v>
      </c>
      <c r="B57" t="s">
        <v>422</v>
      </c>
      <c r="C57" t="s">
        <v>799</v>
      </c>
      <c r="D57" s="55">
        <v>5553074200</v>
      </c>
      <c r="E57" t="s">
        <v>203</v>
      </c>
      <c r="F57" t="s">
        <v>155</v>
      </c>
    </row>
    <row r="58" spans="1:6" x14ac:dyDescent="0.3">
      <c r="A58">
        <v>100632</v>
      </c>
      <c r="B58" t="s">
        <v>237</v>
      </c>
      <c r="C58" t="s">
        <v>677</v>
      </c>
      <c r="D58" s="55">
        <v>5553085978</v>
      </c>
      <c r="E58" t="s">
        <v>236</v>
      </c>
      <c r="F58" t="s">
        <v>182</v>
      </c>
    </row>
    <row r="59" spans="1:6" x14ac:dyDescent="0.3">
      <c r="A59">
        <v>100770</v>
      </c>
      <c r="B59" t="s">
        <v>302</v>
      </c>
      <c r="C59" t="s">
        <v>1008</v>
      </c>
      <c r="D59" s="55">
        <v>5553113194</v>
      </c>
      <c r="E59" t="s">
        <v>195</v>
      </c>
      <c r="F59" t="s">
        <v>155</v>
      </c>
    </row>
    <row r="60" spans="1:6" x14ac:dyDescent="0.3">
      <c r="A60">
        <v>100655</v>
      </c>
      <c r="B60" t="s">
        <v>415</v>
      </c>
      <c r="C60" t="s">
        <v>731</v>
      </c>
      <c r="D60" s="55">
        <v>5553123302</v>
      </c>
      <c r="E60" t="s">
        <v>323</v>
      </c>
      <c r="F60" t="s">
        <v>322</v>
      </c>
    </row>
    <row r="61" spans="1:6" x14ac:dyDescent="0.3">
      <c r="A61">
        <v>100679</v>
      </c>
      <c r="B61" t="s">
        <v>378</v>
      </c>
      <c r="C61" t="s">
        <v>785</v>
      </c>
      <c r="D61" s="55">
        <v>5553139519</v>
      </c>
      <c r="E61" t="s">
        <v>195</v>
      </c>
      <c r="F61" t="s">
        <v>155</v>
      </c>
    </row>
    <row r="62" spans="1:6" x14ac:dyDescent="0.3">
      <c r="A62">
        <v>100612</v>
      </c>
      <c r="B62" t="s">
        <v>384</v>
      </c>
      <c r="C62" t="s">
        <v>629</v>
      </c>
      <c r="D62" s="55">
        <v>5553153919</v>
      </c>
      <c r="E62" t="s">
        <v>170</v>
      </c>
      <c r="F62" t="s">
        <v>155</v>
      </c>
    </row>
    <row r="63" spans="1:6" x14ac:dyDescent="0.3">
      <c r="A63">
        <v>100683</v>
      </c>
      <c r="B63" t="s">
        <v>310</v>
      </c>
      <c r="C63" t="s">
        <v>796</v>
      </c>
      <c r="D63" s="55">
        <v>5553166789</v>
      </c>
      <c r="E63" t="s">
        <v>214</v>
      </c>
      <c r="F63" t="s">
        <v>155</v>
      </c>
    </row>
    <row r="64" spans="1:6" x14ac:dyDescent="0.3">
      <c r="A64">
        <v>100637</v>
      </c>
      <c r="B64" t="s">
        <v>189</v>
      </c>
      <c r="C64" t="s">
        <v>689</v>
      </c>
      <c r="D64" s="55">
        <v>5553168659</v>
      </c>
      <c r="E64" t="s">
        <v>188</v>
      </c>
      <c r="F64" t="s">
        <v>155</v>
      </c>
    </row>
    <row r="65" spans="1:6" x14ac:dyDescent="0.3">
      <c r="A65">
        <v>100715</v>
      </c>
      <c r="B65" t="s">
        <v>167</v>
      </c>
      <c r="C65" t="s">
        <v>877</v>
      </c>
      <c r="D65" s="55">
        <v>5553175047</v>
      </c>
      <c r="E65" t="s">
        <v>166</v>
      </c>
      <c r="F65" t="s">
        <v>155</v>
      </c>
    </row>
    <row r="66" spans="1:6" x14ac:dyDescent="0.3">
      <c r="A66">
        <v>100626</v>
      </c>
      <c r="B66" t="s">
        <v>394</v>
      </c>
      <c r="C66" t="s">
        <v>663</v>
      </c>
      <c r="D66" s="55">
        <v>5553185302</v>
      </c>
      <c r="E66" t="s">
        <v>207</v>
      </c>
      <c r="F66" t="s">
        <v>155</v>
      </c>
    </row>
    <row r="67" spans="1:6" x14ac:dyDescent="0.3">
      <c r="A67">
        <v>100646</v>
      </c>
      <c r="B67" t="s">
        <v>328</v>
      </c>
      <c r="C67" t="s">
        <v>711</v>
      </c>
      <c r="D67" s="55">
        <v>5553192937</v>
      </c>
      <c r="E67" t="s">
        <v>243</v>
      </c>
      <c r="F67" t="s">
        <v>182</v>
      </c>
    </row>
    <row r="68" spans="1:6" x14ac:dyDescent="0.3">
      <c r="A68">
        <v>100736</v>
      </c>
      <c r="B68" t="s">
        <v>288</v>
      </c>
      <c r="C68" t="s">
        <v>933</v>
      </c>
      <c r="D68" s="55">
        <v>5553194406</v>
      </c>
      <c r="E68" t="s">
        <v>217</v>
      </c>
      <c r="F68" t="s">
        <v>182</v>
      </c>
    </row>
    <row r="69" spans="1:6" x14ac:dyDescent="0.3">
      <c r="A69">
        <v>100584</v>
      </c>
      <c r="B69" t="s">
        <v>401</v>
      </c>
      <c r="C69" t="s">
        <v>567</v>
      </c>
      <c r="D69" s="55">
        <v>5553198736</v>
      </c>
      <c r="E69" t="s">
        <v>219</v>
      </c>
      <c r="F69" t="s">
        <v>155</v>
      </c>
    </row>
    <row r="70" spans="1:6" x14ac:dyDescent="0.3">
      <c r="A70">
        <v>100727</v>
      </c>
      <c r="B70" t="s">
        <v>441</v>
      </c>
      <c r="C70" t="s">
        <v>907</v>
      </c>
      <c r="D70" s="55">
        <v>5553210228</v>
      </c>
      <c r="E70" t="s">
        <v>221</v>
      </c>
      <c r="F70" t="s">
        <v>155</v>
      </c>
    </row>
    <row r="71" spans="1:6" x14ac:dyDescent="0.3">
      <c r="A71">
        <v>100692</v>
      </c>
      <c r="B71" t="s">
        <v>215</v>
      </c>
      <c r="C71" t="s">
        <v>814</v>
      </c>
      <c r="D71" s="55">
        <v>5553246704</v>
      </c>
      <c r="E71" t="s">
        <v>214</v>
      </c>
      <c r="F71" t="s">
        <v>155</v>
      </c>
    </row>
    <row r="72" spans="1:6" x14ac:dyDescent="0.3">
      <c r="A72">
        <v>100701</v>
      </c>
      <c r="B72" t="s">
        <v>434</v>
      </c>
      <c r="C72" t="s">
        <v>842</v>
      </c>
      <c r="D72" s="55">
        <v>5553251907</v>
      </c>
      <c r="E72" t="s">
        <v>219</v>
      </c>
      <c r="F72" t="s">
        <v>155</v>
      </c>
    </row>
    <row r="73" spans="1:6" x14ac:dyDescent="0.3">
      <c r="A73">
        <v>100747</v>
      </c>
      <c r="B73" t="s">
        <v>386</v>
      </c>
      <c r="C73" t="s">
        <v>955</v>
      </c>
      <c r="D73" s="55">
        <v>5553275674</v>
      </c>
      <c r="E73" t="s">
        <v>166</v>
      </c>
      <c r="F73" t="s">
        <v>155</v>
      </c>
    </row>
    <row r="74" spans="1:6" x14ac:dyDescent="0.3">
      <c r="A74">
        <v>100618</v>
      </c>
      <c r="B74" t="s">
        <v>361</v>
      </c>
      <c r="C74" t="s">
        <v>643</v>
      </c>
      <c r="D74" s="55">
        <v>5553310394</v>
      </c>
      <c r="E74" t="s">
        <v>229</v>
      </c>
      <c r="F74" t="s">
        <v>155</v>
      </c>
    </row>
    <row r="75" spans="1:6" x14ac:dyDescent="0.3">
      <c r="A75">
        <v>100613</v>
      </c>
      <c r="B75" t="s">
        <v>225</v>
      </c>
      <c r="C75" t="s">
        <v>632</v>
      </c>
      <c r="D75" s="55">
        <v>5553318227</v>
      </c>
      <c r="E75" t="s">
        <v>224</v>
      </c>
      <c r="F75" t="s">
        <v>223</v>
      </c>
    </row>
    <row r="76" spans="1:6" x14ac:dyDescent="0.3">
      <c r="A76">
        <v>100729</v>
      </c>
      <c r="B76" t="s">
        <v>258</v>
      </c>
      <c r="C76" t="s">
        <v>913</v>
      </c>
      <c r="D76" s="55">
        <v>5553334967</v>
      </c>
      <c r="E76" t="s">
        <v>236</v>
      </c>
      <c r="F76" t="s">
        <v>182</v>
      </c>
    </row>
    <row r="77" spans="1:6" x14ac:dyDescent="0.3">
      <c r="A77">
        <v>100732</v>
      </c>
      <c r="B77" t="s">
        <v>300</v>
      </c>
      <c r="C77" t="s">
        <v>920</v>
      </c>
      <c r="D77" s="55">
        <v>5553352771</v>
      </c>
      <c r="E77" t="s">
        <v>195</v>
      </c>
      <c r="F77" t="s">
        <v>155</v>
      </c>
    </row>
    <row r="78" spans="1:6" x14ac:dyDescent="0.3">
      <c r="A78">
        <v>100759</v>
      </c>
      <c r="B78" t="s">
        <v>408</v>
      </c>
      <c r="C78" t="s">
        <v>983</v>
      </c>
      <c r="D78" s="55">
        <v>5553387731</v>
      </c>
      <c r="E78" t="s">
        <v>170</v>
      </c>
      <c r="F78" t="s">
        <v>155</v>
      </c>
    </row>
    <row r="79" spans="1:6" x14ac:dyDescent="0.3">
      <c r="A79">
        <v>100682</v>
      </c>
      <c r="B79" t="s">
        <v>383</v>
      </c>
      <c r="C79" t="s">
        <v>794</v>
      </c>
      <c r="D79" s="55">
        <v>5553401746</v>
      </c>
      <c r="E79" t="s">
        <v>236</v>
      </c>
      <c r="F79" t="s">
        <v>182</v>
      </c>
    </row>
    <row r="80" spans="1:6" x14ac:dyDescent="0.3">
      <c r="A80">
        <v>100718</v>
      </c>
      <c r="B80" t="s">
        <v>179</v>
      </c>
      <c r="C80" t="s">
        <v>884</v>
      </c>
      <c r="D80" s="55">
        <v>5553408548</v>
      </c>
      <c r="E80" t="s">
        <v>178</v>
      </c>
      <c r="F80" t="s">
        <v>155</v>
      </c>
    </row>
    <row r="81" spans="1:6" x14ac:dyDescent="0.3">
      <c r="A81">
        <v>100668</v>
      </c>
      <c r="B81" t="s">
        <v>307</v>
      </c>
      <c r="C81" t="s">
        <v>760</v>
      </c>
      <c r="D81" s="55">
        <v>5553411895</v>
      </c>
      <c r="E81" t="s">
        <v>221</v>
      </c>
      <c r="F81" t="s">
        <v>155</v>
      </c>
    </row>
    <row r="82" spans="1:6" x14ac:dyDescent="0.3">
      <c r="A82">
        <v>100639</v>
      </c>
      <c r="B82" t="s">
        <v>291</v>
      </c>
      <c r="C82" t="s">
        <v>692</v>
      </c>
      <c r="D82" s="55">
        <v>5553422116</v>
      </c>
      <c r="E82" t="s">
        <v>236</v>
      </c>
      <c r="F82" t="s">
        <v>182</v>
      </c>
    </row>
    <row r="83" spans="1:6" x14ac:dyDescent="0.3">
      <c r="A83">
        <v>100603</v>
      </c>
      <c r="B83" t="s">
        <v>357</v>
      </c>
      <c r="C83" t="s">
        <v>612</v>
      </c>
      <c r="D83" s="55">
        <v>5553422553</v>
      </c>
      <c r="E83" t="s">
        <v>347</v>
      </c>
      <c r="F83" t="s">
        <v>182</v>
      </c>
    </row>
    <row r="84" spans="1:6" x14ac:dyDescent="0.3">
      <c r="A84">
        <v>100738</v>
      </c>
      <c r="B84" t="s">
        <v>397</v>
      </c>
      <c r="C84" t="s">
        <v>940</v>
      </c>
      <c r="D84" s="55">
        <v>5553423765</v>
      </c>
      <c r="E84" t="s">
        <v>308</v>
      </c>
      <c r="F84" t="s">
        <v>155</v>
      </c>
    </row>
    <row r="85" spans="1:6" x14ac:dyDescent="0.3">
      <c r="A85">
        <v>100616</v>
      </c>
      <c r="B85" t="s">
        <v>387</v>
      </c>
      <c r="C85" t="s">
        <v>638</v>
      </c>
      <c r="D85" s="55">
        <v>5553445538</v>
      </c>
      <c r="E85" t="s">
        <v>249</v>
      </c>
      <c r="F85" t="s">
        <v>182</v>
      </c>
    </row>
    <row r="86" spans="1:6" x14ac:dyDescent="0.3">
      <c r="A86">
        <v>100602</v>
      </c>
      <c r="B86" t="s">
        <v>201</v>
      </c>
      <c r="C86" t="s">
        <v>610</v>
      </c>
      <c r="D86" s="55">
        <v>5553460592</v>
      </c>
      <c r="E86" t="s">
        <v>170</v>
      </c>
      <c r="F86" t="s">
        <v>155</v>
      </c>
    </row>
    <row r="87" spans="1:6" x14ac:dyDescent="0.3">
      <c r="A87">
        <v>100595</v>
      </c>
      <c r="B87" t="s">
        <v>315</v>
      </c>
      <c r="C87" t="s">
        <v>591</v>
      </c>
      <c r="D87" s="55">
        <v>5553470498</v>
      </c>
      <c r="E87" t="s">
        <v>313</v>
      </c>
      <c r="F87" t="s">
        <v>312</v>
      </c>
    </row>
    <row r="88" spans="1:6" x14ac:dyDescent="0.3">
      <c r="A88">
        <v>100740</v>
      </c>
      <c r="B88" t="s">
        <v>305</v>
      </c>
      <c r="C88" t="s">
        <v>943</v>
      </c>
      <c r="D88" s="55">
        <v>5553475936</v>
      </c>
      <c r="E88" t="s">
        <v>271</v>
      </c>
      <c r="F88" t="s">
        <v>182</v>
      </c>
    </row>
    <row r="89" spans="1:6" x14ac:dyDescent="0.3">
      <c r="A89">
        <v>100715</v>
      </c>
      <c r="B89" t="s">
        <v>167</v>
      </c>
      <c r="C89" t="s">
        <v>874</v>
      </c>
      <c r="D89" s="55">
        <v>5553507788</v>
      </c>
      <c r="E89" t="s">
        <v>166</v>
      </c>
      <c r="F89" t="s">
        <v>155</v>
      </c>
    </row>
    <row r="90" spans="1:6" x14ac:dyDescent="0.3">
      <c r="A90">
        <v>100704</v>
      </c>
      <c r="B90" t="s">
        <v>292</v>
      </c>
      <c r="C90" t="s">
        <v>849</v>
      </c>
      <c r="D90" s="55">
        <v>5553512477</v>
      </c>
      <c r="E90" t="s">
        <v>203</v>
      </c>
      <c r="F90" t="s">
        <v>155</v>
      </c>
    </row>
    <row r="91" spans="1:6" x14ac:dyDescent="0.3">
      <c r="A91">
        <v>100707</v>
      </c>
      <c r="B91" t="s">
        <v>285</v>
      </c>
      <c r="C91" t="s">
        <v>855</v>
      </c>
      <c r="D91" s="55">
        <v>5553512539</v>
      </c>
      <c r="E91" t="s">
        <v>229</v>
      </c>
      <c r="F91" t="s">
        <v>155</v>
      </c>
    </row>
    <row r="92" spans="1:6" x14ac:dyDescent="0.3">
      <c r="A92">
        <v>100759</v>
      </c>
      <c r="B92" t="s">
        <v>408</v>
      </c>
      <c r="C92" t="s">
        <v>982</v>
      </c>
      <c r="D92" s="55">
        <v>5553519383</v>
      </c>
      <c r="E92" t="s">
        <v>170</v>
      </c>
      <c r="F92" t="s">
        <v>155</v>
      </c>
    </row>
    <row r="93" spans="1:6" x14ac:dyDescent="0.3">
      <c r="A93">
        <v>100695</v>
      </c>
      <c r="B93" t="s">
        <v>423</v>
      </c>
      <c r="C93" t="s">
        <v>825</v>
      </c>
      <c r="D93" s="55">
        <v>5553543732</v>
      </c>
      <c r="E93" t="s">
        <v>185</v>
      </c>
      <c r="F93" t="s">
        <v>182</v>
      </c>
    </row>
    <row r="94" spans="1:6" x14ac:dyDescent="0.3">
      <c r="A94">
        <v>100653</v>
      </c>
      <c r="B94" t="s">
        <v>362</v>
      </c>
      <c r="C94" t="s">
        <v>726</v>
      </c>
      <c r="D94" s="55">
        <v>5553569279</v>
      </c>
      <c r="E94" t="s">
        <v>236</v>
      </c>
      <c r="F94" t="s">
        <v>182</v>
      </c>
    </row>
    <row r="95" spans="1:6" x14ac:dyDescent="0.3">
      <c r="A95">
        <v>100681</v>
      </c>
      <c r="B95" t="s">
        <v>289</v>
      </c>
      <c r="C95" t="s">
        <v>791</v>
      </c>
      <c r="D95" s="55">
        <v>5553612323</v>
      </c>
      <c r="E95" t="s">
        <v>260</v>
      </c>
      <c r="F95" t="s">
        <v>259</v>
      </c>
    </row>
    <row r="96" spans="1:6" x14ac:dyDescent="0.3">
      <c r="A96">
        <v>100658</v>
      </c>
      <c r="B96" t="s">
        <v>414</v>
      </c>
      <c r="C96" t="s">
        <v>739</v>
      </c>
      <c r="D96" s="55">
        <v>5553612807</v>
      </c>
      <c r="E96" t="s">
        <v>188</v>
      </c>
      <c r="F96" t="s">
        <v>155</v>
      </c>
    </row>
    <row r="97" spans="1:6" x14ac:dyDescent="0.3">
      <c r="A97">
        <v>100704</v>
      </c>
      <c r="B97" t="s">
        <v>292</v>
      </c>
      <c r="C97" t="s">
        <v>848</v>
      </c>
      <c r="D97" s="55">
        <v>5553613500</v>
      </c>
      <c r="E97" t="s">
        <v>203</v>
      </c>
      <c r="F97" t="s">
        <v>155</v>
      </c>
    </row>
    <row r="98" spans="1:6" x14ac:dyDescent="0.3">
      <c r="A98">
        <v>100725</v>
      </c>
      <c r="B98" t="s">
        <v>371</v>
      </c>
      <c r="C98" t="s">
        <v>901</v>
      </c>
      <c r="D98" s="55">
        <v>5553638926</v>
      </c>
      <c r="E98" t="s">
        <v>229</v>
      </c>
      <c r="F98" t="s">
        <v>155</v>
      </c>
    </row>
    <row r="99" spans="1:6" x14ac:dyDescent="0.3">
      <c r="A99">
        <v>100613</v>
      </c>
      <c r="B99" t="s">
        <v>225</v>
      </c>
      <c r="C99" t="s">
        <v>634</v>
      </c>
      <c r="D99" s="55">
        <v>5553643047</v>
      </c>
      <c r="E99" t="s">
        <v>224</v>
      </c>
      <c r="F99" t="s">
        <v>223</v>
      </c>
    </row>
    <row r="100" spans="1:6" x14ac:dyDescent="0.3">
      <c r="A100">
        <v>100613</v>
      </c>
      <c r="B100" t="s">
        <v>225</v>
      </c>
      <c r="C100" t="s">
        <v>290</v>
      </c>
      <c r="D100" s="55">
        <v>5553674456</v>
      </c>
      <c r="E100" t="s">
        <v>224</v>
      </c>
      <c r="F100" t="s">
        <v>223</v>
      </c>
    </row>
    <row r="101" spans="1:6" x14ac:dyDescent="0.3">
      <c r="A101">
        <v>100617</v>
      </c>
      <c r="B101" t="s">
        <v>320</v>
      </c>
      <c r="C101" t="s">
        <v>639</v>
      </c>
      <c r="D101" s="55">
        <v>5553713657</v>
      </c>
      <c r="E101" t="s">
        <v>198</v>
      </c>
      <c r="F101" t="s">
        <v>155</v>
      </c>
    </row>
    <row r="102" spans="1:6" x14ac:dyDescent="0.3">
      <c r="A102">
        <v>100735</v>
      </c>
      <c r="B102" t="s">
        <v>342</v>
      </c>
      <c r="C102" t="s">
        <v>929</v>
      </c>
      <c r="D102" s="55">
        <v>5553738565</v>
      </c>
      <c r="E102" t="s">
        <v>233</v>
      </c>
      <c r="F102" t="s">
        <v>155</v>
      </c>
    </row>
    <row r="103" spans="1:6" x14ac:dyDescent="0.3">
      <c r="A103">
        <v>100766</v>
      </c>
      <c r="B103" t="s">
        <v>380</v>
      </c>
      <c r="C103" t="s">
        <v>1000</v>
      </c>
      <c r="D103" s="55">
        <v>5553778854</v>
      </c>
      <c r="E103" t="s">
        <v>217</v>
      </c>
      <c r="F103" t="s">
        <v>182</v>
      </c>
    </row>
    <row r="104" spans="1:6" x14ac:dyDescent="0.3">
      <c r="A104">
        <v>100711</v>
      </c>
      <c r="B104" t="s">
        <v>411</v>
      </c>
      <c r="C104" t="s">
        <v>865</v>
      </c>
      <c r="D104" s="55">
        <v>5553794109</v>
      </c>
      <c r="E104" t="s">
        <v>198</v>
      </c>
      <c r="F104" t="s">
        <v>155</v>
      </c>
    </row>
    <row r="105" spans="1:6" x14ac:dyDescent="0.3">
      <c r="A105">
        <v>100634</v>
      </c>
      <c r="B105" t="s">
        <v>337</v>
      </c>
      <c r="C105" t="s">
        <v>685</v>
      </c>
      <c r="D105" s="55">
        <v>5553801503</v>
      </c>
      <c r="E105" t="s">
        <v>221</v>
      </c>
      <c r="F105" t="s">
        <v>155</v>
      </c>
    </row>
    <row r="106" spans="1:6" x14ac:dyDescent="0.3">
      <c r="A106">
        <v>100704</v>
      </c>
      <c r="B106" t="s">
        <v>292</v>
      </c>
      <c r="C106" t="s">
        <v>781</v>
      </c>
      <c r="D106" s="55">
        <v>5553815626</v>
      </c>
      <c r="E106" t="s">
        <v>203</v>
      </c>
      <c r="F106" t="s">
        <v>155</v>
      </c>
    </row>
    <row r="107" spans="1:6" x14ac:dyDescent="0.3">
      <c r="A107">
        <v>100667</v>
      </c>
      <c r="B107" t="s">
        <v>348</v>
      </c>
      <c r="C107" t="s">
        <v>759</v>
      </c>
      <c r="D107" s="55">
        <v>5553832020</v>
      </c>
      <c r="E107" t="s">
        <v>347</v>
      </c>
      <c r="F107" t="s">
        <v>182</v>
      </c>
    </row>
    <row r="108" spans="1:6" x14ac:dyDescent="0.3">
      <c r="A108">
        <v>100713</v>
      </c>
      <c r="B108" t="s">
        <v>398</v>
      </c>
      <c r="C108" t="s">
        <v>868</v>
      </c>
      <c r="D108" s="55">
        <v>5553839979</v>
      </c>
      <c r="E108" t="s">
        <v>195</v>
      </c>
      <c r="F108" t="s">
        <v>155</v>
      </c>
    </row>
    <row r="109" spans="1:6" x14ac:dyDescent="0.3">
      <c r="A109">
        <v>100585</v>
      </c>
      <c r="B109" t="s">
        <v>251</v>
      </c>
      <c r="C109" t="s">
        <v>571</v>
      </c>
      <c r="D109" s="55">
        <v>5553845777</v>
      </c>
      <c r="E109" t="s">
        <v>249</v>
      </c>
      <c r="F109" t="s">
        <v>182</v>
      </c>
    </row>
    <row r="110" spans="1:6" x14ac:dyDescent="0.3">
      <c r="A110">
        <v>100624</v>
      </c>
      <c r="B110" t="s">
        <v>344</v>
      </c>
      <c r="C110" t="s">
        <v>655</v>
      </c>
      <c r="D110" s="55">
        <v>5553861812</v>
      </c>
      <c r="E110" t="s">
        <v>308</v>
      </c>
      <c r="F110" t="s">
        <v>155</v>
      </c>
    </row>
    <row r="111" spans="1:6" x14ac:dyDescent="0.3">
      <c r="A111">
        <v>100635</v>
      </c>
      <c r="B111" t="s">
        <v>196</v>
      </c>
      <c r="C111" t="s">
        <v>687</v>
      </c>
      <c r="D111" s="55">
        <v>5553866528</v>
      </c>
      <c r="E111" t="s">
        <v>195</v>
      </c>
      <c r="F111" t="s">
        <v>155</v>
      </c>
    </row>
    <row r="112" spans="1:6" x14ac:dyDescent="0.3">
      <c r="A112">
        <v>100718</v>
      </c>
      <c r="B112" t="s">
        <v>179</v>
      </c>
      <c r="C112" t="s">
        <v>885</v>
      </c>
      <c r="D112" s="55">
        <v>5553894358</v>
      </c>
      <c r="E112" t="s">
        <v>178</v>
      </c>
      <c r="F112" t="s">
        <v>155</v>
      </c>
    </row>
    <row r="113" spans="1:6" x14ac:dyDescent="0.3">
      <c r="A113">
        <v>100665</v>
      </c>
      <c r="B113" t="s">
        <v>282</v>
      </c>
      <c r="C113" t="s">
        <v>754</v>
      </c>
      <c r="D113" s="55">
        <v>5553913799</v>
      </c>
      <c r="E113" t="s">
        <v>195</v>
      </c>
      <c r="F113" t="s">
        <v>155</v>
      </c>
    </row>
    <row r="114" spans="1:6" x14ac:dyDescent="0.3">
      <c r="A114">
        <v>100644</v>
      </c>
      <c r="B114" t="s">
        <v>301</v>
      </c>
      <c r="C114" t="s">
        <v>705</v>
      </c>
      <c r="D114" s="55">
        <v>5553922380</v>
      </c>
      <c r="E114" t="s">
        <v>183</v>
      </c>
      <c r="F114" t="s">
        <v>182</v>
      </c>
    </row>
    <row r="115" spans="1:6" x14ac:dyDescent="0.3">
      <c r="A115">
        <v>100656</v>
      </c>
      <c r="B115" t="s">
        <v>311</v>
      </c>
      <c r="C115" t="s">
        <v>735</v>
      </c>
      <c r="D115" s="55">
        <v>5553933262</v>
      </c>
      <c r="E115" t="s">
        <v>236</v>
      </c>
      <c r="F115" t="s">
        <v>182</v>
      </c>
    </row>
    <row r="116" spans="1:6" x14ac:dyDescent="0.3">
      <c r="A116">
        <v>100606</v>
      </c>
      <c r="B116" t="s">
        <v>295</v>
      </c>
      <c r="C116" t="s">
        <v>621</v>
      </c>
      <c r="D116" s="55">
        <v>5553940626</v>
      </c>
      <c r="E116" t="s">
        <v>294</v>
      </c>
      <c r="F116" t="s">
        <v>293</v>
      </c>
    </row>
    <row r="117" spans="1:6" x14ac:dyDescent="0.3">
      <c r="A117">
        <v>100734</v>
      </c>
      <c r="B117" t="s">
        <v>419</v>
      </c>
      <c r="C117" t="s">
        <v>927</v>
      </c>
      <c r="D117" s="55">
        <v>5553957271</v>
      </c>
      <c r="E117" t="s">
        <v>170</v>
      </c>
      <c r="F117" t="s">
        <v>155</v>
      </c>
    </row>
    <row r="118" spans="1:6" x14ac:dyDescent="0.3">
      <c r="A118">
        <v>100638</v>
      </c>
      <c r="B118" t="s">
        <v>232</v>
      </c>
      <c r="C118" t="s">
        <v>690</v>
      </c>
      <c r="D118" s="55">
        <v>5553972593</v>
      </c>
      <c r="E118" t="s">
        <v>162</v>
      </c>
      <c r="F118" t="s">
        <v>155</v>
      </c>
    </row>
    <row r="119" spans="1:6" x14ac:dyDescent="0.3">
      <c r="A119">
        <v>100619</v>
      </c>
      <c r="B119" t="s">
        <v>213</v>
      </c>
      <c r="C119" t="s">
        <v>646</v>
      </c>
      <c r="D119" s="55">
        <v>5553994887</v>
      </c>
      <c r="E119" t="s">
        <v>203</v>
      </c>
      <c r="F119" t="s">
        <v>155</v>
      </c>
    </row>
    <row r="120" spans="1:6" x14ac:dyDescent="0.3">
      <c r="A120">
        <v>100605</v>
      </c>
      <c r="B120" t="s">
        <v>356</v>
      </c>
      <c r="C120" t="s">
        <v>619</v>
      </c>
      <c r="D120" s="55">
        <v>5553998792</v>
      </c>
      <c r="E120" t="s">
        <v>240</v>
      </c>
      <c r="F120" t="s">
        <v>155</v>
      </c>
    </row>
    <row r="121" spans="1:6" x14ac:dyDescent="0.3">
      <c r="A121">
        <v>100655</v>
      </c>
      <c r="B121" t="s">
        <v>415</v>
      </c>
      <c r="C121" t="s">
        <v>734</v>
      </c>
      <c r="D121" s="55">
        <v>5554017616</v>
      </c>
      <c r="E121" t="s">
        <v>323</v>
      </c>
      <c r="F121" t="s">
        <v>322</v>
      </c>
    </row>
    <row r="122" spans="1:6" x14ac:dyDescent="0.3">
      <c r="A122">
        <v>100716</v>
      </c>
      <c r="B122" t="s">
        <v>171</v>
      </c>
      <c r="C122" t="s">
        <v>879</v>
      </c>
      <c r="D122" s="55">
        <v>5554036054</v>
      </c>
      <c r="E122" t="s">
        <v>170</v>
      </c>
      <c r="F122" t="s">
        <v>155</v>
      </c>
    </row>
    <row r="123" spans="1:6" x14ac:dyDescent="0.3">
      <c r="A123">
        <v>100687</v>
      </c>
      <c r="B123" t="s">
        <v>287</v>
      </c>
      <c r="C123" t="s">
        <v>807</v>
      </c>
      <c r="D123" s="55">
        <v>5554055305</v>
      </c>
      <c r="E123" t="s">
        <v>233</v>
      </c>
      <c r="F123" t="s">
        <v>155</v>
      </c>
    </row>
    <row r="124" spans="1:6" x14ac:dyDescent="0.3">
      <c r="A124">
        <v>100595</v>
      </c>
      <c r="B124" t="s">
        <v>315</v>
      </c>
      <c r="C124" t="s">
        <v>592</v>
      </c>
      <c r="D124" s="55">
        <v>5554074982</v>
      </c>
      <c r="E124" t="s">
        <v>313</v>
      </c>
      <c r="F124" t="s">
        <v>312</v>
      </c>
    </row>
    <row r="125" spans="1:6" x14ac:dyDescent="0.3">
      <c r="A125">
        <v>100689</v>
      </c>
      <c r="B125" t="s">
        <v>418</v>
      </c>
      <c r="C125" t="s">
        <v>809</v>
      </c>
      <c r="D125" s="55">
        <v>5554083877</v>
      </c>
      <c r="E125" t="s">
        <v>185</v>
      </c>
      <c r="F125" t="s">
        <v>182</v>
      </c>
    </row>
    <row r="126" spans="1:6" x14ac:dyDescent="0.3">
      <c r="A126">
        <v>100608</v>
      </c>
      <c r="B126" t="s">
        <v>184</v>
      </c>
      <c r="C126" t="s">
        <v>623</v>
      </c>
      <c r="D126" s="55">
        <v>5554122084</v>
      </c>
      <c r="E126" t="s">
        <v>183</v>
      </c>
      <c r="F126" t="s">
        <v>182</v>
      </c>
    </row>
    <row r="127" spans="1:6" x14ac:dyDescent="0.3">
      <c r="A127">
        <v>100674</v>
      </c>
      <c r="B127" t="s">
        <v>409</v>
      </c>
      <c r="C127" t="s">
        <v>772</v>
      </c>
      <c r="D127" s="55">
        <v>5554144198</v>
      </c>
      <c r="E127" t="s">
        <v>219</v>
      </c>
      <c r="F127" t="s">
        <v>155</v>
      </c>
    </row>
    <row r="128" spans="1:6" x14ac:dyDescent="0.3">
      <c r="A128">
        <v>100596</v>
      </c>
      <c r="B128" t="s">
        <v>267</v>
      </c>
      <c r="C128" t="s">
        <v>596</v>
      </c>
      <c r="D128" s="55">
        <v>5554147481</v>
      </c>
      <c r="E128" t="s">
        <v>265</v>
      </c>
      <c r="F128" t="s">
        <v>182</v>
      </c>
    </row>
    <row r="129" spans="1:6" x14ac:dyDescent="0.3">
      <c r="A129">
        <v>100771</v>
      </c>
      <c r="B129" t="s">
        <v>367</v>
      </c>
      <c r="C129" t="s">
        <v>1013</v>
      </c>
      <c r="D129" s="55">
        <v>5554177531</v>
      </c>
      <c r="E129" t="s">
        <v>188</v>
      </c>
      <c r="F129" t="s">
        <v>155</v>
      </c>
    </row>
    <row r="130" spans="1:6" x14ac:dyDescent="0.3">
      <c r="A130">
        <v>100660</v>
      </c>
      <c r="B130" t="s">
        <v>424</v>
      </c>
      <c r="C130" t="s">
        <v>744</v>
      </c>
      <c r="D130" s="55">
        <v>5554190164</v>
      </c>
      <c r="E130" t="s">
        <v>173</v>
      </c>
      <c r="F130" t="s">
        <v>155</v>
      </c>
    </row>
    <row r="131" spans="1:6" x14ac:dyDescent="0.3">
      <c r="A131">
        <v>100743</v>
      </c>
      <c r="B131" t="s">
        <v>338</v>
      </c>
      <c r="C131" t="s">
        <v>948</v>
      </c>
      <c r="D131" s="55">
        <v>5554198246</v>
      </c>
      <c r="E131" t="s">
        <v>178</v>
      </c>
      <c r="F131" t="s">
        <v>155</v>
      </c>
    </row>
    <row r="132" spans="1:6" x14ac:dyDescent="0.3">
      <c r="A132">
        <v>100770</v>
      </c>
      <c r="B132" t="s">
        <v>302</v>
      </c>
      <c r="C132" t="s">
        <v>1011</v>
      </c>
      <c r="D132" s="55">
        <v>5554246504</v>
      </c>
      <c r="E132" t="s">
        <v>195</v>
      </c>
      <c r="F132" t="s">
        <v>155</v>
      </c>
    </row>
    <row r="133" spans="1:6" x14ac:dyDescent="0.3">
      <c r="A133">
        <v>100652</v>
      </c>
      <c r="B133" t="s">
        <v>432</v>
      </c>
      <c r="C133" t="s">
        <v>724</v>
      </c>
      <c r="D133" s="55">
        <v>5554293605</v>
      </c>
      <c r="E133" t="s">
        <v>271</v>
      </c>
      <c r="F133" t="s">
        <v>182</v>
      </c>
    </row>
    <row r="134" spans="1:6" x14ac:dyDescent="0.3">
      <c r="A134">
        <v>100669</v>
      </c>
      <c r="B134" t="s">
        <v>218</v>
      </c>
      <c r="C134" t="s">
        <v>761</v>
      </c>
      <c r="D134" s="55">
        <v>5554318817</v>
      </c>
      <c r="E134" t="s">
        <v>217</v>
      </c>
      <c r="F134" t="s">
        <v>182</v>
      </c>
    </row>
    <row r="135" spans="1:6" x14ac:dyDescent="0.3">
      <c r="A135">
        <v>100623</v>
      </c>
      <c r="B135" t="s">
        <v>429</v>
      </c>
      <c r="C135" t="s">
        <v>653</v>
      </c>
      <c r="D135" s="55">
        <v>5554338478</v>
      </c>
      <c r="E135" t="s">
        <v>166</v>
      </c>
      <c r="F135" t="s">
        <v>155</v>
      </c>
    </row>
    <row r="136" spans="1:6" x14ac:dyDescent="0.3">
      <c r="A136">
        <v>100591</v>
      </c>
      <c r="B136" t="s">
        <v>448</v>
      </c>
      <c r="C136" t="s">
        <v>584</v>
      </c>
      <c r="D136" s="55">
        <v>5554342980</v>
      </c>
      <c r="E136" t="s">
        <v>233</v>
      </c>
      <c r="F136" t="s">
        <v>155</v>
      </c>
    </row>
    <row r="137" spans="1:6" x14ac:dyDescent="0.3">
      <c r="A137">
        <v>100761</v>
      </c>
      <c r="B137" t="s">
        <v>277</v>
      </c>
      <c r="C137" t="s">
        <v>988</v>
      </c>
      <c r="D137" s="55">
        <v>5554355885</v>
      </c>
      <c r="E137" t="s">
        <v>240</v>
      </c>
      <c r="F137" t="s">
        <v>155</v>
      </c>
    </row>
    <row r="138" spans="1:6" x14ac:dyDescent="0.3">
      <c r="A138">
        <v>100602</v>
      </c>
      <c r="B138" t="s">
        <v>201</v>
      </c>
      <c r="C138" t="s">
        <v>608</v>
      </c>
      <c r="D138" s="55">
        <v>5554360231</v>
      </c>
      <c r="E138" t="s">
        <v>170</v>
      </c>
      <c r="F138" t="s">
        <v>155</v>
      </c>
    </row>
    <row r="139" spans="1:6" x14ac:dyDescent="0.3">
      <c r="A139">
        <v>100718</v>
      </c>
      <c r="B139" t="s">
        <v>179</v>
      </c>
      <c r="C139" t="s">
        <v>887</v>
      </c>
      <c r="D139" s="55">
        <v>5554379089</v>
      </c>
      <c r="E139" t="s">
        <v>178</v>
      </c>
      <c r="F139" t="s">
        <v>155</v>
      </c>
    </row>
    <row r="140" spans="1:6" x14ac:dyDescent="0.3">
      <c r="A140">
        <v>100711</v>
      </c>
      <c r="B140" t="s">
        <v>411</v>
      </c>
      <c r="C140" t="s">
        <v>863</v>
      </c>
      <c r="D140" s="55">
        <v>5554385379</v>
      </c>
      <c r="E140" t="s">
        <v>198</v>
      </c>
      <c r="F140" t="s">
        <v>155</v>
      </c>
    </row>
    <row r="141" spans="1:6" x14ac:dyDescent="0.3">
      <c r="A141">
        <v>100771</v>
      </c>
      <c r="B141" t="s">
        <v>367</v>
      </c>
      <c r="C141" t="s">
        <v>689</v>
      </c>
      <c r="D141" s="55">
        <v>5554425603</v>
      </c>
      <c r="E141" t="s">
        <v>188</v>
      </c>
      <c r="F141" t="s">
        <v>155</v>
      </c>
    </row>
    <row r="142" spans="1:6" x14ac:dyDescent="0.3">
      <c r="A142">
        <v>100639</v>
      </c>
      <c r="B142" t="s">
        <v>291</v>
      </c>
      <c r="C142" t="s">
        <v>694</v>
      </c>
      <c r="D142" s="55">
        <v>5554431279</v>
      </c>
      <c r="E142" t="s">
        <v>236</v>
      </c>
      <c r="F142" t="s">
        <v>182</v>
      </c>
    </row>
    <row r="143" spans="1:6" x14ac:dyDescent="0.3">
      <c r="A143">
        <v>100694</v>
      </c>
      <c r="B143" t="s">
        <v>280</v>
      </c>
      <c r="C143" t="s">
        <v>376</v>
      </c>
      <c r="D143" s="55">
        <v>5554477876</v>
      </c>
      <c r="E143" t="s">
        <v>156</v>
      </c>
      <c r="F143" t="s">
        <v>155</v>
      </c>
    </row>
    <row r="144" spans="1:6" x14ac:dyDescent="0.3">
      <c r="A144">
        <v>100766</v>
      </c>
      <c r="B144" t="s">
        <v>380</v>
      </c>
      <c r="C144" t="s">
        <v>794</v>
      </c>
      <c r="D144" s="55">
        <v>5554479623</v>
      </c>
      <c r="E144" t="s">
        <v>217</v>
      </c>
      <c r="F144" t="s">
        <v>182</v>
      </c>
    </row>
    <row r="145" spans="1:6" x14ac:dyDescent="0.3">
      <c r="A145">
        <v>100763</v>
      </c>
      <c r="B145" t="s">
        <v>298</v>
      </c>
      <c r="C145" t="s">
        <v>995</v>
      </c>
      <c r="D145" s="55">
        <v>5554480501</v>
      </c>
      <c r="E145" t="s">
        <v>243</v>
      </c>
      <c r="F145" t="s">
        <v>182</v>
      </c>
    </row>
    <row r="146" spans="1:6" x14ac:dyDescent="0.3">
      <c r="A146">
        <v>100655</v>
      </c>
      <c r="B146" t="s">
        <v>415</v>
      </c>
      <c r="C146" t="s">
        <v>733</v>
      </c>
      <c r="D146" s="55">
        <v>5554493881</v>
      </c>
      <c r="E146" t="s">
        <v>323</v>
      </c>
      <c r="F146" t="s">
        <v>322</v>
      </c>
    </row>
    <row r="147" spans="1:6" x14ac:dyDescent="0.3">
      <c r="A147">
        <v>100596</v>
      </c>
      <c r="B147" t="s">
        <v>267</v>
      </c>
      <c r="C147" t="s">
        <v>594</v>
      </c>
      <c r="D147" s="55">
        <v>5554528689</v>
      </c>
      <c r="E147" t="s">
        <v>265</v>
      </c>
      <c r="F147" t="s">
        <v>182</v>
      </c>
    </row>
    <row r="148" spans="1:6" x14ac:dyDescent="0.3">
      <c r="A148">
        <v>100738</v>
      </c>
      <c r="B148" t="s">
        <v>397</v>
      </c>
      <c r="C148" t="s">
        <v>938</v>
      </c>
      <c r="D148" s="55">
        <v>5554585165</v>
      </c>
      <c r="E148" t="s">
        <v>308</v>
      </c>
      <c r="F148" t="s">
        <v>155</v>
      </c>
    </row>
    <row r="149" spans="1:6" x14ac:dyDescent="0.3">
      <c r="A149">
        <v>100764</v>
      </c>
      <c r="B149" t="s">
        <v>304</v>
      </c>
      <c r="C149" t="s">
        <v>996</v>
      </c>
      <c r="D149" s="55">
        <v>5554604508</v>
      </c>
      <c r="E149" t="s">
        <v>221</v>
      </c>
      <c r="F149" t="s">
        <v>155</v>
      </c>
    </row>
    <row r="150" spans="1:6" x14ac:dyDescent="0.3">
      <c r="A150">
        <v>100699</v>
      </c>
      <c r="B150" t="s">
        <v>247</v>
      </c>
      <c r="C150" t="s">
        <v>834</v>
      </c>
      <c r="D150" s="55">
        <v>5554619518</v>
      </c>
      <c r="E150" t="s">
        <v>243</v>
      </c>
      <c r="F150" t="s">
        <v>182</v>
      </c>
    </row>
    <row r="151" spans="1:6" x14ac:dyDescent="0.3">
      <c r="A151">
        <v>100772</v>
      </c>
      <c r="B151" t="s">
        <v>382</v>
      </c>
      <c r="C151" t="s">
        <v>1014</v>
      </c>
      <c r="D151" s="55">
        <v>5554623280</v>
      </c>
      <c r="E151" t="s">
        <v>265</v>
      </c>
      <c r="F151" t="s">
        <v>182</v>
      </c>
    </row>
    <row r="152" spans="1:6" x14ac:dyDescent="0.3">
      <c r="A152">
        <v>100678</v>
      </c>
      <c r="B152" t="s">
        <v>412</v>
      </c>
      <c r="C152" t="s">
        <v>782</v>
      </c>
      <c r="D152" s="55">
        <v>5554635842</v>
      </c>
      <c r="E152" t="s">
        <v>203</v>
      </c>
      <c r="F152" t="s">
        <v>155</v>
      </c>
    </row>
    <row r="153" spans="1:6" x14ac:dyDescent="0.3">
      <c r="A153">
        <v>100700</v>
      </c>
      <c r="B153" t="s">
        <v>286</v>
      </c>
      <c r="C153" t="s">
        <v>837</v>
      </c>
      <c r="D153" s="55">
        <v>5554646543</v>
      </c>
      <c r="E153" t="s">
        <v>188</v>
      </c>
      <c r="F153" t="s">
        <v>155</v>
      </c>
    </row>
    <row r="154" spans="1:6" x14ac:dyDescent="0.3">
      <c r="A154">
        <v>100698</v>
      </c>
      <c r="B154" t="s">
        <v>406</v>
      </c>
      <c r="C154" t="s">
        <v>831</v>
      </c>
      <c r="D154" s="55">
        <v>5554693093</v>
      </c>
      <c r="E154" t="s">
        <v>211</v>
      </c>
      <c r="F154" t="s">
        <v>210</v>
      </c>
    </row>
    <row r="155" spans="1:6" x14ac:dyDescent="0.3">
      <c r="A155">
        <v>100603</v>
      </c>
      <c r="B155" t="s">
        <v>357</v>
      </c>
      <c r="C155" t="s">
        <v>613</v>
      </c>
      <c r="D155" s="55">
        <v>5554695023</v>
      </c>
      <c r="E155" t="s">
        <v>347</v>
      </c>
      <c r="F155" t="s">
        <v>182</v>
      </c>
    </row>
    <row r="156" spans="1:6" x14ac:dyDescent="0.3">
      <c r="A156">
        <v>100646</v>
      </c>
      <c r="B156" t="s">
        <v>328</v>
      </c>
      <c r="C156" t="s">
        <v>710</v>
      </c>
      <c r="D156" s="55">
        <v>5554702915</v>
      </c>
      <c r="E156" t="s">
        <v>243</v>
      </c>
      <c r="F156" t="s">
        <v>182</v>
      </c>
    </row>
    <row r="157" spans="1:6" x14ac:dyDescent="0.3">
      <c r="A157">
        <v>100641</v>
      </c>
      <c r="B157" t="s">
        <v>204</v>
      </c>
      <c r="C157" t="s">
        <v>701</v>
      </c>
      <c r="D157" s="55">
        <v>5554716488</v>
      </c>
      <c r="E157" t="s">
        <v>203</v>
      </c>
      <c r="F157" t="s">
        <v>155</v>
      </c>
    </row>
    <row r="158" spans="1:6" x14ac:dyDescent="0.3">
      <c r="A158">
        <v>100761</v>
      </c>
      <c r="B158" t="s">
        <v>277</v>
      </c>
      <c r="C158" t="s">
        <v>991</v>
      </c>
      <c r="D158" s="55">
        <v>5554750525</v>
      </c>
      <c r="E158" t="s">
        <v>240</v>
      </c>
      <c r="F158" t="s">
        <v>155</v>
      </c>
    </row>
    <row r="159" spans="1:6" x14ac:dyDescent="0.3">
      <c r="A159">
        <v>100769</v>
      </c>
      <c r="B159" t="s">
        <v>343</v>
      </c>
      <c r="C159" t="s">
        <v>1006</v>
      </c>
      <c r="D159" s="55">
        <v>5554752601</v>
      </c>
      <c r="E159" t="s">
        <v>198</v>
      </c>
      <c r="F159" t="s">
        <v>155</v>
      </c>
    </row>
    <row r="160" spans="1:6" x14ac:dyDescent="0.3">
      <c r="A160">
        <v>100761</v>
      </c>
      <c r="B160" t="s">
        <v>277</v>
      </c>
      <c r="C160" t="s">
        <v>990</v>
      </c>
      <c r="D160" s="55">
        <v>5554752794</v>
      </c>
      <c r="E160" t="s">
        <v>240</v>
      </c>
      <c r="F160" t="s">
        <v>155</v>
      </c>
    </row>
    <row r="161" spans="1:6" x14ac:dyDescent="0.3">
      <c r="A161">
        <v>100715</v>
      </c>
      <c r="B161" t="s">
        <v>167</v>
      </c>
      <c r="C161" t="s">
        <v>875</v>
      </c>
      <c r="D161" s="55">
        <v>5554758950</v>
      </c>
      <c r="E161" t="s">
        <v>166</v>
      </c>
      <c r="F161" t="s">
        <v>155</v>
      </c>
    </row>
    <row r="162" spans="1:6" x14ac:dyDescent="0.3">
      <c r="A162">
        <v>100618</v>
      </c>
      <c r="B162" t="s">
        <v>361</v>
      </c>
      <c r="C162" t="s">
        <v>642</v>
      </c>
      <c r="D162" s="55">
        <v>5554779235</v>
      </c>
      <c r="E162" t="s">
        <v>229</v>
      </c>
      <c r="F162" t="s">
        <v>155</v>
      </c>
    </row>
    <row r="163" spans="1:6" x14ac:dyDescent="0.3">
      <c r="A163">
        <v>100603</v>
      </c>
      <c r="B163" t="s">
        <v>357</v>
      </c>
      <c r="C163" t="s">
        <v>611</v>
      </c>
      <c r="D163" s="55">
        <v>5554788659</v>
      </c>
      <c r="E163" t="s">
        <v>347</v>
      </c>
      <c r="F163" t="s">
        <v>182</v>
      </c>
    </row>
    <row r="164" spans="1:6" x14ac:dyDescent="0.3">
      <c r="A164">
        <v>100748</v>
      </c>
      <c r="B164" t="s">
        <v>339</v>
      </c>
      <c r="C164" t="s">
        <v>958</v>
      </c>
      <c r="D164" s="55">
        <v>5554799198</v>
      </c>
      <c r="E164" t="s">
        <v>271</v>
      </c>
      <c r="F164" t="s">
        <v>182</v>
      </c>
    </row>
    <row r="165" spans="1:6" x14ac:dyDescent="0.3">
      <c r="A165">
        <v>100606</v>
      </c>
      <c r="B165" t="s">
        <v>295</v>
      </c>
      <c r="C165" t="s">
        <v>620</v>
      </c>
      <c r="D165" s="55">
        <v>5554814370</v>
      </c>
      <c r="E165" t="s">
        <v>294</v>
      </c>
      <c r="F165" t="s">
        <v>293</v>
      </c>
    </row>
    <row r="166" spans="1:6" x14ac:dyDescent="0.3">
      <c r="A166">
        <v>100754</v>
      </c>
      <c r="B166" t="s">
        <v>199</v>
      </c>
      <c r="C166" t="s">
        <v>969</v>
      </c>
      <c r="D166" s="55">
        <v>5554891201</v>
      </c>
      <c r="E166" t="s">
        <v>198</v>
      </c>
      <c r="F166" t="s">
        <v>155</v>
      </c>
    </row>
    <row r="167" spans="1:6" x14ac:dyDescent="0.3">
      <c r="A167">
        <v>100589</v>
      </c>
      <c r="B167" t="s">
        <v>279</v>
      </c>
      <c r="C167" t="s">
        <v>580</v>
      </c>
      <c r="D167" s="55">
        <v>5554895130</v>
      </c>
      <c r="E167" t="s">
        <v>265</v>
      </c>
      <c r="F167" t="s">
        <v>182</v>
      </c>
    </row>
    <row r="168" spans="1:6" x14ac:dyDescent="0.3">
      <c r="A168">
        <v>100739</v>
      </c>
      <c r="B168" t="s">
        <v>272</v>
      </c>
      <c r="C168" t="s">
        <v>942</v>
      </c>
      <c r="D168" s="55">
        <v>5554906249</v>
      </c>
      <c r="E168" t="s">
        <v>271</v>
      </c>
      <c r="F168" t="s">
        <v>182</v>
      </c>
    </row>
    <row r="169" spans="1:6" x14ac:dyDescent="0.3">
      <c r="A169">
        <v>100665</v>
      </c>
      <c r="B169" t="s">
        <v>282</v>
      </c>
      <c r="C169" t="s">
        <v>755</v>
      </c>
      <c r="D169" s="55">
        <v>5554948984</v>
      </c>
      <c r="E169" t="s">
        <v>195</v>
      </c>
      <c r="F169" t="s">
        <v>155</v>
      </c>
    </row>
    <row r="170" spans="1:6" x14ac:dyDescent="0.3">
      <c r="A170">
        <v>100612</v>
      </c>
      <c r="B170" t="s">
        <v>384</v>
      </c>
      <c r="C170" t="s">
        <v>630</v>
      </c>
      <c r="D170" s="55">
        <v>5555018587</v>
      </c>
      <c r="E170" t="s">
        <v>170</v>
      </c>
      <c r="F170" t="s">
        <v>155</v>
      </c>
    </row>
    <row r="171" spans="1:6" x14ac:dyDescent="0.3">
      <c r="A171">
        <v>100703</v>
      </c>
      <c r="B171" t="s">
        <v>413</v>
      </c>
      <c r="C171" t="s">
        <v>847</v>
      </c>
      <c r="D171" s="55">
        <v>5555028048</v>
      </c>
      <c r="E171" t="s">
        <v>265</v>
      </c>
      <c r="F171" t="s">
        <v>182</v>
      </c>
    </row>
    <row r="172" spans="1:6" x14ac:dyDescent="0.3">
      <c r="A172">
        <v>100744</v>
      </c>
      <c r="B172" t="s">
        <v>385</v>
      </c>
      <c r="C172" t="s">
        <v>949</v>
      </c>
      <c r="D172" s="55">
        <v>5555061338</v>
      </c>
      <c r="E172" t="s">
        <v>323</v>
      </c>
      <c r="F172" t="s">
        <v>322</v>
      </c>
    </row>
    <row r="173" spans="1:6" x14ac:dyDescent="0.3">
      <c r="A173">
        <v>100774</v>
      </c>
      <c r="B173" t="s">
        <v>399</v>
      </c>
      <c r="C173" t="s">
        <v>381</v>
      </c>
      <c r="D173" s="55">
        <v>5555070190</v>
      </c>
      <c r="E173" t="s">
        <v>219</v>
      </c>
      <c r="F173" t="s">
        <v>155</v>
      </c>
    </row>
    <row r="174" spans="1:6" x14ac:dyDescent="0.3">
      <c r="A174">
        <v>100652</v>
      </c>
      <c r="B174" t="s">
        <v>432</v>
      </c>
      <c r="C174" t="s">
        <v>723</v>
      </c>
      <c r="D174" s="55">
        <v>5555077098</v>
      </c>
      <c r="E174" t="s">
        <v>271</v>
      </c>
      <c r="F174" t="s">
        <v>182</v>
      </c>
    </row>
    <row r="175" spans="1:6" x14ac:dyDescent="0.3">
      <c r="A175">
        <v>100752</v>
      </c>
      <c r="B175" t="s">
        <v>451</v>
      </c>
      <c r="C175" t="s">
        <v>965</v>
      </c>
      <c r="D175" s="55">
        <v>5555087954</v>
      </c>
      <c r="E175" t="s">
        <v>265</v>
      </c>
      <c r="F175" t="s">
        <v>182</v>
      </c>
    </row>
    <row r="176" spans="1:6" x14ac:dyDescent="0.3">
      <c r="A176">
        <v>100628</v>
      </c>
      <c r="B176" t="s">
        <v>407</v>
      </c>
      <c r="C176" t="s">
        <v>668</v>
      </c>
      <c r="D176" s="55">
        <v>5555090009</v>
      </c>
      <c r="E176" t="s">
        <v>236</v>
      </c>
      <c r="F176" t="s">
        <v>182</v>
      </c>
    </row>
    <row r="177" spans="1:6" x14ac:dyDescent="0.3">
      <c r="A177">
        <v>100588</v>
      </c>
      <c r="B177" t="s">
        <v>187</v>
      </c>
      <c r="C177" t="s">
        <v>576</v>
      </c>
      <c r="D177" s="55">
        <v>5555096334</v>
      </c>
      <c r="E177" t="s">
        <v>185</v>
      </c>
      <c r="F177" t="s">
        <v>182</v>
      </c>
    </row>
    <row r="178" spans="1:6" x14ac:dyDescent="0.3">
      <c r="A178">
        <v>100595</v>
      </c>
      <c r="B178" t="s">
        <v>315</v>
      </c>
      <c r="C178" t="s">
        <v>593</v>
      </c>
      <c r="D178" s="55">
        <v>5555106472</v>
      </c>
      <c r="E178" t="s">
        <v>313</v>
      </c>
      <c r="F178" t="s">
        <v>312</v>
      </c>
    </row>
    <row r="179" spans="1:6" x14ac:dyDescent="0.3">
      <c r="A179">
        <v>100730</v>
      </c>
      <c r="B179" t="s">
        <v>274</v>
      </c>
      <c r="C179" t="s">
        <v>915</v>
      </c>
      <c r="D179" s="55">
        <v>5555164592</v>
      </c>
      <c r="E179" t="s">
        <v>178</v>
      </c>
      <c r="F179" t="s">
        <v>155</v>
      </c>
    </row>
    <row r="180" spans="1:6" x14ac:dyDescent="0.3">
      <c r="A180">
        <v>100698</v>
      </c>
      <c r="B180" t="s">
        <v>406</v>
      </c>
      <c r="C180" t="s">
        <v>832</v>
      </c>
      <c r="D180" s="55">
        <v>5555175026</v>
      </c>
      <c r="E180" t="s">
        <v>211</v>
      </c>
      <c r="F180" t="s">
        <v>210</v>
      </c>
    </row>
    <row r="181" spans="1:6" x14ac:dyDescent="0.3">
      <c r="A181">
        <v>100614</v>
      </c>
      <c r="B181" t="s">
        <v>325</v>
      </c>
      <c r="C181" t="s">
        <v>635</v>
      </c>
      <c r="D181" s="55">
        <v>5555179055</v>
      </c>
      <c r="E181" t="s">
        <v>198</v>
      </c>
      <c r="F181" t="s">
        <v>155</v>
      </c>
    </row>
    <row r="182" spans="1:6" x14ac:dyDescent="0.3">
      <c r="A182">
        <v>100722</v>
      </c>
      <c r="B182" t="s">
        <v>390</v>
      </c>
      <c r="C182" t="s">
        <v>895</v>
      </c>
      <c r="D182" s="55">
        <v>5555197419</v>
      </c>
      <c r="E182" t="s">
        <v>260</v>
      </c>
      <c r="F182" t="s">
        <v>259</v>
      </c>
    </row>
    <row r="183" spans="1:6" x14ac:dyDescent="0.3">
      <c r="A183">
        <v>100760</v>
      </c>
      <c r="B183" t="s">
        <v>449</v>
      </c>
      <c r="C183" t="s">
        <v>984</v>
      </c>
      <c r="D183" s="55">
        <v>5555210976</v>
      </c>
      <c r="E183" t="s">
        <v>198</v>
      </c>
      <c r="F183" t="s">
        <v>155</v>
      </c>
    </row>
    <row r="184" spans="1:6" x14ac:dyDescent="0.3">
      <c r="A184">
        <v>100724</v>
      </c>
      <c r="B184" t="s">
        <v>296</v>
      </c>
      <c r="C184" t="s">
        <v>899</v>
      </c>
      <c r="D184" s="55">
        <v>5555250851</v>
      </c>
      <c r="E184" t="s">
        <v>183</v>
      </c>
      <c r="F184" t="s">
        <v>182</v>
      </c>
    </row>
    <row r="185" spans="1:6" x14ac:dyDescent="0.3">
      <c r="A185">
        <v>100634</v>
      </c>
      <c r="B185" t="s">
        <v>337</v>
      </c>
      <c r="C185" t="s">
        <v>683</v>
      </c>
      <c r="D185" s="55">
        <v>5555301365</v>
      </c>
      <c r="E185" t="s">
        <v>221</v>
      </c>
      <c r="F185" t="s">
        <v>155</v>
      </c>
    </row>
    <row r="186" spans="1:6" x14ac:dyDescent="0.3">
      <c r="A186">
        <v>100638</v>
      </c>
      <c r="B186" t="s">
        <v>232</v>
      </c>
      <c r="C186" t="s">
        <v>691</v>
      </c>
      <c r="D186" s="55">
        <v>5555367422</v>
      </c>
      <c r="E186" t="s">
        <v>162</v>
      </c>
      <c r="F186" t="s">
        <v>155</v>
      </c>
    </row>
    <row r="187" spans="1:6" x14ac:dyDescent="0.3">
      <c r="A187">
        <v>100599</v>
      </c>
      <c r="B187" t="s">
        <v>228</v>
      </c>
      <c r="C187" t="s">
        <v>602</v>
      </c>
      <c r="D187" s="55">
        <v>5555376227</v>
      </c>
      <c r="E187" t="s">
        <v>188</v>
      </c>
      <c r="F187" t="s">
        <v>155</v>
      </c>
    </row>
    <row r="188" spans="1:6" x14ac:dyDescent="0.3">
      <c r="A188">
        <v>100708</v>
      </c>
      <c r="B188" t="s">
        <v>257</v>
      </c>
      <c r="C188" t="s">
        <v>858</v>
      </c>
      <c r="D188" s="55">
        <v>5555390223</v>
      </c>
      <c r="E188" t="s">
        <v>249</v>
      </c>
      <c r="F188" t="s">
        <v>182</v>
      </c>
    </row>
    <row r="189" spans="1:6" x14ac:dyDescent="0.3">
      <c r="A189">
        <v>100602</v>
      </c>
      <c r="B189" t="s">
        <v>201</v>
      </c>
      <c r="C189" t="s">
        <v>244</v>
      </c>
      <c r="D189" s="55">
        <v>5555405372</v>
      </c>
      <c r="E189" t="s">
        <v>170</v>
      </c>
      <c r="F189" t="s">
        <v>155</v>
      </c>
    </row>
    <row r="190" spans="1:6" x14ac:dyDescent="0.3">
      <c r="A190">
        <v>100724</v>
      </c>
      <c r="B190" t="s">
        <v>296</v>
      </c>
      <c r="C190" t="s">
        <v>897</v>
      </c>
      <c r="D190" s="55">
        <v>5555413940</v>
      </c>
      <c r="E190" t="s">
        <v>183</v>
      </c>
      <c r="F190" t="s">
        <v>182</v>
      </c>
    </row>
    <row r="191" spans="1:6" x14ac:dyDescent="0.3">
      <c r="A191">
        <v>100719</v>
      </c>
      <c r="B191" t="s">
        <v>375</v>
      </c>
      <c r="C191" t="s">
        <v>890</v>
      </c>
      <c r="D191" s="55">
        <v>5555429349</v>
      </c>
      <c r="E191" t="s">
        <v>308</v>
      </c>
      <c r="F191" t="s">
        <v>155</v>
      </c>
    </row>
    <row r="192" spans="1:6" x14ac:dyDescent="0.3">
      <c r="A192">
        <v>100677</v>
      </c>
      <c r="B192" t="s">
        <v>246</v>
      </c>
      <c r="C192" t="s">
        <v>779</v>
      </c>
      <c r="D192" s="55">
        <v>5555439207</v>
      </c>
      <c r="E192" t="s">
        <v>198</v>
      </c>
      <c r="F192" t="s">
        <v>155</v>
      </c>
    </row>
    <row r="193" spans="1:6" x14ac:dyDescent="0.3">
      <c r="A193">
        <v>100710</v>
      </c>
      <c r="B193" t="s">
        <v>324</v>
      </c>
      <c r="C193" t="s">
        <v>330</v>
      </c>
      <c r="D193" s="55">
        <v>5555470744</v>
      </c>
      <c r="E193" t="s">
        <v>323</v>
      </c>
      <c r="F193" t="s">
        <v>322</v>
      </c>
    </row>
    <row r="194" spans="1:6" x14ac:dyDescent="0.3">
      <c r="A194">
        <v>100647</v>
      </c>
      <c r="B194" t="s">
        <v>176</v>
      </c>
      <c r="C194" t="s">
        <v>714</v>
      </c>
      <c r="D194" s="55">
        <v>5555477156</v>
      </c>
      <c r="E194" t="s">
        <v>170</v>
      </c>
      <c r="F194" t="s">
        <v>155</v>
      </c>
    </row>
    <row r="195" spans="1:6" x14ac:dyDescent="0.3">
      <c r="A195">
        <v>100585</v>
      </c>
      <c r="B195" t="s">
        <v>251</v>
      </c>
      <c r="C195" t="s">
        <v>569</v>
      </c>
      <c r="D195" s="55">
        <v>5555489195</v>
      </c>
      <c r="E195" t="s">
        <v>249</v>
      </c>
      <c r="F195" t="s">
        <v>182</v>
      </c>
    </row>
    <row r="196" spans="1:6" x14ac:dyDescent="0.3">
      <c r="A196">
        <v>100687</v>
      </c>
      <c r="B196" t="s">
        <v>287</v>
      </c>
      <c r="C196" t="s">
        <v>805</v>
      </c>
      <c r="D196" s="55">
        <v>5555495875</v>
      </c>
      <c r="E196" t="s">
        <v>233</v>
      </c>
      <c r="F196" t="s">
        <v>155</v>
      </c>
    </row>
    <row r="197" spans="1:6" x14ac:dyDescent="0.3">
      <c r="A197">
        <v>100690</v>
      </c>
      <c r="B197" t="s">
        <v>346</v>
      </c>
      <c r="C197" t="s">
        <v>811</v>
      </c>
      <c r="D197" s="55">
        <v>5555514047</v>
      </c>
      <c r="E197" t="s">
        <v>229</v>
      </c>
      <c r="F197" t="s">
        <v>155</v>
      </c>
    </row>
    <row r="198" spans="1:6" x14ac:dyDescent="0.3">
      <c r="A198">
        <v>100719</v>
      </c>
      <c r="B198" t="s">
        <v>375</v>
      </c>
      <c r="C198" t="s">
        <v>891</v>
      </c>
      <c r="D198" s="55">
        <v>5555517188</v>
      </c>
      <c r="E198" t="s">
        <v>308</v>
      </c>
      <c r="F198" t="s">
        <v>155</v>
      </c>
    </row>
    <row r="199" spans="1:6" x14ac:dyDescent="0.3">
      <c r="A199">
        <v>100676</v>
      </c>
      <c r="B199" t="s">
        <v>157</v>
      </c>
      <c r="C199" t="s">
        <v>776</v>
      </c>
      <c r="D199" s="55">
        <v>5555531047</v>
      </c>
      <c r="E199" t="s">
        <v>156</v>
      </c>
      <c r="F199" t="s">
        <v>155</v>
      </c>
    </row>
    <row r="200" spans="1:6" x14ac:dyDescent="0.3">
      <c r="A200">
        <v>100627</v>
      </c>
      <c r="B200" t="s">
        <v>318</v>
      </c>
      <c r="C200" t="s">
        <v>664</v>
      </c>
      <c r="D200" s="55">
        <v>5555541285</v>
      </c>
      <c r="E200" t="s">
        <v>156</v>
      </c>
      <c r="F200" t="s">
        <v>155</v>
      </c>
    </row>
    <row r="201" spans="1:6" x14ac:dyDescent="0.3">
      <c r="A201">
        <v>100742</v>
      </c>
      <c r="B201" t="s">
        <v>393</v>
      </c>
      <c r="C201" t="s">
        <v>946</v>
      </c>
      <c r="D201" s="55">
        <v>5555542841</v>
      </c>
      <c r="E201" t="s">
        <v>233</v>
      </c>
      <c r="F201" t="s">
        <v>155</v>
      </c>
    </row>
    <row r="202" spans="1:6" x14ac:dyDescent="0.3">
      <c r="A202">
        <v>100618</v>
      </c>
      <c r="B202" t="s">
        <v>361</v>
      </c>
      <c r="C202" t="s">
        <v>644</v>
      </c>
      <c r="D202" s="55">
        <v>5555543828</v>
      </c>
      <c r="E202" t="s">
        <v>229</v>
      </c>
      <c r="F202" t="s">
        <v>155</v>
      </c>
    </row>
    <row r="203" spans="1:6" x14ac:dyDescent="0.3">
      <c r="A203">
        <v>100721</v>
      </c>
      <c r="B203" t="s">
        <v>388</v>
      </c>
      <c r="C203" t="s">
        <v>893</v>
      </c>
      <c r="D203" s="55">
        <v>5555565157</v>
      </c>
      <c r="E203" t="s">
        <v>185</v>
      </c>
      <c r="F203" t="s">
        <v>182</v>
      </c>
    </row>
    <row r="204" spans="1:6" x14ac:dyDescent="0.3">
      <c r="A204">
        <v>100687</v>
      </c>
      <c r="B204" t="s">
        <v>287</v>
      </c>
      <c r="C204" t="s">
        <v>804</v>
      </c>
      <c r="D204" s="55">
        <v>5555569215</v>
      </c>
      <c r="E204" t="s">
        <v>233</v>
      </c>
      <c r="F204" t="s">
        <v>155</v>
      </c>
    </row>
    <row r="205" spans="1:6" x14ac:dyDescent="0.3">
      <c r="A205">
        <v>100653</v>
      </c>
      <c r="B205" t="s">
        <v>362</v>
      </c>
      <c r="C205" t="s">
        <v>727</v>
      </c>
      <c r="D205" s="55">
        <v>5555574775</v>
      </c>
      <c r="E205" t="s">
        <v>236</v>
      </c>
      <c r="F205" t="s">
        <v>182</v>
      </c>
    </row>
    <row r="206" spans="1:6" x14ac:dyDescent="0.3">
      <c r="A206">
        <v>100693</v>
      </c>
      <c r="B206" t="s">
        <v>402</v>
      </c>
      <c r="C206" t="s">
        <v>820</v>
      </c>
      <c r="D206" s="55">
        <v>5555584792</v>
      </c>
      <c r="E206" t="s">
        <v>221</v>
      </c>
      <c r="F206" t="s">
        <v>155</v>
      </c>
    </row>
    <row r="207" spans="1:6" x14ac:dyDescent="0.3">
      <c r="A207">
        <v>100756</v>
      </c>
      <c r="B207" t="s">
        <v>270</v>
      </c>
      <c r="C207" t="s">
        <v>584</v>
      </c>
      <c r="D207" s="55">
        <v>5555592039</v>
      </c>
      <c r="E207" t="s">
        <v>269</v>
      </c>
      <c r="F207" t="s">
        <v>182</v>
      </c>
    </row>
    <row r="208" spans="1:6" x14ac:dyDescent="0.3">
      <c r="A208">
        <v>100681</v>
      </c>
      <c r="B208" t="s">
        <v>289</v>
      </c>
      <c r="C208" t="s">
        <v>792</v>
      </c>
      <c r="D208" s="55">
        <v>5555596201</v>
      </c>
      <c r="E208" t="s">
        <v>260</v>
      </c>
      <c r="F208" t="s">
        <v>259</v>
      </c>
    </row>
    <row r="209" spans="1:6" x14ac:dyDescent="0.3">
      <c r="A209">
        <v>100619</v>
      </c>
      <c r="B209" t="s">
        <v>213</v>
      </c>
      <c r="C209" t="s">
        <v>645</v>
      </c>
      <c r="D209" s="55">
        <v>5555606782</v>
      </c>
      <c r="E209" t="s">
        <v>203</v>
      </c>
      <c r="F209" t="s">
        <v>155</v>
      </c>
    </row>
    <row r="210" spans="1:6" x14ac:dyDescent="0.3">
      <c r="A210">
        <v>100700</v>
      </c>
      <c r="B210" t="s">
        <v>286</v>
      </c>
      <c r="C210" t="s">
        <v>838</v>
      </c>
      <c r="D210" s="55">
        <v>5555620239</v>
      </c>
      <c r="E210" t="s">
        <v>188</v>
      </c>
      <c r="F210" t="s">
        <v>155</v>
      </c>
    </row>
    <row r="211" spans="1:6" x14ac:dyDescent="0.3">
      <c r="A211">
        <v>100676</v>
      </c>
      <c r="B211" t="s">
        <v>157</v>
      </c>
      <c r="C211" t="s">
        <v>775</v>
      </c>
      <c r="D211" s="55">
        <v>5555637066</v>
      </c>
      <c r="E211" t="s">
        <v>156</v>
      </c>
      <c r="F211" t="s">
        <v>155</v>
      </c>
    </row>
    <row r="212" spans="1:6" x14ac:dyDescent="0.3">
      <c r="A212">
        <v>100749</v>
      </c>
      <c r="B212" t="s">
        <v>220</v>
      </c>
      <c r="C212" t="s">
        <v>960</v>
      </c>
      <c r="D212" s="55">
        <v>5555652879</v>
      </c>
      <c r="E212" t="s">
        <v>219</v>
      </c>
      <c r="F212" t="s">
        <v>155</v>
      </c>
    </row>
    <row r="213" spans="1:6" x14ac:dyDescent="0.3">
      <c r="A213">
        <v>100692</v>
      </c>
      <c r="B213" t="s">
        <v>215</v>
      </c>
      <c r="C213" t="s">
        <v>815</v>
      </c>
      <c r="D213" s="55">
        <v>5555658439</v>
      </c>
      <c r="E213" t="s">
        <v>214</v>
      </c>
      <c r="F213" t="s">
        <v>155</v>
      </c>
    </row>
    <row r="214" spans="1:6" x14ac:dyDescent="0.3">
      <c r="A214">
        <v>100604</v>
      </c>
      <c r="B214" t="s">
        <v>354</v>
      </c>
      <c r="C214" t="s">
        <v>616</v>
      </c>
      <c r="D214" s="55">
        <v>5555658760</v>
      </c>
      <c r="E214" t="s">
        <v>183</v>
      </c>
      <c r="F214" t="s">
        <v>182</v>
      </c>
    </row>
    <row r="215" spans="1:6" x14ac:dyDescent="0.3">
      <c r="A215">
        <v>100626</v>
      </c>
      <c r="B215" t="s">
        <v>394</v>
      </c>
      <c r="C215" t="s">
        <v>662</v>
      </c>
      <c r="D215" s="55">
        <v>5555681050</v>
      </c>
      <c r="E215" t="s">
        <v>207</v>
      </c>
      <c r="F215" t="s">
        <v>155</v>
      </c>
    </row>
    <row r="216" spans="1:6" x14ac:dyDescent="0.3">
      <c r="A216">
        <v>100731</v>
      </c>
      <c r="B216" t="s">
        <v>303</v>
      </c>
      <c r="C216" t="s">
        <v>916</v>
      </c>
      <c r="D216" s="55">
        <v>5555725992</v>
      </c>
      <c r="E216" t="s">
        <v>166</v>
      </c>
      <c r="F216" t="s">
        <v>155</v>
      </c>
    </row>
    <row r="217" spans="1:6" x14ac:dyDescent="0.3">
      <c r="A217">
        <v>100709</v>
      </c>
      <c r="B217" t="s">
        <v>309</v>
      </c>
      <c r="C217" t="s">
        <v>859</v>
      </c>
      <c r="D217" s="55">
        <v>5555745665</v>
      </c>
      <c r="E217" t="s">
        <v>308</v>
      </c>
      <c r="F217" t="s">
        <v>155</v>
      </c>
    </row>
    <row r="218" spans="1:6" x14ac:dyDescent="0.3">
      <c r="A218">
        <v>100602</v>
      </c>
      <c r="B218" t="s">
        <v>201</v>
      </c>
      <c r="C218" t="s">
        <v>609</v>
      </c>
      <c r="D218" s="55">
        <v>5555758004</v>
      </c>
      <c r="E218" t="s">
        <v>170</v>
      </c>
      <c r="F218" t="s">
        <v>155</v>
      </c>
    </row>
    <row r="219" spans="1:6" x14ac:dyDescent="0.3">
      <c r="A219">
        <v>100747</v>
      </c>
      <c r="B219" t="s">
        <v>386</v>
      </c>
      <c r="C219" t="s">
        <v>954</v>
      </c>
      <c r="D219" s="55">
        <v>5555770114</v>
      </c>
      <c r="E219" t="s">
        <v>166</v>
      </c>
      <c r="F219" t="s">
        <v>155</v>
      </c>
    </row>
    <row r="220" spans="1:6" x14ac:dyDescent="0.3">
      <c r="A220">
        <v>100696</v>
      </c>
      <c r="B220" t="s">
        <v>317</v>
      </c>
      <c r="C220" t="s">
        <v>826</v>
      </c>
      <c r="D220" s="55">
        <v>5555771174</v>
      </c>
      <c r="E220" t="s">
        <v>185</v>
      </c>
      <c r="F220" t="s">
        <v>182</v>
      </c>
    </row>
    <row r="221" spans="1:6" x14ac:dyDescent="0.3">
      <c r="A221">
        <v>100766</v>
      </c>
      <c r="B221" t="s">
        <v>380</v>
      </c>
      <c r="C221" t="s">
        <v>998</v>
      </c>
      <c r="D221" s="55">
        <v>5555821501</v>
      </c>
      <c r="E221" t="s">
        <v>217</v>
      </c>
      <c r="F221" t="s">
        <v>182</v>
      </c>
    </row>
    <row r="222" spans="1:6" x14ac:dyDescent="0.3">
      <c r="A222">
        <v>100694</v>
      </c>
      <c r="B222" t="s">
        <v>280</v>
      </c>
      <c r="C222" t="s">
        <v>822</v>
      </c>
      <c r="D222" s="55">
        <v>5555845354</v>
      </c>
      <c r="E222" t="s">
        <v>156</v>
      </c>
      <c r="F222" t="s">
        <v>155</v>
      </c>
    </row>
    <row r="223" spans="1:6" x14ac:dyDescent="0.3">
      <c r="A223">
        <v>100692</v>
      </c>
      <c r="B223" t="s">
        <v>215</v>
      </c>
      <c r="C223" t="s">
        <v>817</v>
      </c>
      <c r="D223" s="55">
        <v>5555854894</v>
      </c>
      <c r="E223" t="s">
        <v>214</v>
      </c>
      <c r="F223" t="s">
        <v>155</v>
      </c>
    </row>
    <row r="224" spans="1:6" x14ac:dyDescent="0.3">
      <c r="A224">
        <v>100677</v>
      </c>
      <c r="B224" t="s">
        <v>246</v>
      </c>
      <c r="C224" t="s">
        <v>778</v>
      </c>
      <c r="D224" s="55">
        <v>5555870995</v>
      </c>
      <c r="E224" t="s">
        <v>198</v>
      </c>
      <c r="F224" t="s">
        <v>155</v>
      </c>
    </row>
    <row r="225" spans="1:6" x14ac:dyDescent="0.3">
      <c r="A225">
        <v>100774</v>
      </c>
      <c r="B225" t="s">
        <v>399</v>
      </c>
      <c r="C225" t="s">
        <v>1019</v>
      </c>
      <c r="D225" s="55">
        <v>5555900745</v>
      </c>
      <c r="E225" t="s">
        <v>219</v>
      </c>
      <c r="F225" t="s">
        <v>155</v>
      </c>
    </row>
    <row r="226" spans="1:6" x14ac:dyDescent="0.3">
      <c r="A226">
        <v>100659</v>
      </c>
      <c r="B226" t="s">
        <v>372</v>
      </c>
      <c r="C226" t="s">
        <v>741</v>
      </c>
      <c r="D226" s="55">
        <v>5555905750</v>
      </c>
      <c r="E226" t="s">
        <v>214</v>
      </c>
      <c r="F226" t="s">
        <v>155</v>
      </c>
    </row>
    <row r="227" spans="1:6" x14ac:dyDescent="0.3">
      <c r="A227">
        <v>100627</v>
      </c>
      <c r="B227" t="s">
        <v>318</v>
      </c>
      <c r="C227" t="s">
        <v>665</v>
      </c>
      <c r="D227" s="55">
        <v>5555916341</v>
      </c>
      <c r="E227" t="s">
        <v>156</v>
      </c>
      <c r="F227" t="s">
        <v>155</v>
      </c>
    </row>
    <row r="228" spans="1:6" x14ac:dyDescent="0.3">
      <c r="A228">
        <v>100596</v>
      </c>
      <c r="B228" t="s">
        <v>267</v>
      </c>
      <c r="C228" t="s">
        <v>595</v>
      </c>
      <c r="D228" s="55">
        <v>5555951020</v>
      </c>
      <c r="E228" t="s">
        <v>265</v>
      </c>
      <c r="F228" t="s">
        <v>182</v>
      </c>
    </row>
    <row r="229" spans="1:6" x14ac:dyDescent="0.3">
      <c r="A229">
        <v>100768</v>
      </c>
      <c r="B229" t="s">
        <v>281</v>
      </c>
      <c r="C229" t="s">
        <v>1002</v>
      </c>
      <c r="D229" s="55">
        <v>5555960721</v>
      </c>
      <c r="E229" t="s">
        <v>173</v>
      </c>
      <c r="F229" t="s">
        <v>155</v>
      </c>
    </row>
    <row r="230" spans="1:6" x14ac:dyDescent="0.3">
      <c r="A230">
        <v>100689</v>
      </c>
      <c r="B230" t="s">
        <v>418</v>
      </c>
      <c r="C230" t="s">
        <v>368</v>
      </c>
      <c r="D230" s="55">
        <v>5555967593</v>
      </c>
      <c r="E230" t="s">
        <v>185</v>
      </c>
      <c r="F230" t="s">
        <v>182</v>
      </c>
    </row>
    <row r="231" spans="1:6" x14ac:dyDescent="0.3">
      <c r="A231">
        <v>100587</v>
      </c>
      <c r="B231" t="s">
        <v>174</v>
      </c>
      <c r="C231" t="s">
        <v>575</v>
      </c>
      <c r="D231" s="55">
        <v>5555980518</v>
      </c>
      <c r="E231" t="s">
        <v>173</v>
      </c>
      <c r="F231" t="s">
        <v>155</v>
      </c>
    </row>
    <row r="232" spans="1:6" x14ac:dyDescent="0.3">
      <c r="A232">
        <v>100678</v>
      </c>
      <c r="B232" t="s">
        <v>412</v>
      </c>
      <c r="C232" t="s">
        <v>783</v>
      </c>
      <c r="D232" s="55">
        <v>5555995660</v>
      </c>
      <c r="E232" t="s">
        <v>203</v>
      </c>
      <c r="F232" t="s">
        <v>155</v>
      </c>
    </row>
    <row r="233" spans="1:6" x14ac:dyDescent="0.3">
      <c r="A233">
        <v>100659</v>
      </c>
      <c r="B233" t="s">
        <v>372</v>
      </c>
      <c r="C233" t="s">
        <v>742</v>
      </c>
      <c r="D233" s="55">
        <v>5556010313</v>
      </c>
      <c r="E233" t="s">
        <v>214</v>
      </c>
      <c r="F233" t="s">
        <v>155</v>
      </c>
    </row>
    <row r="234" spans="1:6" x14ac:dyDescent="0.3">
      <c r="A234">
        <v>100601</v>
      </c>
      <c r="B234" t="s">
        <v>341</v>
      </c>
      <c r="C234" t="s">
        <v>606</v>
      </c>
      <c r="D234" s="55">
        <v>5556045406</v>
      </c>
      <c r="E234" t="s">
        <v>193</v>
      </c>
      <c r="F234" t="s">
        <v>155</v>
      </c>
    </row>
    <row r="235" spans="1:6" x14ac:dyDescent="0.3">
      <c r="A235">
        <v>100612</v>
      </c>
      <c r="B235" t="s">
        <v>384</v>
      </c>
      <c r="C235" t="s">
        <v>631</v>
      </c>
      <c r="D235" s="55">
        <v>5556057563</v>
      </c>
      <c r="E235" t="s">
        <v>170</v>
      </c>
      <c r="F235" t="s">
        <v>155</v>
      </c>
    </row>
    <row r="236" spans="1:6" x14ac:dyDescent="0.3">
      <c r="A236">
        <v>100740</v>
      </c>
      <c r="B236" t="s">
        <v>305</v>
      </c>
      <c r="C236" t="s">
        <v>391</v>
      </c>
      <c r="D236" s="55">
        <v>5556059651</v>
      </c>
      <c r="E236" t="s">
        <v>271</v>
      </c>
      <c r="F236" t="s">
        <v>182</v>
      </c>
    </row>
    <row r="237" spans="1:6" x14ac:dyDescent="0.3">
      <c r="A237">
        <v>100717</v>
      </c>
      <c r="B237" t="s">
        <v>454</v>
      </c>
      <c r="C237" t="s">
        <v>882</v>
      </c>
      <c r="D237" s="55">
        <v>5556078748</v>
      </c>
      <c r="E237" t="s">
        <v>156</v>
      </c>
      <c r="F237" t="s">
        <v>155</v>
      </c>
    </row>
    <row r="238" spans="1:6" x14ac:dyDescent="0.3">
      <c r="A238">
        <v>100643</v>
      </c>
      <c r="B238" t="s">
        <v>321</v>
      </c>
      <c r="C238" t="s">
        <v>704</v>
      </c>
      <c r="D238" s="55">
        <v>5556090430</v>
      </c>
      <c r="E238" t="s">
        <v>265</v>
      </c>
      <c r="F238" t="s">
        <v>182</v>
      </c>
    </row>
    <row r="239" spans="1:6" x14ac:dyDescent="0.3">
      <c r="A239">
        <v>100748</v>
      </c>
      <c r="B239" t="s">
        <v>339</v>
      </c>
      <c r="C239" t="s">
        <v>959</v>
      </c>
      <c r="D239" s="55">
        <v>5556123268</v>
      </c>
      <c r="E239" t="s">
        <v>271</v>
      </c>
      <c r="F239" t="s">
        <v>182</v>
      </c>
    </row>
    <row r="240" spans="1:6" x14ac:dyDescent="0.3">
      <c r="A240">
        <v>100586</v>
      </c>
      <c r="B240" t="s">
        <v>230</v>
      </c>
      <c r="C240" t="s">
        <v>573</v>
      </c>
      <c r="D240" s="55">
        <v>5556133958</v>
      </c>
      <c r="E240" t="s">
        <v>229</v>
      </c>
      <c r="F240" t="s">
        <v>155</v>
      </c>
    </row>
    <row r="241" spans="1:6" x14ac:dyDescent="0.3">
      <c r="A241">
        <v>100650</v>
      </c>
      <c r="B241" t="s">
        <v>405</v>
      </c>
      <c r="C241" t="s">
        <v>718</v>
      </c>
      <c r="D241" s="55">
        <v>5556137341</v>
      </c>
      <c r="E241" t="s">
        <v>188</v>
      </c>
      <c r="F241" t="s">
        <v>155</v>
      </c>
    </row>
    <row r="242" spans="1:6" x14ac:dyDescent="0.3">
      <c r="A242">
        <v>100670</v>
      </c>
      <c r="B242" t="s">
        <v>329</v>
      </c>
      <c r="C242" t="s">
        <v>764</v>
      </c>
      <c r="D242" s="55">
        <v>5556143811</v>
      </c>
      <c r="E242" t="s">
        <v>203</v>
      </c>
      <c r="F242" t="s">
        <v>155</v>
      </c>
    </row>
    <row r="243" spans="1:6" x14ac:dyDescent="0.3">
      <c r="A243">
        <v>100589</v>
      </c>
      <c r="B243" t="s">
        <v>279</v>
      </c>
      <c r="C243" t="s">
        <v>579</v>
      </c>
      <c r="D243" s="55">
        <v>5556145451</v>
      </c>
      <c r="E243" t="s">
        <v>265</v>
      </c>
      <c r="F243" t="s">
        <v>182</v>
      </c>
    </row>
    <row r="244" spans="1:6" x14ac:dyDescent="0.3">
      <c r="A244">
        <v>100588</v>
      </c>
      <c r="B244" t="s">
        <v>187</v>
      </c>
      <c r="C244" t="s">
        <v>577</v>
      </c>
      <c r="D244" s="55">
        <v>5556150665</v>
      </c>
      <c r="E244" t="s">
        <v>185</v>
      </c>
      <c r="F244" t="s">
        <v>182</v>
      </c>
    </row>
    <row r="245" spans="1:6" x14ac:dyDescent="0.3">
      <c r="A245">
        <v>100615</v>
      </c>
      <c r="B245" t="s">
        <v>273</v>
      </c>
      <c r="C245" t="s">
        <v>637</v>
      </c>
      <c r="D245" s="55">
        <v>5556171461</v>
      </c>
      <c r="E245" t="s">
        <v>183</v>
      </c>
      <c r="F245" t="s">
        <v>182</v>
      </c>
    </row>
    <row r="246" spans="1:6" x14ac:dyDescent="0.3">
      <c r="A246">
        <v>100609</v>
      </c>
      <c r="B246" t="s">
        <v>212</v>
      </c>
      <c r="C246" t="s">
        <v>624</v>
      </c>
      <c r="D246" s="55">
        <v>5556184819</v>
      </c>
      <c r="E246" t="s">
        <v>211</v>
      </c>
      <c r="F246" t="s">
        <v>210</v>
      </c>
    </row>
    <row r="247" spans="1:6" x14ac:dyDescent="0.3">
      <c r="A247">
        <v>100752</v>
      </c>
      <c r="B247" t="s">
        <v>451</v>
      </c>
      <c r="C247" t="s">
        <v>964</v>
      </c>
      <c r="D247" s="55">
        <v>5556191355</v>
      </c>
      <c r="E247" t="s">
        <v>265</v>
      </c>
      <c r="F247" t="s">
        <v>182</v>
      </c>
    </row>
    <row r="248" spans="1:6" x14ac:dyDescent="0.3">
      <c r="A248">
        <v>100629</v>
      </c>
      <c r="B248" t="s">
        <v>227</v>
      </c>
      <c r="C248" t="s">
        <v>669</v>
      </c>
      <c r="D248" s="55">
        <v>5556201939</v>
      </c>
      <c r="E248" t="s">
        <v>195</v>
      </c>
      <c r="F248" t="s">
        <v>155</v>
      </c>
    </row>
    <row r="249" spans="1:6" x14ac:dyDescent="0.3">
      <c r="A249">
        <v>100754</v>
      </c>
      <c r="B249" t="s">
        <v>199</v>
      </c>
      <c r="C249" t="s">
        <v>970</v>
      </c>
      <c r="D249" s="55">
        <v>5556268343</v>
      </c>
      <c r="E249" t="s">
        <v>198</v>
      </c>
      <c r="F249" t="s">
        <v>155</v>
      </c>
    </row>
    <row r="250" spans="1:6" x14ac:dyDescent="0.3">
      <c r="A250">
        <v>100673</v>
      </c>
      <c r="B250" t="s">
        <v>374</v>
      </c>
      <c r="C250" t="s">
        <v>768</v>
      </c>
      <c r="D250" s="55">
        <v>5556273522</v>
      </c>
      <c r="E250" t="s">
        <v>188</v>
      </c>
      <c r="F250" t="s">
        <v>155</v>
      </c>
    </row>
    <row r="251" spans="1:6" x14ac:dyDescent="0.3">
      <c r="A251">
        <v>100629</v>
      </c>
      <c r="B251" t="s">
        <v>227</v>
      </c>
      <c r="C251" t="s">
        <v>672</v>
      </c>
      <c r="D251" s="55">
        <v>5556293919</v>
      </c>
      <c r="E251" t="s">
        <v>195</v>
      </c>
      <c r="F251" t="s">
        <v>155</v>
      </c>
    </row>
    <row r="252" spans="1:6" x14ac:dyDescent="0.3">
      <c r="A252">
        <v>100776</v>
      </c>
      <c r="B252" t="s">
        <v>238</v>
      </c>
      <c r="C252" t="s">
        <v>698</v>
      </c>
      <c r="D252" s="55">
        <v>5556318220</v>
      </c>
      <c r="E252" t="s">
        <v>162</v>
      </c>
      <c r="F252" t="s">
        <v>155</v>
      </c>
    </row>
    <row r="253" spans="1:6" x14ac:dyDescent="0.3">
      <c r="A253">
        <v>100673</v>
      </c>
      <c r="B253" t="s">
        <v>374</v>
      </c>
      <c r="C253" t="s">
        <v>770</v>
      </c>
      <c r="D253" s="55">
        <v>5556318343</v>
      </c>
      <c r="E253" t="s">
        <v>188</v>
      </c>
      <c r="F253" t="s">
        <v>155</v>
      </c>
    </row>
    <row r="254" spans="1:6" x14ac:dyDescent="0.3">
      <c r="A254">
        <v>100684</v>
      </c>
      <c r="B254" t="s">
        <v>359</v>
      </c>
      <c r="C254" t="s">
        <v>798</v>
      </c>
      <c r="D254" s="55">
        <v>5556333123</v>
      </c>
      <c r="E254" t="s">
        <v>221</v>
      </c>
      <c r="F254" t="s">
        <v>155</v>
      </c>
    </row>
    <row r="255" spans="1:6" x14ac:dyDescent="0.3">
      <c r="A255">
        <v>100599</v>
      </c>
      <c r="B255" t="s">
        <v>228</v>
      </c>
      <c r="C255" t="s">
        <v>604</v>
      </c>
      <c r="D255" s="55">
        <v>5556334783</v>
      </c>
      <c r="E255" t="s">
        <v>188</v>
      </c>
      <c r="F255" t="s">
        <v>155</v>
      </c>
    </row>
    <row r="256" spans="1:6" x14ac:dyDescent="0.3">
      <c r="A256">
        <v>100601</v>
      </c>
      <c r="B256" t="s">
        <v>341</v>
      </c>
      <c r="C256" t="s">
        <v>607</v>
      </c>
      <c r="D256" s="55">
        <v>5556344021</v>
      </c>
      <c r="E256" t="s">
        <v>193</v>
      </c>
      <c r="F256" t="s">
        <v>155</v>
      </c>
    </row>
    <row r="257" spans="1:6" x14ac:dyDescent="0.3">
      <c r="A257">
        <v>100599</v>
      </c>
      <c r="B257" t="s">
        <v>228</v>
      </c>
      <c r="C257" t="s">
        <v>601</v>
      </c>
      <c r="D257" s="55">
        <v>5556349661</v>
      </c>
      <c r="E257" t="s">
        <v>188</v>
      </c>
      <c r="F257" t="s">
        <v>155</v>
      </c>
    </row>
    <row r="258" spans="1:6" x14ac:dyDescent="0.3">
      <c r="A258">
        <v>100636</v>
      </c>
      <c r="B258" t="s">
        <v>306</v>
      </c>
      <c r="C258" t="s">
        <v>688</v>
      </c>
      <c r="D258" s="55">
        <v>5556365520</v>
      </c>
      <c r="E258" t="s">
        <v>240</v>
      </c>
      <c r="F258" t="s">
        <v>155</v>
      </c>
    </row>
    <row r="259" spans="1:6" x14ac:dyDescent="0.3">
      <c r="A259">
        <v>100713</v>
      </c>
      <c r="B259" t="s">
        <v>398</v>
      </c>
      <c r="C259" t="s">
        <v>870</v>
      </c>
      <c r="D259" s="55">
        <v>5556386203</v>
      </c>
      <c r="E259" t="s">
        <v>195</v>
      </c>
      <c r="F259" t="s">
        <v>155</v>
      </c>
    </row>
    <row r="260" spans="1:6" x14ac:dyDescent="0.3">
      <c r="A260">
        <v>100756</v>
      </c>
      <c r="B260" t="s">
        <v>270</v>
      </c>
      <c r="C260" t="s">
        <v>974</v>
      </c>
      <c r="D260" s="55">
        <v>5556392699</v>
      </c>
      <c r="E260" t="s">
        <v>269</v>
      </c>
      <c r="F260" t="s">
        <v>182</v>
      </c>
    </row>
    <row r="261" spans="1:6" x14ac:dyDescent="0.3">
      <c r="A261">
        <v>100640</v>
      </c>
      <c r="B261" t="s">
        <v>396</v>
      </c>
      <c r="C261" t="s">
        <v>697</v>
      </c>
      <c r="D261" s="55">
        <v>5556434174</v>
      </c>
      <c r="E261" t="s">
        <v>203</v>
      </c>
      <c r="F261" t="s">
        <v>155</v>
      </c>
    </row>
    <row r="262" spans="1:6" x14ac:dyDescent="0.3">
      <c r="A262">
        <v>100662</v>
      </c>
      <c r="B262" t="s">
        <v>365</v>
      </c>
      <c r="C262" t="s">
        <v>749</v>
      </c>
      <c r="D262" s="55">
        <v>5556449407</v>
      </c>
      <c r="E262" t="s">
        <v>207</v>
      </c>
      <c r="F262" t="s">
        <v>155</v>
      </c>
    </row>
    <row r="263" spans="1:6" x14ac:dyDescent="0.3">
      <c r="A263">
        <v>100713</v>
      </c>
      <c r="B263" t="s">
        <v>398</v>
      </c>
      <c r="C263" t="s">
        <v>869</v>
      </c>
      <c r="D263" s="55">
        <v>5556449700</v>
      </c>
      <c r="E263" t="s">
        <v>195</v>
      </c>
      <c r="F263" t="s">
        <v>155</v>
      </c>
    </row>
    <row r="264" spans="1:6" x14ac:dyDescent="0.3">
      <c r="A264">
        <v>100651</v>
      </c>
      <c r="B264" t="s">
        <v>209</v>
      </c>
      <c r="C264" t="s">
        <v>721</v>
      </c>
      <c r="D264" s="55">
        <v>5556472102</v>
      </c>
      <c r="E264" t="s">
        <v>170</v>
      </c>
      <c r="F264" t="s">
        <v>155</v>
      </c>
    </row>
    <row r="265" spans="1:6" x14ac:dyDescent="0.3">
      <c r="A265">
        <v>100623</v>
      </c>
      <c r="B265" t="s">
        <v>429</v>
      </c>
      <c r="C265" t="s">
        <v>654</v>
      </c>
      <c r="D265" s="55">
        <v>5556486326</v>
      </c>
      <c r="E265" t="s">
        <v>166</v>
      </c>
      <c r="F265" t="s">
        <v>155</v>
      </c>
    </row>
    <row r="266" spans="1:6" x14ac:dyDescent="0.3">
      <c r="A266">
        <v>100760</v>
      </c>
      <c r="B266" t="s">
        <v>449</v>
      </c>
      <c r="C266" t="s">
        <v>987</v>
      </c>
      <c r="D266" s="55">
        <v>5556492695</v>
      </c>
      <c r="E266" t="s">
        <v>198</v>
      </c>
      <c r="F266" t="s">
        <v>155</v>
      </c>
    </row>
    <row r="267" spans="1:6" x14ac:dyDescent="0.3">
      <c r="A267">
        <v>100768</v>
      </c>
      <c r="B267" t="s">
        <v>281</v>
      </c>
      <c r="C267" t="s">
        <v>1004</v>
      </c>
      <c r="D267" s="55">
        <v>5556496310</v>
      </c>
      <c r="E267" t="s">
        <v>173</v>
      </c>
      <c r="F267" t="s">
        <v>155</v>
      </c>
    </row>
    <row r="268" spans="1:6" x14ac:dyDescent="0.3">
      <c r="A268">
        <v>100732</v>
      </c>
      <c r="B268" t="s">
        <v>300</v>
      </c>
      <c r="C268" t="s">
        <v>921</v>
      </c>
      <c r="D268" s="55">
        <v>5556496355</v>
      </c>
      <c r="E268" t="s">
        <v>195</v>
      </c>
      <c r="F268" t="s">
        <v>155</v>
      </c>
    </row>
    <row r="269" spans="1:6" x14ac:dyDescent="0.3">
      <c r="A269">
        <v>100766</v>
      </c>
      <c r="B269" t="s">
        <v>380</v>
      </c>
      <c r="C269" t="s">
        <v>999</v>
      </c>
      <c r="D269" s="55">
        <v>5556546952</v>
      </c>
      <c r="E269" t="s">
        <v>217</v>
      </c>
      <c r="F269" t="s">
        <v>182</v>
      </c>
    </row>
    <row r="270" spans="1:6" x14ac:dyDescent="0.3">
      <c r="A270">
        <v>100622</v>
      </c>
      <c r="B270" t="s">
        <v>245</v>
      </c>
      <c r="C270" t="s">
        <v>651</v>
      </c>
      <c r="D270" s="55">
        <v>5556552920</v>
      </c>
      <c r="E270" t="s">
        <v>243</v>
      </c>
      <c r="F270" t="s">
        <v>182</v>
      </c>
    </row>
    <row r="271" spans="1:6" x14ac:dyDescent="0.3">
      <c r="A271">
        <v>100714</v>
      </c>
      <c r="B271" t="s">
        <v>373</v>
      </c>
      <c r="C271" t="s">
        <v>873</v>
      </c>
      <c r="D271" s="55">
        <v>5556553281</v>
      </c>
      <c r="E271" t="s">
        <v>221</v>
      </c>
      <c r="F271" t="s">
        <v>155</v>
      </c>
    </row>
    <row r="272" spans="1:6" x14ac:dyDescent="0.3">
      <c r="A272">
        <v>100716</v>
      </c>
      <c r="B272" t="s">
        <v>171</v>
      </c>
      <c r="C272" t="s">
        <v>880</v>
      </c>
      <c r="D272" s="55">
        <v>5556578357</v>
      </c>
      <c r="E272" t="s">
        <v>170</v>
      </c>
      <c r="F272" t="s">
        <v>155</v>
      </c>
    </row>
    <row r="273" spans="1:6" x14ac:dyDescent="0.3">
      <c r="A273">
        <v>100671</v>
      </c>
      <c r="B273" t="s">
        <v>234</v>
      </c>
      <c r="C273" t="s">
        <v>765</v>
      </c>
      <c r="D273" s="55">
        <v>5556617055</v>
      </c>
      <c r="E273" t="s">
        <v>233</v>
      </c>
      <c r="F273" t="s">
        <v>155</v>
      </c>
    </row>
    <row r="274" spans="1:6" x14ac:dyDescent="0.3">
      <c r="A274">
        <v>100701</v>
      </c>
      <c r="B274" t="s">
        <v>434</v>
      </c>
      <c r="C274" t="s">
        <v>840</v>
      </c>
      <c r="D274" s="55">
        <v>5556617388</v>
      </c>
      <c r="E274" t="s">
        <v>219</v>
      </c>
      <c r="F274" t="s">
        <v>155</v>
      </c>
    </row>
    <row r="275" spans="1:6" x14ac:dyDescent="0.3">
      <c r="A275">
        <v>100627</v>
      </c>
      <c r="B275" t="s">
        <v>318</v>
      </c>
      <c r="C275" t="s">
        <v>666</v>
      </c>
      <c r="D275" s="55">
        <v>5556645363</v>
      </c>
      <c r="E275" t="s">
        <v>156</v>
      </c>
      <c r="F275" t="s">
        <v>155</v>
      </c>
    </row>
    <row r="276" spans="1:6" x14ac:dyDescent="0.3">
      <c r="A276">
        <v>100693</v>
      </c>
      <c r="B276" t="s">
        <v>402</v>
      </c>
      <c r="C276" t="s">
        <v>818</v>
      </c>
      <c r="D276" s="55">
        <v>5556660371</v>
      </c>
      <c r="E276" t="s">
        <v>221</v>
      </c>
      <c r="F276" t="s">
        <v>155</v>
      </c>
    </row>
    <row r="277" spans="1:6" x14ac:dyDescent="0.3">
      <c r="A277">
        <v>100755</v>
      </c>
      <c r="B277" t="s">
        <v>428</v>
      </c>
      <c r="C277" t="s">
        <v>973</v>
      </c>
      <c r="D277" s="55">
        <v>5556746387</v>
      </c>
      <c r="E277" t="s">
        <v>229</v>
      </c>
      <c r="F277" t="s">
        <v>155</v>
      </c>
    </row>
    <row r="278" spans="1:6" x14ac:dyDescent="0.3">
      <c r="A278">
        <v>100686</v>
      </c>
      <c r="B278" t="s">
        <v>231</v>
      </c>
      <c r="C278" t="s">
        <v>802</v>
      </c>
      <c r="D278" s="55">
        <v>5556794450</v>
      </c>
      <c r="E278" t="s">
        <v>156</v>
      </c>
      <c r="F278" t="s">
        <v>155</v>
      </c>
    </row>
    <row r="279" spans="1:6" x14ac:dyDescent="0.3">
      <c r="A279">
        <v>100713</v>
      </c>
      <c r="B279" t="s">
        <v>398</v>
      </c>
      <c r="C279" t="s">
        <v>867</v>
      </c>
      <c r="D279" s="55">
        <v>5556800586</v>
      </c>
      <c r="E279" t="s">
        <v>195</v>
      </c>
      <c r="F279" t="s">
        <v>155</v>
      </c>
    </row>
    <row r="280" spans="1:6" x14ac:dyDescent="0.3">
      <c r="A280">
        <v>100705</v>
      </c>
      <c r="B280" t="s">
        <v>336</v>
      </c>
      <c r="C280" t="s">
        <v>852</v>
      </c>
      <c r="D280" s="55">
        <v>5556803255</v>
      </c>
      <c r="E280" t="s">
        <v>217</v>
      </c>
      <c r="F280" t="s">
        <v>182</v>
      </c>
    </row>
    <row r="281" spans="1:6" x14ac:dyDescent="0.3">
      <c r="A281">
        <v>100740</v>
      </c>
      <c r="B281" t="s">
        <v>305</v>
      </c>
      <c r="C281" t="s">
        <v>944</v>
      </c>
      <c r="D281" s="55">
        <v>5556805783</v>
      </c>
      <c r="E281" t="s">
        <v>271</v>
      </c>
      <c r="F281" t="s">
        <v>182</v>
      </c>
    </row>
    <row r="282" spans="1:6" x14ac:dyDescent="0.3">
      <c r="A282">
        <v>100625</v>
      </c>
      <c r="B282" t="s">
        <v>333</v>
      </c>
      <c r="C282" t="s">
        <v>661</v>
      </c>
      <c r="D282" s="55">
        <v>5556873946</v>
      </c>
      <c r="E282" t="s">
        <v>183</v>
      </c>
      <c r="F282" t="s">
        <v>182</v>
      </c>
    </row>
    <row r="283" spans="1:6" x14ac:dyDescent="0.3">
      <c r="A283">
        <v>100771</v>
      </c>
      <c r="B283" t="s">
        <v>367</v>
      </c>
      <c r="C283" t="s">
        <v>1012</v>
      </c>
      <c r="D283" s="55">
        <v>5556889766</v>
      </c>
      <c r="E283" t="s">
        <v>188</v>
      </c>
      <c r="F283" t="s">
        <v>155</v>
      </c>
    </row>
    <row r="284" spans="1:6" x14ac:dyDescent="0.3">
      <c r="A284">
        <v>100702</v>
      </c>
      <c r="B284" t="s">
        <v>284</v>
      </c>
      <c r="C284" t="s">
        <v>845</v>
      </c>
      <c r="D284" s="55">
        <v>5556890535</v>
      </c>
      <c r="E284" t="s">
        <v>166</v>
      </c>
      <c r="F284" t="s">
        <v>155</v>
      </c>
    </row>
    <row r="285" spans="1:6" x14ac:dyDescent="0.3">
      <c r="A285">
        <v>100737</v>
      </c>
      <c r="B285" t="s">
        <v>360</v>
      </c>
      <c r="C285" t="s">
        <v>936</v>
      </c>
      <c r="D285" s="55">
        <v>5556909283</v>
      </c>
      <c r="E285" t="s">
        <v>173</v>
      </c>
      <c r="F285" t="s">
        <v>155</v>
      </c>
    </row>
    <row r="286" spans="1:6" x14ac:dyDescent="0.3">
      <c r="A286">
        <v>100697</v>
      </c>
      <c r="B286" t="s">
        <v>297</v>
      </c>
      <c r="C286" t="s">
        <v>827</v>
      </c>
      <c r="D286" s="55">
        <v>5556925623</v>
      </c>
      <c r="E286" t="s">
        <v>233</v>
      </c>
      <c r="F286" t="s">
        <v>155</v>
      </c>
    </row>
    <row r="287" spans="1:6" x14ac:dyDescent="0.3">
      <c r="A287">
        <v>100758</v>
      </c>
      <c r="B287" t="s">
        <v>268</v>
      </c>
      <c r="C287" t="s">
        <v>981</v>
      </c>
      <c r="D287" s="55">
        <v>5556930541</v>
      </c>
      <c r="E287" t="s">
        <v>195</v>
      </c>
      <c r="F287" t="s">
        <v>155</v>
      </c>
    </row>
    <row r="288" spans="1:6" x14ac:dyDescent="0.3">
      <c r="A288">
        <v>100639</v>
      </c>
      <c r="B288" t="s">
        <v>291</v>
      </c>
      <c r="C288" t="s">
        <v>693</v>
      </c>
      <c r="D288" s="55">
        <v>5556941133</v>
      </c>
      <c r="E288" t="s">
        <v>236</v>
      </c>
      <c r="F288" t="s">
        <v>182</v>
      </c>
    </row>
    <row r="289" spans="1:6" x14ac:dyDescent="0.3">
      <c r="A289">
        <v>100701</v>
      </c>
      <c r="B289" t="s">
        <v>434</v>
      </c>
      <c r="C289" t="s">
        <v>841</v>
      </c>
      <c r="D289" s="55">
        <v>5556988354</v>
      </c>
      <c r="E289" t="s">
        <v>219</v>
      </c>
      <c r="F289" t="s">
        <v>155</v>
      </c>
    </row>
    <row r="290" spans="1:6" x14ac:dyDescent="0.3">
      <c r="A290">
        <v>100770</v>
      </c>
      <c r="B290" t="s">
        <v>302</v>
      </c>
      <c r="C290" t="s">
        <v>1009</v>
      </c>
      <c r="D290" s="55">
        <v>5556990224</v>
      </c>
      <c r="E290" t="s">
        <v>195</v>
      </c>
      <c r="F290" t="s">
        <v>155</v>
      </c>
    </row>
    <row r="291" spans="1:6" x14ac:dyDescent="0.3">
      <c r="A291">
        <v>100591</v>
      </c>
      <c r="B291" t="s">
        <v>448</v>
      </c>
      <c r="C291" t="s">
        <v>586</v>
      </c>
      <c r="D291" s="55">
        <v>5556990309</v>
      </c>
      <c r="E291" t="s">
        <v>233</v>
      </c>
      <c r="F291" t="s">
        <v>155</v>
      </c>
    </row>
    <row r="292" spans="1:6" x14ac:dyDescent="0.3">
      <c r="A292">
        <v>100611</v>
      </c>
      <c r="B292" t="s">
        <v>241</v>
      </c>
      <c r="C292" t="s">
        <v>628</v>
      </c>
      <c r="D292" s="55">
        <v>5557016283</v>
      </c>
      <c r="E292" t="s">
        <v>240</v>
      </c>
      <c r="F292" t="s">
        <v>155</v>
      </c>
    </row>
    <row r="293" spans="1:6" x14ac:dyDescent="0.3">
      <c r="A293">
        <v>100680</v>
      </c>
      <c r="B293" t="s">
        <v>410</v>
      </c>
      <c r="C293" t="s">
        <v>789</v>
      </c>
      <c r="D293" s="55">
        <v>5557033474</v>
      </c>
      <c r="E293" t="s">
        <v>269</v>
      </c>
      <c r="F293" t="s">
        <v>182</v>
      </c>
    </row>
    <row r="294" spans="1:6" x14ac:dyDescent="0.3">
      <c r="A294">
        <v>100679</v>
      </c>
      <c r="B294" t="s">
        <v>378</v>
      </c>
      <c r="C294" t="s">
        <v>786</v>
      </c>
      <c r="D294" s="55">
        <v>5557037584</v>
      </c>
      <c r="E294" t="s">
        <v>195</v>
      </c>
      <c r="F294" t="s">
        <v>155</v>
      </c>
    </row>
    <row r="295" spans="1:6" x14ac:dyDescent="0.3">
      <c r="A295">
        <v>100620</v>
      </c>
      <c r="B295" t="s">
        <v>262</v>
      </c>
      <c r="C295" t="s">
        <v>647</v>
      </c>
      <c r="D295" s="55">
        <v>5557039148</v>
      </c>
      <c r="E295" t="s">
        <v>260</v>
      </c>
      <c r="F295" t="s">
        <v>259</v>
      </c>
    </row>
    <row r="296" spans="1:6" x14ac:dyDescent="0.3">
      <c r="A296">
        <v>100745</v>
      </c>
      <c r="B296" t="s">
        <v>163</v>
      </c>
      <c r="C296" t="s">
        <v>951</v>
      </c>
      <c r="D296" s="55">
        <v>5557041285</v>
      </c>
      <c r="E296" t="s">
        <v>162</v>
      </c>
      <c r="F296" t="s">
        <v>155</v>
      </c>
    </row>
    <row r="297" spans="1:6" x14ac:dyDescent="0.3">
      <c r="A297">
        <v>100723</v>
      </c>
      <c r="B297" t="s">
        <v>299</v>
      </c>
      <c r="C297" t="s">
        <v>896</v>
      </c>
      <c r="D297" s="55">
        <v>5557055838</v>
      </c>
      <c r="E297" t="s">
        <v>170</v>
      </c>
      <c r="F297" t="s">
        <v>155</v>
      </c>
    </row>
    <row r="298" spans="1:6" x14ac:dyDescent="0.3">
      <c r="A298">
        <v>100624</v>
      </c>
      <c r="B298" t="s">
        <v>344</v>
      </c>
      <c r="C298" t="s">
        <v>656</v>
      </c>
      <c r="D298" s="55">
        <v>5557057956</v>
      </c>
      <c r="E298" t="s">
        <v>308</v>
      </c>
      <c r="F298" t="s">
        <v>155</v>
      </c>
    </row>
    <row r="299" spans="1:6" x14ac:dyDescent="0.3">
      <c r="A299">
        <v>100638</v>
      </c>
      <c r="B299" t="s">
        <v>232</v>
      </c>
      <c r="C299" t="s">
        <v>433</v>
      </c>
      <c r="D299" s="55">
        <v>5557059035</v>
      </c>
      <c r="E299" t="s">
        <v>162</v>
      </c>
      <c r="F299" t="s">
        <v>155</v>
      </c>
    </row>
    <row r="300" spans="1:6" x14ac:dyDescent="0.3">
      <c r="A300">
        <v>100646</v>
      </c>
      <c r="B300" t="s">
        <v>328</v>
      </c>
      <c r="C300" t="s">
        <v>712</v>
      </c>
      <c r="D300" s="55">
        <v>5557076869</v>
      </c>
      <c r="E300" t="s">
        <v>243</v>
      </c>
      <c r="F300" t="s">
        <v>182</v>
      </c>
    </row>
    <row r="301" spans="1:6" x14ac:dyDescent="0.3">
      <c r="A301">
        <v>100735</v>
      </c>
      <c r="B301" t="s">
        <v>342</v>
      </c>
      <c r="C301" t="s">
        <v>928</v>
      </c>
      <c r="D301" s="55">
        <v>5557077845</v>
      </c>
      <c r="E301" t="s">
        <v>233</v>
      </c>
      <c r="F301" t="s">
        <v>155</v>
      </c>
    </row>
    <row r="302" spans="1:6" x14ac:dyDescent="0.3">
      <c r="A302">
        <v>100604</v>
      </c>
      <c r="B302" t="s">
        <v>354</v>
      </c>
      <c r="C302" t="s">
        <v>614</v>
      </c>
      <c r="D302" s="55">
        <v>5557081163</v>
      </c>
      <c r="E302" t="s">
        <v>183</v>
      </c>
      <c r="F302" t="s">
        <v>182</v>
      </c>
    </row>
    <row r="303" spans="1:6" x14ac:dyDescent="0.3">
      <c r="A303">
        <v>100645</v>
      </c>
      <c r="B303" t="s">
        <v>369</v>
      </c>
      <c r="C303" t="s">
        <v>706</v>
      </c>
      <c r="D303" s="55">
        <v>5557096181</v>
      </c>
      <c r="E303" t="s">
        <v>249</v>
      </c>
      <c r="F303" t="s">
        <v>182</v>
      </c>
    </row>
    <row r="304" spans="1:6" x14ac:dyDescent="0.3">
      <c r="A304">
        <v>100604</v>
      </c>
      <c r="B304" t="s">
        <v>354</v>
      </c>
      <c r="C304" t="s">
        <v>615</v>
      </c>
      <c r="D304" s="55">
        <v>5557149468</v>
      </c>
      <c r="E304" t="s">
        <v>183</v>
      </c>
      <c r="F304" t="s">
        <v>182</v>
      </c>
    </row>
    <row r="305" spans="1:6" x14ac:dyDescent="0.3">
      <c r="A305">
        <v>100674</v>
      </c>
      <c r="B305" t="s">
        <v>409</v>
      </c>
      <c r="C305" t="s">
        <v>773</v>
      </c>
      <c r="D305" s="55">
        <v>5557171082</v>
      </c>
      <c r="E305" t="s">
        <v>219</v>
      </c>
      <c r="F305" t="s">
        <v>155</v>
      </c>
    </row>
    <row r="306" spans="1:6" x14ac:dyDescent="0.3">
      <c r="A306">
        <v>100661</v>
      </c>
      <c r="B306" t="s">
        <v>254</v>
      </c>
      <c r="C306" t="s">
        <v>747</v>
      </c>
      <c r="D306" s="55">
        <v>5557195100</v>
      </c>
      <c r="E306" t="s">
        <v>183</v>
      </c>
      <c r="F306" t="s">
        <v>182</v>
      </c>
    </row>
    <row r="307" spans="1:6" x14ac:dyDescent="0.3">
      <c r="A307">
        <v>100689</v>
      </c>
      <c r="B307" t="s">
        <v>418</v>
      </c>
      <c r="C307" t="s">
        <v>810</v>
      </c>
      <c r="D307" s="55">
        <v>5557198324</v>
      </c>
      <c r="E307" t="s">
        <v>185</v>
      </c>
      <c r="F307" t="s">
        <v>182</v>
      </c>
    </row>
    <row r="308" spans="1:6" x14ac:dyDescent="0.3">
      <c r="A308">
        <v>100611</v>
      </c>
      <c r="B308" t="s">
        <v>241</v>
      </c>
      <c r="C308" t="s">
        <v>627</v>
      </c>
      <c r="D308" s="55">
        <v>5557198328</v>
      </c>
      <c r="E308" t="s">
        <v>240</v>
      </c>
      <c r="F308" t="s">
        <v>155</v>
      </c>
    </row>
    <row r="309" spans="1:6" x14ac:dyDescent="0.3">
      <c r="A309">
        <v>100728</v>
      </c>
      <c r="B309" t="s">
        <v>235</v>
      </c>
      <c r="C309" t="s">
        <v>910</v>
      </c>
      <c r="D309" s="55">
        <v>5557212818</v>
      </c>
      <c r="E309" t="s">
        <v>193</v>
      </c>
      <c r="F309" t="s">
        <v>155</v>
      </c>
    </row>
    <row r="310" spans="1:6" x14ac:dyDescent="0.3">
      <c r="A310">
        <v>100695</v>
      </c>
      <c r="B310" t="s">
        <v>423</v>
      </c>
      <c r="C310" t="s">
        <v>824</v>
      </c>
      <c r="D310" s="55">
        <v>5557240926</v>
      </c>
      <c r="E310" t="s">
        <v>185</v>
      </c>
      <c r="F310" t="s">
        <v>182</v>
      </c>
    </row>
    <row r="311" spans="1:6" x14ac:dyDescent="0.3">
      <c r="A311">
        <v>100768</v>
      </c>
      <c r="B311" t="s">
        <v>281</v>
      </c>
      <c r="C311" t="s">
        <v>1003</v>
      </c>
      <c r="D311" s="55">
        <v>5557258384</v>
      </c>
      <c r="E311" t="s">
        <v>173</v>
      </c>
      <c r="F311" t="s">
        <v>155</v>
      </c>
    </row>
    <row r="312" spans="1:6" x14ac:dyDescent="0.3">
      <c r="A312">
        <v>100691</v>
      </c>
      <c r="B312" t="s">
        <v>392</v>
      </c>
      <c r="C312" t="s">
        <v>813</v>
      </c>
      <c r="D312" s="55">
        <v>5557267260</v>
      </c>
      <c r="E312" t="s">
        <v>193</v>
      </c>
      <c r="F312" t="s">
        <v>155</v>
      </c>
    </row>
    <row r="313" spans="1:6" x14ac:dyDescent="0.3">
      <c r="A313">
        <v>100641</v>
      </c>
      <c r="B313" t="s">
        <v>204</v>
      </c>
      <c r="C313" t="s">
        <v>698</v>
      </c>
      <c r="D313" s="55">
        <v>5557289020</v>
      </c>
      <c r="E313" t="s">
        <v>203</v>
      </c>
      <c r="F313" t="s">
        <v>155</v>
      </c>
    </row>
    <row r="314" spans="1:6" x14ac:dyDescent="0.3">
      <c r="A314">
        <v>100706</v>
      </c>
      <c r="B314" t="s">
        <v>436</v>
      </c>
      <c r="C314" t="s">
        <v>854</v>
      </c>
      <c r="D314" s="55">
        <v>5557306663</v>
      </c>
      <c r="E314" t="s">
        <v>236</v>
      </c>
      <c r="F314" t="s">
        <v>182</v>
      </c>
    </row>
    <row r="315" spans="1:6" x14ac:dyDescent="0.3">
      <c r="A315">
        <v>100677</v>
      </c>
      <c r="B315" t="s">
        <v>246</v>
      </c>
      <c r="C315" t="s">
        <v>777</v>
      </c>
      <c r="D315" s="55">
        <v>5557306670</v>
      </c>
      <c r="E315" t="s">
        <v>198</v>
      </c>
      <c r="F315" t="s">
        <v>155</v>
      </c>
    </row>
    <row r="316" spans="1:6" x14ac:dyDescent="0.3">
      <c r="A316">
        <v>100597</v>
      </c>
      <c r="B316" t="s">
        <v>253</v>
      </c>
      <c r="C316" t="s">
        <v>598</v>
      </c>
      <c r="D316" s="55">
        <v>5557311747</v>
      </c>
      <c r="E316" t="s">
        <v>170</v>
      </c>
      <c r="F316" t="s">
        <v>155</v>
      </c>
    </row>
    <row r="317" spans="1:6" x14ac:dyDescent="0.3">
      <c r="A317">
        <v>100655</v>
      </c>
      <c r="B317" t="s">
        <v>415</v>
      </c>
      <c r="C317" t="s">
        <v>732</v>
      </c>
      <c r="D317" s="55">
        <v>5557328307</v>
      </c>
      <c r="E317" t="s">
        <v>323</v>
      </c>
      <c r="F317" t="s">
        <v>322</v>
      </c>
    </row>
    <row r="318" spans="1:6" x14ac:dyDescent="0.3">
      <c r="A318">
        <v>100757</v>
      </c>
      <c r="B318" t="s">
        <v>275</v>
      </c>
      <c r="C318" t="s">
        <v>979</v>
      </c>
      <c r="D318" s="55">
        <v>5557337988</v>
      </c>
      <c r="E318" t="s">
        <v>249</v>
      </c>
      <c r="F318" t="s">
        <v>182</v>
      </c>
    </row>
    <row r="319" spans="1:6" x14ac:dyDescent="0.3">
      <c r="A319">
        <v>100641</v>
      </c>
      <c r="B319" t="s">
        <v>204</v>
      </c>
      <c r="C319" t="s">
        <v>700</v>
      </c>
      <c r="D319" s="55">
        <v>5557368734</v>
      </c>
      <c r="E319" t="s">
        <v>203</v>
      </c>
      <c r="F319" t="s">
        <v>155</v>
      </c>
    </row>
    <row r="320" spans="1:6" x14ac:dyDescent="0.3">
      <c r="A320">
        <v>100682</v>
      </c>
      <c r="B320" t="s">
        <v>383</v>
      </c>
      <c r="C320" t="s">
        <v>795</v>
      </c>
      <c r="D320" s="55">
        <v>5557375153</v>
      </c>
      <c r="E320" t="s">
        <v>236</v>
      </c>
      <c r="F320" t="s">
        <v>182</v>
      </c>
    </row>
    <row r="321" spans="1:6" x14ac:dyDescent="0.3">
      <c r="A321">
        <v>100651</v>
      </c>
      <c r="B321" t="s">
        <v>209</v>
      </c>
      <c r="C321" t="s">
        <v>720</v>
      </c>
      <c r="D321" s="55">
        <v>5557436746</v>
      </c>
      <c r="E321" t="s">
        <v>170</v>
      </c>
      <c r="F321" t="s">
        <v>155</v>
      </c>
    </row>
    <row r="322" spans="1:6" x14ac:dyDescent="0.3">
      <c r="A322">
        <v>100598</v>
      </c>
      <c r="B322" t="s">
        <v>439</v>
      </c>
      <c r="C322" t="s">
        <v>599</v>
      </c>
      <c r="D322" s="55">
        <v>5557440914</v>
      </c>
      <c r="E322" t="s">
        <v>265</v>
      </c>
      <c r="F322" t="s">
        <v>182</v>
      </c>
    </row>
    <row r="323" spans="1:6" x14ac:dyDescent="0.3">
      <c r="A323">
        <v>100621</v>
      </c>
      <c r="B323" t="s">
        <v>239</v>
      </c>
      <c r="C323" t="s">
        <v>649</v>
      </c>
      <c r="D323" s="55">
        <v>5557446328</v>
      </c>
      <c r="E323" t="s">
        <v>207</v>
      </c>
      <c r="F323" t="s">
        <v>155</v>
      </c>
    </row>
    <row r="324" spans="1:6" x14ac:dyDescent="0.3">
      <c r="A324">
        <v>100585</v>
      </c>
      <c r="B324" t="s">
        <v>251</v>
      </c>
      <c r="C324" t="s">
        <v>570</v>
      </c>
      <c r="D324" s="55">
        <v>5557467350</v>
      </c>
      <c r="E324" t="s">
        <v>249</v>
      </c>
      <c r="F324" t="s">
        <v>182</v>
      </c>
    </row>
    <row r="325" spans="1:6" x14ac:dyDescent="0.3">
      <c r="A325">
        <v>100681</v>
      </c>
      <c r="B325" t="s">
        <v>289</v>
      </c>
      <c r="C325" t="s">
        <v>793</v>
      </c>
      <c r="D325" s="55">
        <v>5557480546</v>
      </c>
      <c r="E325" t="s">
        <v>260</v>
      </c>
      <c r="F325" t="s">
        <v>259</v>
      </c>
    </row>
    <row r="326" spans="1:6" x14ac:dyDescent="0.3">
      <c r="A326">
        <v>100640</v>
      </c>
      <c r="B326" t="s">
        <v>396</v>
      </c>
      <c r="C326" t="s">
        <v>696</v>
      </c>
      <c r="D326" s="55">
        <v>5557480863</v>
      </c>
      <c r="E326" t="s">
        <v>203</v>
      </c>
      <c r="F326" t="s">
        <v>155</v>
      </c>
    </row>
    <row r="327" spans="1:6" x14ac:dyDescent="0.3">
      <c r="A327">
        <v>100760</v>
      </c>
      <c r="B327" t="s">
        <v>449</v>
      </c>
      <c r="C327" t="s">
        <v>985</v>
      </c>
      <c r="D327" s="55">
        <v>5557513927</v>
      </c>
      <c r="E327" t="s">
        <v>198</v>
      </c>
      <c r="F327" t="s">
        <v>155</v>
      </c>
    </row>
    <row r="328" spans="1:6" x14ac:dyDescent="0.3">
      <c r="A328">
        <v>100625</v>
      </c>
      <c r="B328" t="s">
        <v>333</v>
      </c>
      <c r="C328" t="s">
        <v>659</v>
      </c>
      <c r="D328" s="55">
        <v>5557564502</v>
      </c>
      <c r="E328" t="s">
        <v>183</v>
      </c>
      <c r="F328" t="s">
        <v>182</v>
      </c>
    </row>
    <row r="329" spans="1:6" x14ac:dyDescent="0.3">
      <c r="A329">
        <v>100697</v>
      </c>
      <c r="B329" t="s">
        <v>297</v>
      </c>
      <c r="C329" t="s">
        <v>828</v>
      </c>
      <c r="D329" s="55">
        <v>5557579700</v>
      </c>
      <c r="E329" t="s">
        <v>233</v>
      </c>
      <c r="F329" t="s">
        <v>155</v>
      </c>
    </row>
    <row r="330" spans="1:6" x14ac:dyDescent="0.3">
      <c r="A330">
        <v>100657</v>
      </c>
      <c r="B330" t="s">
        <v>222</v>
      </c>
      <c r="C330" t="s">
        <v>738</v>
      </c>
      <c r="D330" s="55">
        <v>5557585650</v>
      </c>
      <c r="E330" t="s">
        <v>221</v>
      </c>
      <c r="F330" t="s">
        <v>155</v>
      </c>
    </row>
    <row r="331" spans="1:6" x14ac:dyDescent="0.3">
      <c r="A331">
        <v>100593</v>
      </c>
      <c r="B331" t="s">
        <v>256</v>
      </c>
      <c r="C331" t="s">
        <v>588</v>
      </c>
      <c r="D331" s="55">
        <v>5557591883</v>
      </c>
      <c r="E331" t="s">
        <v>193</v>
      </c>
      <c r="F331" t="s">
        <v>155</v>
      </c>
    </row>
    <row r="332" spans="1:6" x14ac:dyDescent="0.3">
      <c r="A332">
        <v>100697</v>
      </c>
      <c r="B332" t="s">
        <v>297</v>
      </c>
      <c r="C332" t="s">
        <v>829</v>
      </c>
      <c r="D332" s="55">
        <v>5557601347</v>
      </c>
      <c r="E332" t="s">
        <v>233</v>
      </c>
      <c r="F332" t="s">
        <v>155</v>
      </c>
    </row>
    <row r="333" spans="1:6" x14ac:dyDescent="0.3">
      <c r="A333">
        <v>100598</v>
      </c>
      <c r="B333" t="s">
        <v>439</v>
      </c>
      <c r="C333" t="s">
        <v>600</v>
      </c>
      <c r="D333" s="55">
        <v>5557608189</v>
      </c>
      <c r="E333" t="s">
        <v>265</v>
      </c>
      <c r="F333" t="s">
        <v>182</v>
      </c>
    </row>
    <row r="334" spans="1:6" x14ac:dyDescent="0.3">
      <c r="A334">
        <v>100758</v>
      </c>
      <c r="B334" t="s">
        <v>268</v>
      </c>
      <c r="C334" t="s">
        <v>980</v>
      </c>
      <c r="D334" s="55">
        <v>5557628601</v>
      </c>
      <c r="E334" t="s">
        <v>195</v>
      </c>
      <c r="F334" t="s">
        <v>155</v>
      </c>
    </row>
    <row r="335" spans="1:6" x14ac:dyDescent="0.3">
      <c r="A335">
        <v>100649</v>
      </c>
      <c r="B335" t="s">
        <v>446</v>
      </c>
      <c r="C335" t="s">
        <v>717</v>
      </c>
      <c r="D335" s="55">
        <v>5557632365</v>
      </c>
      <c r="E335" t="s">
        <v>178</v>
      </c>
      <c r="F335" t="s">
        <v>155</v>
      </c>
    </row>
    <row r="336" spans="1:6" x14ac:dyDescent="0.3">
      <c r="A336">
        <v>100595</v>
      </c>
      <c r="B336" t="s">
        <v>315</v>
      </c>
      <c r="C336" t="s">
        <v>590</v>
      </c>
      <c r="D336" s="55">
        <v>5557681410</v>
      </c>
      <c r="E336" t="s">
        <v>313</v>
      </c>
      <c r="F336" t="s">
        <v>312</v>
      </c>
    </row>
    <row r="337" spans="1:6" x14ac:dyDescent="0.3">
      <c r="A337">
        <v>100605</v>
      </c>
      <c r="B337" t="s">
        <v>356</v>
      </c>
      <c r="C337" t="s">
        <v>617</v>
      </c>
      <c r="D337" s="55">
        <v>5557702794</v>
      </c>
      <c r="E337" t="s">
        <v>240</v>
      </c>
      <c r="F337" t="s">
        <v>155</v>
      </c>
    </row>
    <row r="338" spans="1:6" x14ac:dyDescent="0.3">
      <c r="A338">
        <v>100705</v>
      </c>
      <c r="B338" t="s">
        <v>336</v>
      </c>
      <c r="C338" t="s">
        <v>853</v>
      </c>
      <c r="D338" s="55">
        <v>5557704306</v>
      </c>
      <c r="E338" t="s">
        <v>217</v>
      </c>
      <c r="F338" t="s">
        <v>182</v>
      </c>
    </row>
    <row r="339" spans="1:6" x14ac:dyDescent="0.3">
      <c r="A339">
        <v>100741</v>
      </c>
      <c r="B339" t="s">
        <v>316</v>
      </c>
      <c r="C339" t="s">
        <v>945</v>
      </c>
      <c r="D339" s="55">
        <v>5557726137</v>
      </c>
      <c r="E339" t="s">
        <v>166</v>
      </c>
      <c r="F339" t="s">
        <v>155</v>
      </c>
    </row>
    <row r="340" spans="1:6" x14ac:dyDescent="0.3">
      <c r="A340">
        <v>100747</v>
      </c>
      <c r="B340" t="s">
        <v>386</v>
      </c>
      <c r="C340" t="s">
        <v>957</v>
      </c>
      <c r="D340" s="55">
        <v>5557746285</v>
      </c>
      <c r="E340" t="s">
        <v>166</v>
      </c>
      <c r="F340" t="s">
        <v>155</v>
      </c>
    </row>
    <row r="341" spans="1:6" x14ac:dyDescent="0.3">
      <c r="A341">
        <v>100654</v>
      </c>
      <c r="B341" t="s">
        <v>332</v>
      </c>
      <c r="C341" t="s">
        <v>728</v>
      </c>
      <c r="D341" s="55">
        <v>5557753898</v>
      </c>
      <c r="E341" t="s">
        <v>249</v>
      </c>
      <c r="F341" t="s">
        <v>182</v>
      </c>
    </row>
    <row r="342" spans="1:6" x14ac:dyDescent="0.3">
      <c r="A342">
        <v>100686</v>
      </c>
      <c r="B342" t="s">
        <v>231</v>
      </c>
      <c r="C342" t="s">
        <v>803</v>
      </c>
      <c r="D342" s="55">
        <v>5557758276</v>
      </c>
      <c r="E342" t="s">
        <v>156</v>
      </c>
      <c r="F342" t="s">
        <v>155</v>
      </c>
    </row>
    <row r="343" spans="1:6" x14ac:dyDescent="0.3">
      <c r="A343">
        <v>100727</v>
      </c>
      <c r="B343" t="s">
        <v>441</v>
      </c>
      <c r="C343" t="s">
        <v>906</v>
      </c>
      <c r="D343" s="55">
        <v>5557780189</v>
      </c>
      <c r="E343" t="s">
        <v>221</v>
      </c>
      <c r="F343" t="s">
        <v>155</v>
      </c>
    </row>
    <row r="344" spans="1:6" x14ac:dyDescent="0.3">
      <c r="A344">
        <v>100586</v>
      </c>
      <c r="B344" t="s">
        <v>230</v>
      </c>
      <c r="C344" t="s">
        <v>572</v>
      </c>
      <c r="D344" s="55">
        <v>5557781320</v>
      </c>
      <c r="E344" t="s">
        <v>229</v>
      </c>
      <c r="F344" t="s">
        <v>155</v>
      </c>
    </row>
    <row r="345" spans="1:6" x14ac:dyDescent="0.3">
      <c r="A345">
        <v>100763</v>
      </c>
      <c r="B345" t="s">
        <v>298</v>
      </c>
      <c r="C345" t="s">
        <v>993</v>
      </c>
      <c r="D345" s="55">
        <v>5557802715</v>
      </c>
      <c r="E345" t="s">
        <v>243</v>
      </c>
      <c r="F345" t="s">
        <v>182</v>
      </c>
    </row>
    <row r="346" spans="1:6" x14ac:dyDescent="0.3">
      <c r="A346">
        <v>100718</v>
      </c>
      <c r="B346" t="s">
        <v>179</v>
      </c>
      <c r="C346" t="s">
        <v>886</v>
      </c>
      <c r="D346" s="55">
        <v>5557813499</v>
      </c>
      <c r="E346" t="s">
        <v>178</v>
      </c>
      <c r="F346" t="s">
        <v>155</v>
      </c>
    </row>
    <row r="347" spans="1:6" x14ac:dyDescent="0.3">
      <c r="A347">
        <v>100633</v>
      </c>
      <c r="B347" t="s">
        <v>206</v>
      </c>
      <c r="C347" t="s">
        <v>680</v>
      </c>
      <c r="D347" s="55">
        <v>5557859705</v>
      </c>
      <c r="E347" t="s">
        <v>188</v>
      </c>
      <c r="F347" t="s">
        <v>155</v>
      </c>
    </row>
    <row r="348" spans="1:6" x14ac:dyDescent="0.3">
      <c r="A348">
        <v>100732</v>
      </c>
      <c r="B348" t="s">
        <v>300</v>
      </c>
      <c r="C348" t="s">
        <v>919</v>
      </c>
      <c r="D348" s="55">
        <v>5557863998</v>
      </c>
      <c r="E348" t="s">
        <v>195</v>
      </c>
      <c r="F348" t="s">
        <v>155</v>
      </c>
    </row>
    <row r="349" spans="1:6" x14ac:dyDescent="0.3">
      <c r="A349">
        <v>100760</v>
      </c>
      <c r="B349" t="s">
        <v>449</v>
      </c>
      <c r="C349" t="s">
        <v>986</v>
      </c>
      <c r="D349" s="55">
        <v>5557874522</v>
      </c>
      <c r="E349" t="s">
        <v>198</v>
      </c>
      <c r="F349" t="s">
        <v>155</v>
      </c>
    </row>
    <row r="350" spans="1:6" x14ac:dyDescent="0.3">
      <c r="A350">
        <v>100673</v>
      </c>
      <c r="B350" t="s">
        <v>374</v>
      </c>
      <c r="C350" t="s">
        <v>769</v>
      </c>
      <c r="D350" s="55">
        <v>5557913169</v>
      </c>
      <c r="E350" t="s">
        <v>188</v>
      </c>
      <c r="F350" t="s">
        <v>155</v>
      </c>
    </row>
    <row r="351" spans="1:6" x14ac:dyDescent="0.3">
      <c r="A351">
        <v>100664</v>
      </c>
      <c r="B351" t="s">
        <v>420</v>
      </c>
      <c r="C351" t="s">
        <v>752</v>
      </c>
      <c r="D351" s="55">
        <v>5557914872</v>
      </c>
      <c r="E351" t="s">
        <v>211</v>
      </c>
      <c r="F351" t="s">
        <v>210</v>
      </c>
    </row>
    <row r="352" spans="1:6" x14ac:dyDescent="0.3">
      <c r="A352">
        <v>100763</v>
      </c>
      <c r="B352" t="s">
        <v>298</v>
      </c>
      <c r="C352" t="s">
        <v>850</v>
      </c>
      <c r="D352" s="55">
        <v>5557926061</v>
      </c>
      <c r="E352" t="s">
        <v>243</v>
      </c>
      <c r="F352" t="s">
        <v>182</v>
      </c>
    </row>
    <row r="353" spans="1:6" x14ac:dyDescent="0.3">
      <c r="A353">
        <v>100590</v>
      </c>
      <c r="B353" t="s">
        <v>350</v>
      </c>
      <c r="C353" t="s">
        <v>581</v>
      </c>
      <c r="D353" s="55">
        <v>5557930680</v>
      </c>
      <c r="E353" t="s">
        <v>265</v>
      </c>
      <c r="F353" t="s">
        <v>182</v>
      </c>
    </row>
    <row r="354" spans="1:6" x14ac:dyDescent="0.3">
      <c r="A354">
        <v>100736</v>
      </c>
      <c r="B354" t="s">
        <v>288</v>
      </c>
      <c r="C354" t="s">
        <v>932</v>
      </c>
      <c r="D354" s="55">
        <v>5557946785</v>
      </c>
      <c r="E354" t="s">
        <v>217</v>
      </c>
      <c r="F354" t="s">
        <v>182</v>
      </c>
    </row>
    <row r="355" spans="1:6" x14ac:dyDescent="0.3">
      <c r="A355">
        <v>100651</v>
      </c>
      <c r="B355" t="s">
        <v>209</v>
      </c>
      <c r="C355" t="s">
        <v>722</v>
      </c>
      <c r="D355" s="55">
        <v>5557948712</v>
      </c>
      <c r="E355" t="s">
        <v>170</v>
      </c>
      <c r="F355" t="s">
        <v>155</v>
      </c>
    </row>
    <row r="356" spans="1:6" x14ac:dyDescent="0.3">
      <c r="A356">
        <v>100745</v>
      </c>
      <c r="B356" t="s">
        <v>163</v>
      </c>
      <c r="C356" t="s">
        <v>952</v>
      </c>
      <c r="D356" s="55">
        <v>5557953230</v>
      </c>
      <c r="E356" t="s">
        <v>162</v>
      </c>
      <c r="F356" t="s">
        <v>155</v>
      </c>
    </row>
    <row r="357" spans="1:6" x14ac:dyDescent="0.3">
      <c r="A357">
        <v>100702</v>
      </c>
      <c r="B357" t="s">
        <v>284</v>
      </c>
      <c r="C357" t="s">
        <v>843</v>
      </c>
      <c r="D357" s="55">
        <v>5557960015</v>
      </c>
      <c r="E357" t="s">
        <v>166</v>
      </c>
      <c r="F357" t="s">
        <v>155</v>
      </c>
    </row>
    <row r="358" spans="1:6" x14ac:dyDescent="0.3">
      <c r="A358">
        <v>100772</v>
      </c>
      <c r="B358" t="s">
        <v>382</v>
      </c>
      <c r="C358" t="s">
        <v>1017</v>
      </c>
      <c r="D358" s="55">
        <v>5557991370</v>
      </c>
      <c r="E358" t="s">
        <v>265</v>
      </c>
      <c r="F358" t="s">
        <v>182</v>
      </c>
    </row>
    <row r="359" spans="1:6" x14ac:dyDescent="0.3">
      <c r="A359">
        <v>100769</v>
      </c>
      <c r="B359" t="s">
        <v>343</v>
      </c>
      <c r="C359" t="s">
        <v>1005</v>
      </c>
      <c r="D359" s="55">
        <v>5558001230</v>
      </c>
      <c r="E359" t="s">
        <v>198</v>
      </c>
      <c r="F359" t="s">
        <v>155</v>
      </c>
    </row>
    <row r="360" spans="1:6" x14ac:dyDescent="0.3">
      <c r="A360">
        <v>100617</v>
      </c>
      <c r="B360" t="s">
        <v>320</v>
      </c>
      <c r="C360" t="s">
        <v>640</v>
      </c>
      <c r="D360" s="55">
        <v>5558007098</v>
      </c>
      <c r="E360" t="s">
        <v>198</v>
      </c>
      <c r="F360" t="s">
        <v>155</v>
      </c>
    </row>
    <row r="361" spans="1:6" x14ac:dyDescent="0.3">
      <c r="A361">
        <v>100604</v>
      </c>
      <c r="B361" t="s">
        <v>354</v>
      </c>
      <c r="C361" t="s">
        <v>334</v>
      </c>
      <c r="D361" s="55">
        <v>5558055074</v>
      </c>
      <c r="E361" t="s">
        <v>183</v>
      </c>
      <c r="F361" t="s">
        <v>182</v>
      </c>
    </row>
    <row r="362" spans="1:6" x14ac:dyDescent="0.3">
      <c r="A362">
        <v>100665</v>
      </c>
      <c r="B362" t="s">
        <v>282</v>
      </c>
      <c r="C362" t="s">
        <v>753</v>
      </c>
      <c r="D362" s="55">
        <v>5558055182</v>
      </c>
      <c r="E362" t="s">
        <v>195</v>
      </c>
      <c r="F362" t="s">
        <v>155</v>
      </c>
    </row>
    <row r="363" spans="1:6" x14ac:dyDescent="0.3">
      <c r="A363">
        <v>100727</v>
      </c>
      <c r="B363" t="s">
        <v>441</v>
      </c>
      <c r="C363" t="s">
        <v>909</v>
      </c>
      <c r="D363" s="55">
        <v>5558073464</v>
      </c>
      <c r="E363" t="s">
        <v>221</v>
      </c>
      <c r="F363" t="s">
        <v>155</v>
      </c>
    </row>
    <row r="364" spans="1:6" x14ac:dyDescent="0.3">
      <c r="A364">
        <v>100672</v>
      </c>
      <c r="B364" t="s">
        <v>226</v>
      </c>
      <c r="C364" t="s">
        <v>767</v>
      </c>
      <c r="D364" s="55">
        <v>5558088635</v>
      </c>
      <c r="E364" t="s">
        <v>203</v>
      </c>
      <c r="F364" t="s">
        <v>155</v>
      </c>
    </row>
    <row r="365" spans="1:6" x14ac:dyDescent="0.3">
      <c r="A365">
        <v>100755</v>
      </c>
      <c r="B365" t="s">
        <v>428</v>
      </c>
      <c r="C365" t="s">
        <v>972</v>
      </c>
      <c r="D365" s="55">
        <v>5558094969</v>
      </c>
      <c r="E365" t="s">
        <v>229</v>
      </c>
      <c r="F365" t="s">
        <v>155</v>
      </c>
    </row>
    <row r="366" spans="1:6" x14ac:dyDescent="0.3">
      <c r="A366">
        <v>100738</v>
      </c>
      <c r="B366" t="s">
        <v>397</v>
      </c>
      <c r="C366" t="s">
        <v>941</v>
      </c>
      <c r="D366" s="55">
        <v>5558100500</v>
      </c>
      <c r="E366" t="s">
        <v>308</v>
      </c>
      <c r="F366" t="s">
        <v>155</v>
      </c>
    </row>
    <row r="367" spans="1:6" x14ac:dyDescent="0.3">
      <c r="A367">
        <v>100627</v>
      </c>
      <c r="B367" t="s">
        <v>318</v>
      </c>
      <c r="C367" t="s">
        <v>667</v>
      </c>
      <c r="D367" s="55">
        <v>5558113503</v>
      </c>
      <c r="E367" t="s">
        <v>156</v>
      </c>
      <c r="F367" t="s">
        <v>155</v>
      </c>
    </row>
    <row r="368" spans="1:6" x14ac:dyDescent="0.3">
      <c r="A368">
        <v>100751</v>
      </c>
      <c r="B368" t="s">
        <v>355</v>
      </c>
      <c r="C368" t="s">
        <v>963</v>
      </c>
      <c r="D368" s="55">
        <v>5558119738</v>
      </c>
      <c r="E368" t="s">
        <v>203</v>
      </c>
      <c r="F368" t="s">
        <v>155</v>
      </c>
    </row>
    <row r="369" spans="1:6" x14ac:dyDescent="0.3">
      <c r="A369">
        <v>100667</v>
      </c>
      <c r="B369" t="s">
        <v>348</v>
      </c>
      <c r="C369" t="s">
        <v>758</v>
      </c>
      <c r="D369" s="55">
        <v>5558132287</v>
      </c>
      <c r="E369" t="s">
        <v>347</v>
      </c>
      <c r="F369" t="s">
        <v>182</v>
      </c>
    </row>
    <row r="370" spans="1:6" x14ac:dyDescent="0.3">
      <c r="A370">
        <v>100654</v>
      </c>
      <c r="B370" t="s">
        <v>332</v>
      </c>
      <c r="C370" t="s">
        <v>729</v>
      </c>
      <c r="D370" s="55">
        <v>5558141548</v>
      </c>
      <c r="E370" t="s">
        <v>249</v>
      </c>
      <c r="F370" t="s">
        <v>182</v>
      </c>
    </row>
    <row r="371" spans="1:6" x14ac:dyDescent="0.3">
      <c r="A371">
        <v>100757</v>
      </c>
      <c r="B371" t="s">
        <v>275</v>
      </c>
      <c r="C371" t="s">
        <v>978</v>
      </c>
      <c r="D371" s="55">
        <v>5558144689</v>
      </c>
      <c r="E371" t="s">
        <v>249</v>
      </c>
      <c r="F371" t="s">
        <v>182</v>
      </c>
    </row>
    <row r="372" spans="1:6" x14ac:dyDescent="0.3">
      <c r="A372">
        <v>100647</v>
      </c>
      <c r="B372" t="s">
        <v>176</v>
      </c>
      <c r="C372" t="s">
        <v>713</v>
      </c>
      <c r="D372" s="55">
        <v>5558150593</v>
      </c>
      <c r="E372" t="s">
        <v>170</v>
      </c>
      <c r="F372" t="s">
        <v>155</v>
      </c>
    </row>
    <row r="373" spans="1:6" x14ac:dyDescent="0.3">
      <c r="A373">
        <v>100699</v>
      </c>
      <c r="B373" t="s">
        <v>247</v>
      </c>
      <c r="C373" t="s">
        <v>835</v>
      </c>
      <c r="D373" s="55">
        <v>5558152290</v>
      </c>
      <c r="E373" t="s">
        <v>243</v>
      </c>
      <c r="F373" t="s">
        <v>182</v>
      </c>
    </row>
    <row r="374" spans="1:6" x14ac:dyDescent="0.3">
      <c r="A374">
        <v>100746</v>
      </c>
      <c r="B374" t="s">
        <v>319</v>
      </c>
      <c r="C374" t="s">
        <v>953</v>
      </c>
      <c r="D374" s="55">
        <v>5558179165</v>
      </c>
      <c r="E374" t="s">
        <v>308</v>
      </c>
      <c r="F374" t="s">
        <v>155</v>
      </c>
    </row>
    <row r="375" spans="1:6" x14ac:dyDescent="0.3">
      <c r="A375">
        <v>100687</v>
      </c>
      <c r="B375" t="s">
        <v>287</v>
      </c>
      <c r="C375" t="s">
        <v>806</v>
      </c>
      <c r="D375" s="55">
        <v>5558208465</v>
      </c>
      <c r="E375" t="s">
        <v>233</v>
      </c>
      <c r="F375" t="s">
        <v>155</v>
      </c>
    </row>
    <row r="376" spans="1:6" x14ac:dyDescent="0.3">
      <c r="A376">
        <v>100708</v>
      </c>
      <c r="B376" t="s">
        <v>257</v>
      </c>
      <c r="C376" t="s">
        <v>857</v>
      </c>
      <c r="D376" s="55">
        <v>5558229486</v>
      </c>
      <c r="E376" t="s">
        <v>249</v>
      </c>
      <c r="F376" t="s">
        <v>182</v>
      </c>
    </row>
    <row r="377" spans="1:6" x14ac:dyDescent="0.3">
      <c r="A377">
        <v>100610</v>
      </c>
      <c r="B377" t="s">
        <v>395</v>
      </c>
      <c r="C377" t="s">
        <v>625</v>
      </c>
      <c r="D377" s="55">
        <v>5558233095</v>
      </c>
      <c r="E377" t="s">
        <v>236</v>
      </c>
      <c r="F377" t="s">
        <v>182</v>
      </c>
    </row>
    <row r="378" spans="1:6" x14ac:dyDescent="0.3">
      <c r="A378">
        <v>100584</v>
      </c>
      <c r="B378" t="s">
        <v>401</v>
      </c>
      <c r="C378" t="s">
        <v>566</v>
      </c>
      <c r="D378" s="55">
        <v>5558236289</v>
      </c>
      <c r="E378" t="s">
        <v>219</v>
      </c>
      <c r="F378" t="s">
        <v>155</v>
      </c>
    </row>
    <row r="379" spans="1:6" x14ac:dyDescent="0.3">
      <c r="A379">
        <v>100754</v>
      </c>
      <c r="B379" t="s">
        <v>199</v>
      </c>
      <c r="C379" t="s">
        <v>968</v>
      </c>
      <c r="D379" s="55">
        <v>5558239070</v>
      </c>
      <c r="E379" t="s">
        <v>198</v>
      </c>
      <c r="F379" t="s">
        <v>155</v>
      </c>
    </row>
    <row r="380" spans="1:6" x14ac:dyDescent="0.3">
      <c r="A380">
        <v>100756</v>
      </c>
      <c r="B380" t="s">
        <v>270</v>
      </c>
      <c r="C380" t="s">
        <v>975</v>
      </c>
      <c r="D380" s="55">
        <v>5558266717</v>
      </c>
      <c r="E380" t="s">
        <v>269</v>
      </c>
      <c r="F380" t="s">
        <v>182</v>
      </c>
    </row>
    <row r="381" spans="1:6" x14ac:dyDescent="0.3">
      <c r="A381">
        <v>100643</v>
      </c>
      <c r="B381" t="s">
        <v>321</v>
      </c>
      <c r="C381" t="s">
        <v>703</v>
      </c>
      <c r="D381" s="55">
        <v>5558278225</v>
      </c>
      <c r="E381" t="s">
        <v>265</v>
      </c>
      <c r="F381" t="s">
        <v>182</v>
      </c>
    </row>
    <row r="382" spans="1:6" x14ac:dyDescent="0.3">
      <c r="A382">
        <v>100691</v>
      </c>
      <c r="B382" t="s">
        <v>392</v>
      </c>
      <c r="C382" t="s">
        <v>812</v>
      </c>
      <c r="D382" s="55">
        <v>5558305308</v>
      </c>
      <c r="E382" t="s">
        <v>193</v>
      </c>
      <c r="F382" t="s">
        <v>155</v>
      </c>
    </row>
    <row r="383" spans="1:6" x14ac:dyDescent="0.3">
      <c r="A383">
        <v>100707</v>
      </c>
      <c r="B383" t="s">
        <v>285</v>
      </c>
      <c r="C383" t="s">
        <v>856</v>
      </c>
      <c r="D383" s="55">
        <v>5558319671</v>
      </c>
      <c r="E383" t="s">
        <v>229</v>
      </c>
      <c r="F383" t="s">
        <v>155</v>
      </c>
    </row>
    <row r="384" spans="1:6" x14ac:dyDescent="0.3">
      <c r="A384">
        <v>100659</v>
      </c>
      <c r="B384" t="s">
        <v>372</v>
      </c>
      <c r="C384" t="s">
        <v>743</v>
      </c>
      <c r="D384" s="55">
        <v>5558339004</v>
      </c>
      <c r="E384" t="s">
        <v>214</v>
      </c>
      <c r="F384" t="s">
        <v>155</v>
      </c>
    </row>
    <row r="385" spans="1:6" x14ac:dyDescent="0.3">
      <c r="A385">
        <v>100726</v>
      </c>
      <c r="B385" t="s">
        <v>377</v>
      </c>
      <c r="C385" t="s">
        <v>904</v>
      </c>
      <c r="D385" s="55">
        <v>5558350289</v>
      </c>
      <c r="E385" t="s">
        <v>183</v>
      </c>
      <c r="F385" t="s">
        <v>182</v>
      </c>
    </row>
    <row r="386" spans="1:6" x14ac:dyDescent="0.3">
      <c r="A386">
        <v>100645</v>
      </c>
      <c r="B386" t="s">
        <v>369</v>
      </c>
      <c r="C386" t="s">
        <v>707</v>
      </c>
      <c r="D386" s="55">
        <v>5558393912</v>
      </c>
      <c r="E386" t="s">
        <v>249</v>
      </c>
      <c r="F386" t="s">
        <v>182</v>
      </c>
    </row>
    <row r="387" spans="1:6" x14ac:dyDescent="0.3">
      <c r="A387">
        <v>100719</v>
      </c>
      <c r="B387" t="s">
        <v>375</v>
      </c>
      <c r="C387" t="s">
        <v>888</v>
      </c>
      <c r="D387" s="55">
        <v>5558435520</v>
      </c>
      <c r="E387" t="s">
        <v>308</v>
      </c>
      <c r="F387" t="s">
        <v>155</v>
      </c>
    </row>
    <row r="388" spans="1:6" x14ac:dyDescent="0.3">
      <c r="A388">
        <v>100666</v>
      </c>
      <c r="B388" t="s">
        <v>242</v>
      </c>
      <c r="C388" t="s">
        <v>756</v>
      </c>
      <c r="D388" s="55">
        <v>5558443187</v>
      </c>
      <c r="E388" t="s">
        <v>173</v>
      </c>
      <c r="F388" t="s">
        <v>155</v>
      </c>
    </row>
    <row r="389" spans="1:6" x14ac:dyDescent="0.3">
      <c r="A389">
        <v>100680</v>
      </c>
      <c r="B389" t="s">
        <v>410</v>
      </c>
      <c r="C389" t="s">
        <v>788</v>
      </c>
      <c r="D389" s="55">
        <v>5558461164</v>
      </c>
      <c r="E389" t="s">
        <v>269</v>
      </c>
      <c r="F389" t="s">
        <v>182</v>
      </c>
    </row>
    <row r="390" spans="1:6" x14ac:dyDescent="0.3">
      <c r="A390">
        <v>100731</v>
      </c>
      <c r="B390" t="s">
        <v>303</v>
      </c>
      <c r="C390" t="s">
        <v>918</v>
      </c>
      <c r="D390" s="55">
        <v>5558467977</v>
      </c>
      <c r="E390" t="s">
        <v>166</v>
      </c>
      <c r="F390" t="s">
        <v>155</v>
      </c>
    </row>
    <row r="391" spans="1:6" x14ac:dyDescent="0.3">
      <c r="A391">
        <v>100721</v>
      </c>
      <c r="B391" t="s">
        <v>388</v>
      </c>
      <c r="C391" t="s">
        <v>894</v>
      </c>
      <c r="D391" s="55">
        <v>5558481556</v>
      </c>
      <c r="E391" t="s">
        <v>185</v>
      </c>
      <c r="F391" t="s">
        <v>182</v>
      </c>
    </row>
    <row r="392" spans="1:6" x14ac:dyDescent="0.3">
      <c r="A392">
        <v>100652</v>
      </c>
      <c r="B392" t="s">
        <v>432</v>
      </c>
      <c r="C392" t="s">
        <v>725</v>
      </c>
      <c r="D392" s="55">
        <v>5558493944</v>
      </c>
      <c r="E392" t="s">
        <v>271</v>
      </c>
      <c r="F392" t="s">
        <v>182</v>
      </c>
    </row>
    <row r="393" spans="1:6" x14ac:dyDescent="0.3">
      <c r="A393">
        <v>100613</v>
      </c>
      <c r="B393" t="s">
        <v>225</v>
      </c>
      <c r="C393" t="s">
        <v>633</v>
      </c>
      <c r="D393" s="55">
        <v>5558495466</v>
      </c>
      <c r="E393" t="s">
        <v>224</v>
      </c>
      <c r="F393" t="s">
        <v>223</v>
      </c>
    </row>
    <row r="394" spans="1:6" x14ac:dyDescent="0.3">
      <c r="A394">
        <v>100629</v>
      </c>
      <c r="B394" t="s">
        <v>227</v>
      </c>
      <c r="C394" t="s">
        <v>671</v>
      </c>
      <c r="D394" s="55">
        <v>5558495578</v>
      </c>
      <c r="E394" t="s">
        <v>195</v>
      </c>
      <c r="F394" t="s">
        <v>155</v>
      </c>
    </row>
    <row r="395" spans="1:6" x14ac:dyDescent="0.3">
      <c r="A395">
        <v>100745</v>
      </c>
      <c r="B395" t="s">
        <v>163</v>
      </c>
      <c r="C395" t="s">
        <v>950</v>
      </c>
      <c r="D395" s="55">
        <v>5558505536</v>
      </c>
      <c r="E395" t="s">
        <v>162</v>
      </c>
      <c r="F395" t="s">
        <v>155</v>
      </c>
    </row>
    <row r="396" spans="1:6" x14ac:dyDescent="0.3">
      <c r="A396">
        <v>100770</v>
      </c>
      <c r="B396" t="s">
        <v>302</v>
      </c>
      <c r="C396" t="s">
        <v>1010</v>
      </c>
      <c r="D396" s="55">
        <v>5558521970</v>
      </c>
      <c r="E396" t="s">
        <v>195</v>
      </c>
      <c r="F396" t="s">
        <v>155</v>
      </c>
    </row>
    <row r="397" spans="1:6" x14ac:dyDescent="0.3">
      <c r="A397">
        <v>100661</v>
      </c>
      <c r="B397" t="s">
        <v>254</v>
      </c>
      <c r="C397" t="s">
        <v>748</v>
      </c>
      <c r="D397" s="55">
        <v>5558526749</v>
      </c>
      <c r="E397" t="s">
        <v>183</v>
      </c>
      <c r="F397" t="s">
        <v>182</v>
      </c>
    </row>
    <row r="398" spans="1:6" x14ac:dyDescent="0.3">
      <c r="A398">
        <v>100680</v>
      </c>
      <c r="B398" t="s">
        <v>410</v>
      </c>
      <c r="C398" t="s">
        <v>787</v>
      </c>
      <c r="D398" s="55">
        <v>5558529208</v>
      </c>
      <c r="E398" t="s">
        <v>269</v>
      </c>
      <c r="F398" t="s">
        <v>182</v>
      </c>
    </row>
    <row r="399" spans="1:6" x14ac:dyDescent="0.3">
      <c r="A399">
        <v>100694</v>
      </c>
      <c r="B399" t="s">
        <v>280</v>
      </c>
      <c r="C399" t="s">
        <v>823</v>
      </c>
      <c r="D399" s="55">
        <v>5558532876</v>
      </c>
      <c r="E399" t="s">
        <v>156</v>
      </c>
      <c r="F399" t="s">
        <v>155</v>
      </c>
    </row>
    <row r="400" spans="1:6" x14ac:dyDescent="0.3">
      <c r="A400">
        <v>100663</v>
      </c>
      <c r="B400" t="s">
        <v>431</v>
      </c>
      <c r="C400" t="s">
        <v>751</v>
      </c>
      <c r="D400" s="55">
        <v>5558560655</v>
      </c>
      <c r="E400" t="s">
        <v>271</v>
      </c>
      <c r="F400" t="s">
        <v>182</v>
      </c>
    </row>
    <row r="401" spans="1:6" x14ac:dyDescent="0.3">
      <c r="A401">
        <v>100621</v>
      </c>
      <c r="B401" t="s">
        <v>239</v>
      </c>
      <c r="C401" t="s">
        <v>648</v>
      </c>
      <c r="D401" s="55">
        <v>5558560878</v>
      </c>
      <c r="E401" t="s">
        <v>207</v>
      </c>
      <c r="F401" t="s">
        <v>155</v>
      </c>
    </row>
    <row r="402" spans="1:6" x14ac:dyDescent="0.3">
      <c r="A402">
        <v>100714</v>
      </c>
      <c r="B402" t="s">
        <v>373</v>
      </c>
      <c r="C402" t="s">
        <v>872</v>
      </c>
      <c r="D402" s="55">
        <v>5558601611</v>
      </c>
      <c r="E402" t="s">
        <v>221</v>
      </c>
      <c r="F402" t="s">
        <v>155</v>
      </c>
    </row>
    <row r="403" spans="1:6" x14ac:dyDescent="0.3">
      <c r="A403">
        <v>100750</v>
      </c>
      <c r="B403" t="s">
        <v>335</v>
      </c>
      <c r="C403" t="s">
        <v>961</v>
      </c>
      <c r="D403" s="55">
        <v>5558629673</v>
      </c>
      <c r="E403" t="s">
        <v>162</v>
      </c>
      <c r="F403" t="s">
        <v>155</v>
      </c>
    </row>
    <row r="404" spans="1:6" x14ac:dyDescent="0.3">
      <c r="A404">
        <v>100774</v>
      </c>
      <c r="B404" t="s">
        <v>399</v>
      </c>
      <c r="C404" t="s">
        <v>579</v>
      </c>
      <c r="D404" s="55">
        <v>5558641001</v>
      </c>
      <c r="E404" t="s">
        <v>219</v>
      </c>
      <c r="F404" t="s">
        <v>155</v>
      </c>
    </row>
    <row r="405" spans="1:6" x14ac:dyDescent="0.3">
      <c r="A405">
        <v>100630</v>
      </c>
      <c r="B405" t="s">
        <v>427</v>
      </c>
      <c r="C405" t="s">
        <v>674</v>
      </c>
      <c r="D405" s="55">
        <v>5558660199</v>
      </c>
      <c r="E405" t="s">
        <v>236</v>
      </c>
      <c r="F405" t="s">
        <v>182</v>
      </c>
    </row>
    <row r="406" spans="1:6" x14ac:dyDescent="0.3">
      <c r="A406">
        <v>100716</v>
      </c>
      <c r="B406" t="s">
        <v>171</v>
      </c>
      <c r="C406" t="s">
        <v>881</v>
      </c>
      <c r="D406" s="55">
        <v>5558665393</v>
      </c>
      <c r="E406" t="s">
        <v>170</v>
      </c>
      <c r="F406" t="s">
        <v>155</v>
      </c>
    </row>
    <row r="407" spans="1:6" x14ac:dyDescent="0.3">
      <c r="A407">
        <v>100635</v>
      </c>
      <c r="B407" t="s">
        <v>196</v>
      </c>
      <c r="C407" t="s">
        <v>686</v>
      </c>
      <c r="D407" s="55">
        <v>5558677929</v>
      </c>
      <c r="E407" t="s">
        <v>195</v>
      </c>
      <c r="F407" t="s">
        <v>155</v>
      </c>
    </row>
    <row r="408" spans="1:6" x14ac:dyDescent="0.3">
      <c r="A408">
        <v>100670</v>
      </c>
      <c r="B408" t="s">
        <v>329</v>
      </c>
      <c r="C408" t="s">
        <v>762</v>
      </c>
      <c r="D408" s="55">
        <v>5558682651</v>
      </c>
      <c r="E408" t="s">
        <v>203</v>
      </c>
      <c r="F408" t="s">
        <v>155</v>
      </c>
    </row>
    <row r="409" spans="1:6" x14ac:dyDescent="0.3">
      <c r="A409">
        <v>100677</v>
      </c>
      <c r="B409" t="s">
        <v>246</v>
      </c>
      <c r="C409" t="s">
        <v>780</v>
      </c>
      <c r="D409" s="55">
        <v>5558725539</v>
      </c>
      <c r="E409" t="s">
        <v>198</v>
      </c>
      <c r="F409" t="s">
        <v>155</v>
      </c>
    </row>
    <row r="410" spans="1:6" x14ac:dyDescent="0.3">
      <c r="A410">
        <v>100736</v>
      </c>
      <c r="B410" t="s">
        <v>288</v>
      </c>
      <c r="C410" t="s">
        <v>931</v>
      </c>
      <c r="D410" s="55">
        <v>5558735534</v>
      </c>
      <c r="E410" t="s">
        <v>217</v>
      </c>
      <c r="F410" t="s">
        <v>182</v>
      </c>
    </row>
    <row r="411" spans="1:6" x14ac:dyDescent="0.3">
      <c r="A411">
        <v>100701</v>
      </c>
      <c r="B411" t="s">
        <v>434</v>
      </c>
      <c r="C411" t="s">
        <v>839</v>
      </c>
      <c r="D411" s="55">
        <v>5558763455</v>
      </c>
      <c r="E411" t="s">
        <v>219</v>
      </c>
      <c r="F411" t="s">
        <v>155</v>
      </c>
    </row>
    <row r="412" spans="1:6" x14ac:dyDescent="0.3">
      <c r="A412">
        <v>100716</v>
      </c>
      <c r="B412" t="s">
        <v>171</v>
      </c>
      <c r="C412" t="s">
        <v>878</v>
      </c>
      <c r="D412" s="55">
        <v>5558790297</v>
      </c>
      <c r="E412" t="s">
        <v>170</v>
      </c>
      <c r="F412" t="s">
        <v>155</v>
      </c>
    </row>
    <row r="413" spans="1:6" x14ac:dyDescent="0.3">
      <c r="A413">
        <v>100731</v>
      </c>
      <c r="B413" t="s">
        <v>303</v>
      </c>
      <c r="C413" t="s">
        <v>917</v>
      </c>
      <c r="D413" s="55">
        <v>5558813566</v>
      </c>
      <c r="E413" t="s">
        <v>166</v>
      </c>
      <c r="F413" t="s">
        <v>155</v>
      </c>
    </row>
    <row r="414" spans="1:6" x14ac:dyDescent="0.3">
      <c r="A414">
        <v>100590</v>
      </c>
      <c r="B414" t="s">
        <v>350</v>
      </c>
      <c r="C414" t="s">
        <v>582</v>
      </c>
      <c r="D414" s="55">
        <v>5558838594</v>
      </c>
      <c r="E414" t="s">
        <v>265</v>
      </c>
      <c r="F414" t="s">
        <v>182</v>
      </c>
    </row>
    <row r="415" spans="1:6" x14ac:dyDescent="0.3">
      <c r="A415">
        <v>100660</v>
      </c>
      <c r="B415" t="s">
        <v>424</v>
      </c>
      <c r="C415" t="s">
        <v>745</v>
      </c>
      <c r="D415" s="55">
        <v>5558840961</v>
      </c>
      <c r="E415" t="s">
        <v>173</v>
      </c>
      <c r="F415" t="s">
        <v>155</v>
      </c>
    </row>
    <row r="416" spans="1:6" x14ac:dyDescent="0.3">
      <c r="A416">
        <v>100667</v>
      </c>
      <c r="B416" t="s">
        <v>348</v>
      </c>
      <c r="C416" t="s">
        <v>757</v>
      </c>
      <c r="D416" s="55">
        <v>5558865500</v>
      </c>
      <c r="E416" t="s">
        <v>347</v>
      </c>
      <c r="F416" t="s">
        <v>182</v>
      </c>
    </row>
    <row r="417" spans="1:6" x14ac:dyDescent="0.3">
      <c r="A417">
        <v>100709</v>
      </c>
      <c r="B417" t="s">
        <v>309</v>
      </c>
      <c r="C417" t="s">
        <v>860</v>
      </c>
      <c r="D417" s="55">
        <v>5558866763</v>
      </c>
      <c r="E417" t="s">
        <v>308</v>
      </c>
      <c r="F417" t="s">
        <v>155</v>
      </c>
    </row>
    <row r="418" spans="1:6" x14ac:dyDescent="0.3">
      <c r="A418">
        <v>100729</v>
      </c>
      <c r="B418" t="s">
        <v>258</v>
      </c>
      <c r="C418" t="s">
        <v>912</v>
      </c>
      <c r="D418" s="55">
        <v>5558900509</v>
      </c>
      <c r="E418" t="s">
        <v>236</v>
      </c>
      <c r="F418" t="s">
        <v>182</v>
      </c>
    </row>
    <row r="419" spans="1:6" x14ac:dyDescent="0.3">
      <c r="A419">
        <v>100648</v>
      </c>
      <c r="B419" t="s">
        <v>440</v>
      </c>
      <c r="C419" t="s">
        <v>715</v>
      </c>
      <c r="D419" s="55">
        <v>5558917559</v>
      </c>
      <c r="E419" t="s">
        <v>203</v>
      </c>
      <c r="F419" t="s">
        <v>155</v>
      </c>
    </row>
    <row r="420" spans="1:6" x14ac:dyDescent="0.3">
      <c r="A420">
        <v>100727</v>
      </c>
      <c r="B420" t="s">
        <v>441</v>
      </c>
      <c r="C420" t="s">
        <v>908</v>
      </c>
      <c r="D420" s="55">
        <v>5558920183</v>
      </c>
      <c r="E420" t="s">
        <v>221</v>
      </c>
      <c r="F420" t="s">
        <v>155</v>
      </c>
    </row>
    <row r="421" spans="1:6" x14ac:dyDescent="0.3">
      <c r="A421">
        <v>100683</v>
      </c>
      <c r="B421" t="s">
        <v>310</v>
      </c>
      <c r="C421" t="s">
        <v>797</v>
      </c>
      <c r="D421" s="55">
        <v>5558961479</v>
      </c>
      <c r="E421" t="s">
        <v>214</v>
      </c>
      <c r="F421" t="s">
        <v>155</v>
      </c>
    </row>
    <row r="422" spans="1:6" x14ac:dyDescent="0.3">
      <c r="A422">
        <v>100685</v>
      </c>
      <c r="B422" t="s">
        <v>422</v>
      </c>
      <c r="C422" t="s">
        <v>800</v>
      </c>
      <c r="D422" s="55">
        <v>5558974054</v>
      </c>
      <c r="E422" t="s">
        <v>203</v>
      </c>
      <c r="F422" t="s">
        <v>155</v>
      </c>
    </row>
    <row r="423" spans="1:6" x14ac:dyDescent="0.3">
      <c r="A423">
        <v>100629</v>
      </c>
      <c r="B423" t="s">
        <v>227</v>
      </c>
      <c r="C423" t="s">
        <v>670</v>
      </c>
      <c r="D423" s="55">
        <v>5558998858</v>
      </c>
      <c r="E423" t="s">
        <v>195</v>
      </c>
      <c r="F423" t="s">
        <v>155</v>
      </c>
    </row>
    <row r="424" spans="1:6" x14ac:dyDescent="0.3">
      <c r="A424">
        <v>100737</v>
      </c>
      <c r="B424" t="s">
        <v>360</v>
      </c>
      <c r="C424" t="s">
        <v>935</v>
      </c>
      <c r="D424" s="55">
        <v>5559004358</v>
      </c>
      <c r="E424" t="s">
        <v>173</v>
      </c>
      <c r="F424" t="s">
        <v>155</v>
      </c>
    </row>
    <row r="425" spans="1:6" x14ac:dyDescent="0.3">
      <c r="A425">
        <v>100697</v>
      </c>
      <c r="B425" t="s">
        <v>297</v>
      </c>
      <c r="C425" t="s">
        <v>830</v>
      </c>
      <c r="D425" s="55">
        <v>5559031083</v>
      </c>
      <c r="E425" t="s">
        <v>233</v>
      </c>
      <c r="F425" t="s">
        <v>155</v>
      </c>
    </row>
    <row r="426" spans="1:6" x14ac:dyDescent="0.3">
      <c r="A426">
        <v>100693</v>
      </c>
      <c r="B426" t="s">
        <v>402</v>
      </c>
      <c r="C426" t="s">
        <v>819</v>
      </c>
      <c r="D426" s="55">
        <v>5559056491</v>
      </c>
      <c r="E426" t="s">
        <v>221</v>
      </c>
      <c r="F426" t="s">
        <v>155</v>
      </c>
    </row>
    <row r="427" spans="1:6" x14ac:dyDescent="0.3">
      <c r="A427">
        <v>100694</v>
      </c>
      <c r="B427" t="s">
        <v>280</v>
      </c>
      <c r="C427" t="s">
        <v>821</v>
      </c>
      <c r="D427" s="55">
        <v>5559062119</v>
      </c>
      <c r="E427" t="s">
        <v>156</v>
      </c>
      <c r="F427" t="s">
        <v>155</v>
      </c>
    </row>
    <row r="428" spans="1:6" x14ac:dyDescent="0.3">
      <c r="A428">
        <v>100728</v>
      </c>
      <c r="B428" t="s">
        <v>235</v>
      </c>
      <c r="C428" t="s">
        <v>911</v>
      </c>
      <c r="D428" s="55">
        <v>5559072495</v>
      </c>
      <c r="E428" t="s">
        <v>193</v>
      </c>
      <c r="F428" t="s">
        <v>155</v>
      </c>
    </row>
    <row r="429" spans="1:6" x14ac:dyDescent="0.3">
      <c r="A429">
        <v>100775</v>
      </c>
      <c r="B429" t="s">
        <v>326</v>
      </c>
      <c r="C429" t="s">
        <v>1022</v>
      </c>
      <c r="D429" s="55">
        <v>5559077151</v>
      </c>
      <c r="E429" t="s">
        <v>233</v>
      </c>
      <c r="F429" t="s">
        <v>155</v>
      </c>
    </row>
    <row r="430" spans="1:6" x14ac:dyDescent="0.3">
      <c r="A430">
        <v>100587</v>
      </c>
      <c r="B430" t="s">
        <v>174</v>
      </c>
      <c r="C430" t="s">
        <v>574</v>
      </c>
      <c r="D430" s="55">
        <v>5559116666</v>
      </c>
      <c r="E430" t="s">
        <v>173</v>
      </c>
      <c r="F430" t="s">
        <v>155</v>
      </c>
    </row>
    <row r="431" spans="1:6" x14ac:dyDescent="0.3">
      <c r="A431">
        <v>100645</v>
      </c>
      <c r="B431" t="s">
        <v>369</v>
      </c>
      <c r="C431" t="s">
        <v>708</v>
      </c>
      <c r="D431" s="55">
        <v>5559116853</v>
      </c>
      <c r="E431" t="s">
        <v>249</v>
      </c>
      <c r="F431" t="s">
        <v>182</v>
      </c>
    </row>
    <row r="432" spans="1:6" x14ac:dyDescent="0.3">
      <c r="A432">
        <v>100710</v>
      </c>
      <c r="B432" t="s">
        <v>324</v>
      </c>
      <c r="C432" t="s">
        <v>861</v>
      </c>
      <c r="D432" s="55">
        <v>5559130770</v>
      </c>
      <c r="E432" t="s">
        <v>323</v>
      </c>
      <c r="F432" t="s">
        <v>322</v>
      </c>
    </row>
    <row r="433" spans="1:6" x14ac:dyDescent="0.3">
      <c r="A433">
        <v>100651</v>
      </c>
      <c r="B433" t="s">
        <v>209</v>
      </c>
      <c r="C433" t="s">
        <v>719</v>
      </c>
      <c r="D433" s="55">
        <v>5559155324</v>
      </c>
      <c r="E433" t="s">
        <v>170</v>
      </c>
      <c r="F433" t="s">
        <v>155</v>
      </c>
    </row>
    <row r="434" spans="1:6" x14ac:dyDescent="0.3">
      <c r="A434">
        <v>100726</v>
      </c>
      <c r="B434" t="s">
        <v>377</v>
      </c>
      <c r="C434" t="s">
        <v>903</v>
      </c>
      <c r="D434" s="55">
        <v>5559203013</v>
      </c>
      <c r="E434" t="s">
        <v>183</v>
      </c>
      <c r="F434" t="s">
        <v>182</v>
      </c>
    </row>
    <row r="435" spans="1:6" x14ac:dyDescent="0.3">
      <c r="A435">
        <v>100633</v>
      </c>
      <c r="B435" t="s">
        <v>206</v>
      </c>
      <c r="C435" t="s">
        <v>681</v>
      </c>
      <c r="D435" s="55">
        <v>5559232192</v>
      </c>
      <c r="E435" t="s">
        <v>188</v>
      </c>
      <c r="F435" t="s">
        <v>155</v>
      </c>
    </row>
    <row r="436" spans="1:6" x14ac:dyDescent="0.3">
      <c r="A436">
        <v>100598</v>
      </c>
      <c r="B436" t="s">
        <v>439</v>
      </c>
      <c r="C436" t="s">
        <v>1078</v>
      </c>
      <c r="D436" s="55">
        <v>5559235205</v>
      </c>
      <c r="E436" t="s">
        <v>265</v>
      </c>
      <c r="F436" t="s">
        <v>182</v>
      </c>
    </row>
    <row r="437" spans="1:6" x14ac:dyDescent="0.3">
      <c r="A437">
        <v>100729</v>
      </c>
      <c r="B437" t="s">
        <v>258</v>
      </c>
      <c r="C437" t="s">
        <v>914</v>
      </c>
      <c r="D437" s="55">
        <v>5559242727</v>
      </c>
      <c r="E437" t="s">
        <v>236</v>
      </c>
      <c r="F437" t="s">
        <v>182</v>
      </c>
    </row>
    <row r="438" spans="1:6" x14ac:dyDescent="0.3">
      <c r="A438">
        <v>100656</v>
      </c>
      <c r="B438" t="s">
        <v>311</v>
      </c>
      <c r="C438" t="s">
        <v>736</v>
      </c>
      <c r="D438" s="55">
        <v>5559244486</v>
      </c>
      <c r="E438" t="s">
        <v>236</v>
      </c>
      <c r="F438" t="s">
        <v>182</v>
      </c>
    </row>
    <row r="439" spans="1:6" x14ac:dyDescent="0.3">
      <c r="A439">
        <v>100671</v>
      </c>
      <c r="B439" t="s">
        <v>234</v>
      </c>
      <c r="C439" t="s">
        <v>766</v>
      </c>
      <c r="D439" s="55">
        <v>5559266419</v>
      </c>
      <c r="E439" t="s">
        <v>233</v>
      </c>
      <c r="F439" t="s">
        <v>155</v>
      </c>
    </row>
    <row r="440" spans="1:6" x14ac:dyDescent="0.3">
      <c r="A440">
        <v>100632</v>
      </c>
      <c r="B440" t="s">
        <v>237</v>
      </c>
      <c r="C440" t="s">
        <v>644</v>
      </c>
      <c r="D440" s="55">
        <v>5559271068</v>
      </c>
      <c r="E440" t="s">
        <v>236</v>
      </c>
      <c r="F440" t="s">
        <v>182</v>
      </c>
    </row>
    <row r="441" spans="1:6" x14ac:dyDescent="0.3">
      <c r="A441">
        <v>100594</v>
      </c>
      <c r="B441" t="s">
        <v>352</v>
      </c>
      <c r="C441" t="s">
        <v>589</v>
      </c>
      <c r="D441" s="55">
        <v>5559279696</v>
      </c>
      <c r="E441" t="s">
        <v>243</v>
      </c>
      <c r="F441" t="s">
        <v>182</v>
      </c>
    </row>
    <row r="442" spans="1:6" x14ac:dyDescent="0.3">
      <c r="A442">
        <v>100662</v>
      </c>
      <c r="B442" t="s">
        <v>365</v>
      </c>
      <c r="C442" t="s">
        <v>750</v>
      </c>
      <c r="D442" s="55">
        <v>5559285048</v>
      </c>
      <c r="E442" t="s">
        <v>207</v>
      </c>
      <c r="F442" t="s">
        <v>155</v>
      </c>
    </row>
    <row r="443" spans="1:6" x14ac:dyDescent="0.3">
      <c r="A443">
        <v>100720</v>
      </c>
      <c r="B443" t="s">
        <v>331</v>
      </c>
      <c r="C443" t="s">
        <v>892</v>
      </c>
      <c r="D443" s="55">
        <v>5559290172</v>
      </c>
      <c r="E443" t="s">
        <v>269</v>
      </c>
      <c r="F443" t="s">
        <v>182</v>
      </c>
    </row>
    <row r="444" spans="1:6" x14ac:dyDescent="0.3">
      <c r="A444">
        <v>100733</v>
      </c>
      <c r="B444" t="s">
        <v>426</v>
      </c>
      <c r="C444" t="s">
        <v>923</v>
      </c>
      <c r="D444" s="55">
        <v>5559308421</v>
      </c>
      <c r="E444" t="s">
        <v>156</v>
      </c>
      <c r="F444" t="s">
        <v>155</v>
      </c>
    </row>
    <row r="445" spans="1:6" x14ac:dyDescent="0.3">
      <c r="A445">
        <v>100615</v>
      </c>
      <c r="B445" t="s">
        <v>273</v>
      </c>
      <c r="C445" t="s">
        <v>636</v>
      </c>
      <c r="D445" s="55">
        <v>5559312131</v>
      </c>
      <c r="E445" t="s">
        <v>183</v>
      </c>
      <c r="F445" t="s">
        <v>182</v>
      </c>
    </row>
    <row r="446" spans="1:6" x14ac:dyDescent="0.3">
      <c r="A446">
        <v>100772</v>
      </c>
      <c r="B446" t="s">
        <v>382</v>
      </c>
      <c r="C446" t="s">
        <v>1016</v>
      </c>
      <c r="D446" s="55">
        <v>5559322964</v>
      </c>
      <c r="E446" t="s">
        <v>265</v>
      </c>
      <c r="F446" t="s">
        <v>182</v>
      </c>
    </row>
    <row r="447" spans="1:6" x14ac:dyDescent="0.3">
      <c r="A447">
        <v>100732</v>
      </c>
      <c r="B447" t="s">
        <v>300</v>
      </c>
      <c r="C447" t="s">
        <v>922</v>
      </c>
      <c r="D447" s="55">
        <v>5559375305</v>
      </c>
      <c r="E447" t="s">
        <v>195</v>
      </c>
      <c r="F447" t="s">
        <v>155</v>
      </c>
    </row>
    <row r="448" spans="1:6" x14ac:dyDescent="0.3">
      <c r="A448">
        <v>100699</v>
      </c>
      <c r="B448" t="s">
        <v>247</v>
      </c>
      <c r="C448" t="s">
        <v>836</v>
      </c>
      <c r="D448" s="55">
        <v>5559376356</v>
      </c>
      <c r="E448" t="s">
        <v>243</v>
      </c>
      <c r="F448" t="s">
        <v>182</v>
      </c>
    </row>
    <row r="449" spans="1:6" x14ac:dyDescent="0.3">
      <c r="A449">
        <v>100660</v>
      </c>
      <c r="B449" t="s">
        <v>424</v>
      </c>
      <c r="C449" t="s">
        <v>746</v>
      </c>
      <c r="D449" s="55">
        <v>5559395647</v>
      </c>
      <c r="E449" t="s">
        <v>173</v>
      </c>
      <c r="F449" t="s">
        <v>155</v>
      </c>
    </row>
    <row r="450" spans="1:6" x14ac:dyDescent="0.3">
      <c r="A450">
        <v>100674</v>
      </c>
      <c r="B450" t="s">
        <v>409</v>
      </c>
      <c r="C450" t="s">
        <v>771</v>
      </c>
      <c r="D450" s="55">
        <v>5559396796</v>
      </c>
      <c r="E450" t="s">
        <v>219</v>
      </c>
      <c r="F450" t="s">
        <v>155</v>
      </c>
    </row>
    <row r="451" spans="1:6" x14ac:dyDescent="0.3">
      <c r="A451">
        <v>100632</v>
      </c>
      <c r="B451" t="s">
        <v>237</v>
      </c>
      <c r="C451" t="s">
        <v>676</v>
      </c>
      <c r="D451" s="55">
        <v>5559405397</v>
      </c>
      <c r="E451" t="s">
        <v>236</v>
      </c>
      <c r="F451" t="s">
        <v>182</v>
      </c>
    </row>
    <row r="452" spans="1:6" x14ac:dyDescent="0.3">
      <c r="A452">
        <v>100596</v>
      </c>
      <c r="B452" t="s">
        <v>267</v>
      </c>
      <c r="C452" t="s">
        <v>597</v>
      </c>
      <c r="D452" s="55">
        <v>5559411927</v>
      </c>
      <c r="E452" t="s">
        <v>265</v>
      </c>
      <c r="F452" t="s">
        <v>182</v>
      </c>
    </row>
    <row r="453" spans="1:6" x14ac:dyDescent="0.3">
      <c r="A453">
        <v>100726</v>
      </c>
      <c r="B453" t="s">
        <v>377</v>
      </c>
      <c r="C453" t="s">
        <v>902</v>
      </c>
      <c r="D453" s="55">
        <v>5559414762</v>
      </c>
      <c r="E453" t="s">
        <v>183</v>
      </c>
      <c r="F453" t="s">
        <v>182</v>
      </c>
    </row>
    <row r="454" spans="1:6" x14ac:dyDescent="0.3">
      <c r="A454">
        <v>100765</v>
      </c>
      <c r="B454" t="s">
        <v>389</v>
      </c>
      <c r="C454" t="s">
        <v>997</v>
      </c>
      <c r="D454" s="55">
        <v>5559415813</v>
      </c>
      <c r="E454" t="s">
        <v>166</v>
      </c>
      <c r="F454" t="s">
        <v>155</v>
      </c>
    </row>
    <row r="455" spans="1:6" x14ac:dyDescent="0.3">
      <c r="A455">
        <v>100657</v>
      </c>
      <c r="B455" t="s">
        <v>222</v>
      </c>
      <c r="C455" t="s">
        <v>737</v>
      </c>
      <c r="D455" s="55">
        <v>5559451553</v>
      </c>
      <c r="E455" t="s">
        <v>221</v>
      </c>
      <c r="F455" t="s">
        <v>155</v>
      </c>
    </row>
    <row r="456" spans="1:6" x14ac:dyDescent="0.3">
      <c r="A456">
        <v>100639</v>
      </c>
      <c r="B456" t="s">
        <v>291</v>
      </c>
      <c r="C456" t="s">
        <v>695</v>
      </c>
      <c r="D456" s="55">
        <v>5559457003</v>
      </c>
      <c r="E456" t="s">
        <v>236</v>
      </c>
      <c r="F456" t="s">
        <v>182</v>
      </c>
    </row>
    <row r="457" spans="1:6" x14ac:dyDescent="0.3">
      <c r="A457">
        <v>100747</v>
      </c>
      <c r="B457" t="s">
        <v>386</v>
      </c>
      <c r="C457" t="s">
        <v>956</v>
      </c>
      <c r="D457" s="55">
        <v>5559466125</v>
      </c>
      <c r="E457" t="s">
        <v>166</v>
      </c>
      <c r="F457" t="s">
        <v>155</v>
      </c>
    </row>
    <row r="458" spans="1:6" x14ac:dyDescent="0.3">
      <c r="A458">
        <v>100675</v>
      </c>
      <c r="B458" t="s">
        <v>425</v>
      </c>
      <c r="C458" t="s">
        <v>774</v>
      </c>
      <c r="D458" s="55">
        <v>5559472386</v>
      </c>
      <c r="E458" t="s">
        <v>170</v>
      </c>
      <c r="F458" t="s">
        <v>155</v>
      </c>
    </row>
    <row r="459" spans="1:6" x14ac:dyDescent="0.3">
      <c r="A459">
        <v>100589</v>
      </c>
      <c r="B459" t="s">
        <v>279</v>
      </c>
      <c r="C459" t="s">
        <v>578</v>
      </c>
      <c r="D459" s="55">
        <v>5559480943</v>
      </c>
      <c r="E459" t="s">
        <v>265</v>
      </c>
      <c r="F459" t="s">
        <v>182</v>
      </c>
    </row>
    <row r="460" spans="1:6" x14ac:dyDescent="0.3">
      <c r="A460">
        <v>100600</v>
      </c>
      <c r="B460" t="s">
        <v>345</v>
      </c>
      <c r="C460" t="s">
        <v>605</v>
      </c>
      <c r="D460" s="55">
        <v>5559489943</v>
      </c>
      <c r="E460" t="s">
        <v>240</v>
      </c>
      <c r="F460" t="s">
        <v>155</v>
      </c>
    </row>
    <row r="461" spans="1:6" x14ac:dyDescent="0.3">
      <c r="A461">
        <v>100592</v>
      </c>
      <c r="B461" t="s">
        <v>404</v>
      </c>
      <c r="C461" t="s">
        <v>587</v>
      </c>
      <c r="D461" s="55">
        <v>5559501828</v>
      </c>
      <c r="E461" t="s">
        <v>236</v>
      </c>
      <c r="F461" t="s">
        <v>182</v>
      </c>
    </row>
    <row r="462" spans="1:6" x14ac:dyDescent="0.3">
      <c r="A462">
        <v>100584</v>
      </c>
      <c r="B462" t="s">
        <v>401</v>
      </c>
      <c r="C462" t="s">
        <v>565</v>
      </c>
      <c r="D462" s="55">
        <v>5559523472</v>
      </c>
      <c r="E462" t="s">
        <v>219</v>
      </c>
      <c r="F462" t="s">
        <v>155</v>
      </c>
    </row>
    <row r="463" spans="1:6" x14ac:dyDescent="0.3">
      <c r="A463">
        <v>100753</v>
      </c>
      <c r="B463" t="s">
        <v>194</v>
      </c>
      <c r="C463" t="s">
        <v>967</v>
      </c>
      <c r="D463" s="55">
        <v>5559533510</v>
      </c>
      <c r="E463" t="s">
        <v>193</v>
      </c>
      <c r="F463" t="s">
        <v>155</v>
      </c>
    </row>
    <row r="464" spans="1:6" x14ac:dyDescent="0.3">
      <c r="A464">
        <v>100705</v>
      </c>
      <c r="B464" t="s">
        <v>336</v>
      </c>
      <c r="C464" t="s">
        <v>850</v>
      </c>
      <c r="D464" s="55">
        <v>5559554642</v>
      </c>
      <c r="E464" t="s">
        <v>217</v>
      </c>
      <c r="F464" t="s">
        <v>182</v>
      </c>
    </row>
    <row r="465" spans="1:6" x14ac:dyDescent="0.3">
      <c r="A465">
        <v>100714</v>
      </c>
      <c r="B465" t="s">
        <v>373</v>
      </c>
      <c r="C465" t="s">
        <v>871</v>
      </c>
      <c r="D465" s="55">
        <v>5559557006</v>
      </c>
      <c r="E465" t="s">
        <v>221</v>
      </c>
      <c r="F465" t="s">
        <v>155</v>
      </c>
    </row>
    <row r="466" spans="1:6" x14ac:dyDescent="0.3">
      <c r="A466">
        <v>100693</v>
      </c>
      <c r="B466" t="s">
        <v>402</v>
      </c>
      <c r="C466" t="s">
        <v>421</v>
      </c>
      <c r="D466" s="55">
        <v>5559576195</v>
      </c>
      <c r="E466" t="s">
        <v>221</v>
      </c>
      <c r="F466" t="s">
        <v>155</v>
      </c>
    </row>
    <row r="467" spans="1:6" x14ac:dyDescent="0.3">
      <c r="A467">
        <v>100733</v>
      </c>
      <c r="B467" t="s">
        <v>426</v>
      </c>
      <c r="C467" t="s">
        <v>925</v>
      </c>
      <c r="D467" s="55">
        <v>5559625312</v>
      </c>
      <c r="E467" t="s">
        <v>156</v>
      </c>
      <c r="F467" t="s">
        <v>155</v>
      </c>
    </row>
    <row r="468" spans="1:6" x14ac:dyDescent="0.3">
      <c r="A468">
        <v>100654</v>
      </c>
      <c r="B468" t="s">
        <v>332</v>
      </c>
      <c r="C468" t="s">
        <v>730</v>
      </c>
      <c r="D468" s="55">
        <v>5559628866</v>
      </c>
      <c r="E468" t="s">
        <v>249</v>
      </c>
      <c r="F468" t="s">
        <v>182</v>
      </c>
    </row>
    <row r="469" spans="1:6" x14ac:dyDescent="0.3">
      <c r="A469">
        <v>100715</v>
      </c>
      <c r="B469" t="s">
        <v>167</v>
      </c>
      <c r="C469" t="s">
        <v>876</v>
      </c>
      <c r="D469" s="55">
        <v>5559636971</v>
      </c>
      <c r="E469" t="s">
        <v>166</v>
      </c>
      <c r="F469" t="s">
        <v>155</v>
      </c>
    </row>
    <row r="470" spans="1:6" x14ac:dyDescent="0.3">
      <c r="A470">
        <v>100630</v>
      </c>
      <c r="B470" t="s">
        <v>427</v>
      </c>
      <c r="C470" t="s">
        <v>673</v>
      </c>
      <c r="D470" s="55">
        <v>5559694658</v>
      </c>
      <c r="E470" t="s">
        <v>236</v>
      </c>
      <c r="F470" t="s">
        <v>182</v>
      </c>
    </row>
    <row r="471" spans="1:6" x14ac:dyDescent="0.3">
      <c r="A471">
        <v>100607</v>
      </c>
      <c r="B471" t="s">
        <v>208</v>
      </c>
      <c r="C471" t="s">
        <v>622</v>
      </c>
      <c r="D471" s="55">
        <v>5559696508</v>
      </c>
      <c r="E471" t="s">
        <v>207</v>
      </c>
      <c r="F471" t="s">
        <v>155</v>
      </c>
    </row>
    <row r="472" spans="1:6" x14ac:dyDescent="0.3">
      <c r="A472">
        <v>100754</v>
      </c>
      <c r="B472" t="s">
        <v>199</v>
      </c>
      <c r="C472" t="s">
        <v>971</v>
      </c>
      <c r="D472" s="55">
        <v>5559716475</v>
      </c>
      <c r="E472" t="s">
        <v>198</v>
      </c>
      <c r="F472" t="s">
        <v>155</v>
      </c>
    </row>
    <row r="473" spans="1:6" x14ac:dyDescent="0.3">
      <c r="A473">
        <v>100584</v>
      </c>
      <c r="B473" t="s">
        <v>401</v>
      </c>
      <c r="C473" t="s">
        <v>568</v>
      </c>
      <c r="D473" s="55">
        <v>5559753237</v>
      </c>
      <c r="E473" t="s">
        <v>219</v>
      </c>
      <c r="F473" t="s">
        <v>155</v>
      </c>
    </row>
    <row r="474" spans="1:6" x14ac:dyDescent="0.3">
      <c r="A474">
        <v>100632</v>
      </c>
      <c r="B474" t="s">
        <v>237</v>
      </c>
      <c r="C474" t="s">
        <v>678</v>
      </c>
      <c r="D474" s="55">
        <v>5559801685</v>
      </c>
      <c r="E474" t="s">
        <v>236</v>
      </c>
      <c r="F474" t="s">
        <v>182</v>
      </c>
    </row>
    <row r="475" spans="1:6" x14ac:dyDescent="0.3">
      <c r="A475">
        <v>100757</v>
      </c>
      <c r="B475" t="s">
        <v>275</v>
      </c>
      <c r="C475" t="s">
        <v>977</v>
      </c>
      <c r="D475" s="55">
        <v>5559806632</v>
      </c>
      <c r="E475" t="s">
        <v>249</v>
      </c>
      <c r="F475" t="s">
        <v>182</v>
      </c>
    </row>
    <row r="476" spans="1:6" x14ac:dyDescent="0.3">
      <c r="A476">
        <v>100599</v>
      </c>
      <c r="B476" t="s">
        <v>228</v>
      </c>
      <c r="C476" t="s">
        <v>603</v>
      </c>
      <c r="D476" s="55">
        <v>5559812577</v>
      </c>
      <c r="E476" t="s">
        <v>188</v>
      </c>
      <c r="F476" t="s">
        <v>155</v>
      </c>
    </row>
    <row r="477" spans="1:6" x14ac:dyDescent="0.3">
      <c r="A477">
        <v>100723</v>
      </c>
      <c r="B477" t="s">
        <v>299</v>
      </c>
      <c r="C477" t="s">
        <v>616</v>
      </c>
      <c r="D477" s="55">
        <v>5559852704</v>
      </c>
      <c r="E477" t="s">
        <v>170</v>
      </c>
      <c r="F477" t="s">
        <v>155</v>
      </c>
    </row>
    <row r="478" spans="1:6" x14ac:dyDescent="0.3">
      <c r="A478">
        <v>100712</v>
      </c>
      <c r="B478" t="s">
        <v>417</v>
      </c>
      <c r="C478" t="s">
        <v>866</v>
      </c>
      <c r="D478" s="55">
        <v>5559904117</v>
      </c>
      <c r="E478" t="s">
        <v>162</v>
      </c>
      <c r="F478" t="s">
        <v>155</v>
      </c>
    </row>
    <row r="479" spans="1:6" x14ac:dyDescent="0.3">
      <c r="A479">
        <v>100773</v>
      </c>
      <c r="B479" t="s">
        <v>366</v>
      </c>
      <c r="C479" t="s">
        <v>1018</v>
      </c>
      <c r="D479" s="55">
        <v>5559956229</v>
      </c>
      <c r="E479" t="s">
        <v>269</v>
      </c>
      <c r="F479" t="s">
        <v>182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213-CE64-4114-ADB2-54A36B1C6D62}">
  <dimension ref="A1:N11"/>
  <sheetViews>
    <sheetView showGridLines="0" workbookViewId="0"/>
  </sheetViews>
  <sheetFormatPr defaultRowHeight="14.4" x14ac:dyDescent="0.3"/>
  <cols>
    <col min="1" max="1" width="3.6640625" customWidth="1"/>
    <col min="9" max="9" width="3.33203125" bestFit="1" customWidth="1"/>
    <col min="10" max="10" width="2.33203125" customWidth="1"/>
    <col min="11" max="11" width="11.5546875" bestFit="1" customWidth="1"/>
    <col min="12" max="12" width="9.5546875" bestFit="1" customWidth="1"/>
    <col min="13" max="13" width="15.6640625" customWidth="1"/>
    <col min="14" max="14" width="13.88671875" bestFit="1" customWidth="1"/>
  </cols>
  <sheetData>
    <row r="1" spans="1:14" s="73" customFormat="1" ht="30" customHeight="1" x14ac:dyDescent="0.4">
      <c r="A1" s="105">
        <v>3</v>
      </c>
      <c r="B1" s="73" t="s">
        <v>1079</v>
      </c>
    </row>
    <row r="4" spans="1:14" x14ac:dyDescent="0.3">
      <c r="H4" s="64" t="s">
        <v>1075</v>
      </c>
      <c r="I4" s="72" t="b">
        <v>0</v>
      </c>
    </row>
    <row r="5" spans="1:14" ht="5.25" customHeight="1" x14ac:dyDescent="0.3"/>
    <row r="6" spans="1:14" x14ac:dyDescent="0.3">
      <c r="K6" s="96" t="str" cm="1">
        <f t="array" ref="K6">IF(I4,_xlfn.GROUPBY(tblSales[[#All],[Category]],_xlfn.CHOOSECOLS(tblSales[[#All],[Qty]:[Order Revenue]],1,9),_xleta.SUM,3),"")</f>
        <v/>
      </c>
      <c r="L6" s="97"/>
      <c r="M6" s="97"/>
    </row>
    <row r="7" spans="1:14" x14ac:dyDescent="0.3">
      <c r="K7" s="84"/>
      <c r="L7" s="98"/>
      <c r="M7" s="99"/>
    </row>
    <row r="8" spans="1:14" x14ac:dyDescent="0.3">
      <c r="K8" s="84"/>
      <c r="L8" s="98"/>
      <c r="M8" s="99"/>
      <c r="N8" s="14"/>
    </row>
    <row r="9" spans="1:14" x14ac:dyDescent="0.3">
      <c r="K9" s="84"/>
      <c r="L9" s="98"/>
      <c r="M9" s="99"/>
      <c r="N9" s="14"/>
    </row>
    <row r="10" spans="1:14" x14ac:dyDescent="0.3">
      <c r="K10" s="100"/>
      <c r="L10" s="101"/>
      <c r="M10" s="102"/>
      <c r="N10" s="14"/>
    </row>
    <row r="11" spans="1:14" x14ac:dyDescent="0.3">
      <c r="N11" s="14"/>
    </row>
  </sheetData>
  <conditionalFormatting sqref="K6:M10">
    <cfRule type="expression" dxfId="15" priority="1">
      <formula>$I$4=FALSE</formula>
    </cfRule>
  </conditionalFormatting>
  <hyperlinks>
    <hyperlink ref="A1" location="'TOC Gallery'!A1" tooltip="Go To Table of Contents" display="'TOC Gallery'!A1" xr:uid="{37B5D1A6-D9B5-4A0E-8254-8F8F77C05550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A168-8047-47E5-AA67-14F4059B9DA1}">
  <dimension ref="A1:H21"/>
  <sheetViews>
    <sheetView showGridLines="0" workbookViewId="0"/>
  </sheetViews>
  <sheetFormatPr defaultRowHeight="14.4" x14ac:dyDescent="0.3"/>
  <cols>
    <col min="1" max="2" width="3.6640625" customWidth="1"/>
    <col min="3" max="3" width="18.6640625" bestFit="1" customWidth="1"/>
    <col min="4" max="4" width="23.33203125" bestFit="1" customWidth="1"/>
    <col min="5" max="5" width="15.88671875" bestFit="1" customWidth="1"/>
    <col min="6" max="6" width="6.109375" bestFit="1" customWidth="1"/>
    <col min="7" max="7" width="5.33203125" bestFit="1" customWidth="1"/>
    <col min="8" max="8" width="5.6640625" bestFit="1" customWidth="1"/>
  </cols>
  <sheetData>
    <row r="1" spans="1:8" s="73" customFormat="1" ht="30" customHeight="1" x14ac:dyDescent="0.4">
      <c r="A1" s="105">
        <v>3</v>
      </c>
      <c r="B1" s="73" t="s">
        <v>1083</v>
      </c>
    </row>
    <row r="3" spans="1:8" x14ac:dyDescent="0.3">
      <c r="G3" s="89" t="s">
        <v>1149</v>
      </c>
      <c r="H3" s="2">
        <f>COUNTIF(H5:H21,TRUE)</f>
        <v>6</v>
      </c>
    </row>
    <row r="4" spans="1:8" x14ac:dyDescent="0.3">
      <c r="B4" s="80" t="s">
        <v>8</v>
      </c>
      <c r="C4" s="80" t="s">
        <v>1124</v>
      </c>
      <c r="D4" s="80" t="s">
        <v>1125</v>
      </c>
      <c r="E4" s="80" t="s">
        <v>487</v>
      </c>
      <c r="F4" s="80" t="s">
        <v>1126</v>
      </c>
      <c r="G4" s="80" t="s">
        <v>486</v>
      </c>
      <c r="H4" s="80" t="s">
        <v>1127</v>
      </c>
    </row>
    <row r="5" spans="1:8" x14ac:dyDescent="0.3">
      <c r="B5" s="81">
        <v>1</v>
      </c>
      <c r="C5" s="81" t="s">
        <v>1084</v>
      </c>
      <c r="D5" s="81" t="s">
        <v>1085</v>
      </c>
      <c r="E5" s="81" t="s">
        <v>1086</v>
      </c>
      <c r="F5" s="81">
        <v>90605</v>
      </c>
      <c r="G5" s="81" t="s">
        <v>1087</v>
      </c>
      <c r="H5" s="82" t="b">
        <v>0</v>
      </c>
    </row>
    <row r="6" spans="1:8" x14ac:dyDescent="0.3">
      <c r="B6" s="81">
        <v>2</v>
      </c>
      <c r="C6" s="81" t="s">
        <v>1088</v>
      </c>
      <c r="D6" s="81" t="s">
        <v>1089</v>
      </c>
      <c r="E6" s="81" t="s">
        <v>1090</v>
      </c>
      <c r="F6" s="81">
        <v>90831</v>
      </c>
      <c r="G6" s="81" t="s">
        <v>1087</v>
      </c>
      <c r="H6" s="82" t="b">
        <v>1</v>
      </c>
    </row>
    <row r="7" spans="1:8" x14ac:dyDescent="0.3">
      <c r="B7" s="81">
        <v>3</v>
      </c>
      <c r="C7" s="81" t="s">
        <v>1091</v>
      </c>
      <c r="D7" s="81" t="s">
        <v>1092</v>
      </c>
      <c r="E7" s="81" t="s">
        <v>1090</v>
      </c>
      <c r="F7" s="81">
        <v>90831</v>
      </c>
      <c r="G7" s="81" t="s">
        <v>1087</v>
      </c>
      <c r="H7" s="82" t="b">
        <v>1</v>
      </c>
    </row>
    <row r="8" spans="1:8" x14ac:dyDescent="0.3">
      <c r="B8" s="81">
        <v>4</v>
      </c>
      <c r="C8" s="81" t="s">
        <v>1093</v>
      </c>
      <c r="D8" s="81" t="s">
        <v>1094</v>
      </c>
      <c r="E8" s="81" t="s">
        <v>1095</v>
      </c>
      <c r="F8" s="81">
        <v>91103</v>
      </c>
      <c r="G8" s="81" t="s">
        <v>1087</v>
      </c>
      <c r="H8" s="82" t="b">
        <v>0</v>
      </c>
    </row>
    <row r="9" spans="1:8" x14ac:dyDescent="0.3">
      <c r="B9" s="81">
        <v>5</v>
      </c>
      <c r="C9" s="81" t="s">
        <v>1096</v>
      </c>
      <c r="D9" s="81" t="s">
        <v>1097</v>
      </c>
      <c r="E9" s="81" t="s">
        <v>1095</v>
      </c>
      <c r="F9" s="81">
        <v>91103</v>
      </c>
      <c r="G9" s="81" t="s">
        <v>1087</v>
      </c>
      <c r="H9" s="82" t="b">
        <v>1</v>
      </c>
    </row>
    <row r="10" spans="1:8" x14ac:dyDescent="0.3">
      <c r="B10" s="81">
        <v>6</v>
      </c>
      <c r="C10" s="81" t="s">
        <v>1098</v>
      </c>
      <c r="D10" s="81" t="s">
        <v>1099</v>
      </c>
      <c r="E10" s="81" t="s">
        <v>1100</v>
      </c>
      <c r="F10" s="81">
        <v>91606</v>
      </c>
      <c r="G10" s="81" t="s">
        <v>1087</v>
      </c>
      <c r="H10" s="82" t="b">
        <v>1</v>
      </c>
    </row>
    <row r="11" spans="1:8" x14ac:dyDescent="0.3">
      <c r="B11" s="81">
        <v>7</v>
      </c>
      <c r="C11" s="81" t="s">
        <v>1101</v>
      </c>
      <c r="D11" s="81" t="s">
        <v>1102</v>
      </c>
      <c r="E11" s="81" t="s">
        <v>1100</v>
      </c>
      <c r="F11" s="81">
        <v>91606</v>
      </c>
      <c r="G11" s="81" t="s">
        <v>1087</v>
      </c>
      <c r="H11" s="82" t="b">
        <v>0</v>
      </c>
    </row>
    <row r="12" spans="1:8" x14ac:dyDescent="0.3">
      <c r="B12" s="81">
        <v>8</v>
      </c>
      <c r="C12" s="81" t="s">
        <v>1103</v>
      </c>
      <c r="D12" s="81" t="s">
        <v>1104</v>
      </c>
      <c r="E12" s="81" t="s">
        <v>1105</v>
      </c>
      <c r="F12" s="81">
        <v>91841</v>
      </c>
      <c r="G12" s="81" t="s">
        <v>1087</v>
      </c>
      <c r="H12" s="82" t="b">
        <v>1</v>
      </c>
    </row>
    <row r="13" spans="1:8" x14ac:dyDescent="0.3">
      <c r="B13" s="81">
        <v>9</v>
      </c>
      <c r="C13" s="81" t="s">
        <v>1106</v>
      </c>
      <c r="D13" s="81" t="s">
        <v>1107</v>
      </c>
      <c r="E13" s="81" t="s">
        <v>1108</v>
      </c>
      <c r="F13" s="81">
        <v>91913</v>
      </c>
      <c r="G13" s="81" t="s">
        <v>1087</v>
      </c>
      <c r="H13" s="82" t="b">
        <v>0</v>
      </c>
    </row>
    <row r="14" spans="1:8" x14ac:dyDescent="0.3">
      <c r="B14" s="81">
        <v>10</v>
      </c>
      <c r="C14" s="81" t="s">
        <v>1109</v>
      </c>
      <c r="D14" s="81" t="s">
        <v>1128</v>
      </c>
      <c r="E14" s="81" t="s">
        <v>203</v>
      </c>
      <c r="F14" s="81">
        <v>92056</v>
      </c>
      <c r="G14" s="81" t="s">
        <v>1087</v>
      </c>
      <c r="H14" s="82" t="b">
        <v>1</v>
      </c>
    </row>
    <row r="15" spans="1:8" x14ac:dyDescent="0.3">
      <c r="B15" s="81">
        <v>11</v>
      </c>
      <c r="C15" s="81" t="s">
        <v>1110</v>
      </c>
      <c r="D15" s="81" t="s">
        <v>1111</v>
      </c>
      <c r="E15" s="81" t="s">
        <v>207</v>
      </c>
      <c r="F15" s="81">
        <v>92105</v>
      </c>
      <c r="G15" s="81" t="s">
        <v>1087</v>
      </c>
      <c r="H15" s="82" t="b">
        <v>0</v>
      </c>
    </row>
    <row r="16" spans="1:8" x14ac:dyDescent="0.3">
      <c r="B16" s="81">
        <v>12</v>
      </c>
      <c r="C16" s="81" t="s">
        <v>1112</v>
      </c>
      <c r="D16" s="81" t="s">
        <v>1113</v>
      </c>
      <c r="E16" s="81" t="s">
        <v>207</v>
      </c>
      <c r="F16" s="81">
        <v>92153</v>
      </c>
      <c r="G16" s="81" t="s">
        <v>1087</v>
      </c>
      <c r="H16" s="82" t="b">
        <v>0</v>
      </c>
    </row>
    <row r="17" spans="2:8" x14ac:dyDescent="0.3">
      <c r="B17" s="81">
        <v>13</v>
      </c>
      <c r="C17" s="81" t="s">
        <v>1114</v>
      </c>
      <c r="D17" s="81" t="s">
        <v>1115</v>
      </c>
      <c r="E17" s="81" t="s">
        <v>207</v>
      </c>
      <c r="F17" s="81">
        <v>92153</v>
      </c>
      <c r="G17" s="81" t="s">
        <v>1087</v>
      </c>
      <c r="H17" s="82" t="b">
        <v>0</v>
      </c>
    </row>
    <row r="18" spans="2:8" x14ac:dyDescent="0.3">
      <c r="B18" s="81">
        <v>14</v>
      </c>
      <c r="C18" s="81" t="s">
        <v>1116</v>
      </c>
      <c r="D18" s="81" t="s">
        <v>1117</v>
      </c>
      <c r="E18" s="81" t="s">
        <v>207</v>
      </c>
      <c r="F18" s="81">
        <v>92160</v>
      </c>
      <c r="G18" s="81" t="s">
        <v>1087</v>
      </c>
      <c r="H18" s="82" t="b">
        <v>0</v>
      </c>
    </row>
    <row r="19" spans="2:8" x14ac:dyDescent="0.3">
      <c r="B19" s="81">
        <v>15</v>
      </c>
      <c r="C19" s="81" t="s">
        <v>1118</v>
      </c>
      <c r="D19" s="81" t="s">
        <v>1119</v>
      </c>
      <c r="E19" s="81" t="s">
        <v>207</v>
      </c>
      <c r="F19" s="81">
        <v>92160</v>
      </c>
      <c r="G19" s="81" t="s">
        <v>1087</v>
      </c>
      <c r="H19" s="82" t="b">
        <v>0</v>
      </c>
    </row>
    <row r="20" spans="2:8" x14ac:dyDescent="0.3">
      <c r="B20" s="81">
        <v>16</v>
      </c>
      <c r="C20" s="81" t="s">
        <v>1120</v>
      </c>
      <c r="D20" s="81" t="s">
        <v>1121</v>
      </c>
      <c r="E20" s="81" t="s">
        <v>207</v>
      </c>
      <c r="F20" s="81">
        <v>92170</v>
      </c>
      <c r="G20" s="81" t="s">
        <v>1087</v>
      </c>
      <c r="H20" s="82" t="b">
        <v>0</v>
      </c>
    </row>
    <row r="21" spans="2:8" x14ac:dyDescent="0.3">
      <c r="B21" s="81">
        <v>17</v>
      </c>
      <c r="C21" s="81" t="s">
        <v>1122</v>
      </c>
      <c r="D21" s="81" t="s">
        <v>1123</v>
      </c>
      <c r="E21" s="81" t="s">
        <v>207</v>
      </c>
      <c r="F21" s="81">
        <v>92176</v>
      </c>
      <c r="G21" s="81" t="s">
        <v>1087</v>
      </c>
      <c r="H21" s="82" t="b">
        <v>0</v>
      </c>
    </row>
  </sheetData>
  <hyperlinks>
    <hyperlink ref="A1" location="'TOC Gallery'!A1" tooltip="Go To Table of Contents" display="'TOC Gallery'!A1" xr:uid="{3791078C-08FC-47C1-B361-1E4EFA094DA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FC5E-10A5-44C8-B841-76A3187CB563}">
  <sheetPr codeName="Sheet5"/>
  <dimension ref="A1:G18"/>
  <sheetViews>
    <sheetView workbookViewId="0"/>
  </sheetViews>
  <sheetFormatPr defaultRowHeight="14.4" x14ac:dyDescent="0.3"/>
  <cols>
    <col min="1" max="1" width="3.5546875" customWidth="1"/>
    <col min="2" max="2" width="12.88671875" customWidth="1"/>
    <col min="3" max="7" width="3.88671875" customWidth="1"/>
  </cols>
  <sheetData>
    <row r="1" spans="1:7" s="73" customFormat="1" ht="30" customHeight="1" x14ac:dyDescent="0.4">
      <c r="A1" s="105">
        <v>3</v>
      </c>
      <c r="B1" s="73" t="s">
        <v>55</v>
      </c>
    </row>
    <row r="3" spans="1:7" x14ac:dyDescent="0.3">
      <c r="B3" s="90" t="s">
        <v>2</v>
      </c>
      <c r="C3" s="91" t="s">
        <v>9</v>
      </c>
      <c r="D3" s="91" t="s">
        <v>10</v>
      </c>
      <c r="E3" s="91" t="s">
        <v>11</v>
      </c>
      <c r="F3" s="91" t="s">
        <v>10</v>
      </c>
      <c r="G3" s="92" t="s">
        <v>12</v>
      </c>
    </row>
    <row r="4" spans="1:7" ht="18" customHeight="1" x14ac:dyDescent="0.3">
      <c r="B4" s="10" t="s">
        <v>56</v>
      </c>
      <c r="C4" s="34" t="b">
        <v>1</v>
      </c>
      <c r="D4" s="34" t="b">
        <v>0</v>
      </c>
      <c r="E4" s="34" t="b">
        <v>1</v>
      </c>
      <c r="F4" s="34" t="b">
        <v>0</v>
      </c>
      <c r="G4" s="35" t="b">
        <v>0</v>
      </c>
    </row>
    <row r="5" spans="1:7" ht="18" customHeight="1" x14ac:dyDescent="0.3">
      <c r="B5" s="10" t="s">
        <v>57</v>
      </c>
      <c r="C5" s="34" t="b">
        <v>1</v>
      </c>
      <c r="D5" s="34" t="b">
        <v>1</v>
      </c>
      <c r="E5" s="34" t="b">
        <v>1</v>
      </c>
      <c r="F5" s="34" t="b">
        <v>0</v>
      </c>
      <c r="G5" s="35" t="b">
        <v>0</v>
      </c>
    </row>
    <row r="6" spans="1:7" ht="18" customHeight="1" x14ac:dyDescent="0.3">
      <c r="B6" s="10" t="s">
        <v>58</v>
      </c>
      <c r="C6" s="34" t="b">
        <v>1</v>
      </c>
      <c r="D6" s="34" t="b">
        <v>0</v>
      </c>
      <c r="E6" s="34" t="b">
        <v>1</v>
      </c>
      <c r="F6" s="34" t="b">
        <v>0</v>
      </c>
      <c r="G6" s="35" t="b">
        <v>0</v>
      </c>
    </row>
    <row r="7" spans="1:7" ht="18" customHeight="1" x14ac:dyDescent="0.3">
      <c r="B7" s="10" t="s">
        <v>59</v>
      </c>
      <c r="C7" s="34" t="b">
        <v>1</v>
      </c>
      <c r="D7" s="34" t="b">
        <v>1</v>
      </c>
      <c r="E7" s="34" t="b">
        <v>0</v>
      </c>
      <c r="F7" s="34" t="b">
        <v>0</v>
      </c>
      <c r="G7" s="35" t="b">
        <v>0</v>
      </c>
    </row>
    <row r="8" spans="1:7" ht="18" customHeight="1" x14ac:dyDescent="0.3">
      <c r="B8" s="10" t="s">
        <v>60</v>
      </c>
      <c r="C8" s="34" t="b">
        <v>1</v>
      </c>
      <c r="D8" s="34" t="b">
        <v>1</v>
      </c>
      <c r="E8" s="34" t="b">
        <v>1</v>
      </c>
      <c r="F8" s="34" t="b">
        <v>0</v>
      </c>
      <c r="G8" s="35" t="b">
        <v>0</v>
      </c>
    </row>
    <row r="9" spans="1:7" ht="18" customHeight="1" x14ac:dyDescent="0.3">
      <c r="B9" s="10" t="s">
        <v>61</v>
      </c>
      <c r="C9" s="34" t="b">
        <v>0</v>
      </c>
      <c r="D9" s="34" t="b">
        <v>1</v>
      </c>
      <c r="E9" s="34" t="b">
        <v>1</v>
      </c>
      <c r="F9" s="34" t="b">
        <v>0</v>
      </c>
      <c r="G9" s="35" t="b">
        <v>0</v>
      </c>
    </row>
    <row r="10" spans="1:7" ht="18" customHeight="1" x14ac:dyDescent="0.3">
      <c r="B10" s="10" t="s">
        <v>62</v>
      </c>
      <c r="C10" s="34" t="b">
        <v>1</v>
      </c>
      <c r="D10" s="34" t="b">
        <v>1</v>
      </c>
      <c r="E10" s="34" t="b">
        <v>0</v>
      </c>
      <c r="F10" s="34" t="b">
        <v>0</v>
      </c>
      <c r="G10" s="35" t="b">
        <v>0</v>
      </c>
    </row>
    <row r="11" spans="1:7" ht="18" customHeight="1" x14ac:dyDescent="0.3">
      <c r="B11" s="10" t="s">
        <v>63</v>
      </c>
      <c r="C11" s="34" t="b">
        <v>1</v>
      </c>
      <c r="D11" s="34" t="b">
        <v>1</v>
      </c>
      <c r="E11" s="34" t="b">
        <v>1</v>
      </c>
      <c r="F11" s="34" t="b">
        <v>0</v>
      </c>
      <c r="G11" s="35" t="b">
        <v>0</v>
      </c>
    </row>
    <row r="12" spans="1:7" ht="18" customHeight="1" x14ac:dyDescent="0.3">
      <c r="B12" s="10" t="s">
        <v>64</v>
      </c>
      <c r="C12" s="34" t="b">
        <v>1</v>
      </c>
      <c r="D12" s="34" t="b">
        <v>1</v>
      </c>
      <c r="E12" s="34" t="b">
        <v>1</v>
      </c>
      <c r="F12" s="34" t="b">
        <v>0</v>
      </c>
      <c r="G12" s="35" t="b">
        <v>0</v>
      </c>
    </row>
    <row r="13" spans="1:7" ht="18" customHeight="1" x14ac:dyDescent="0.3">
      <c r="B13" s="10" t="s">
        <v>65</v>
      </c>
      <c r="C13" s="34" t="b">
        <v>1</v>
      </c>
      <c r="D13" s="34" t="b">
        <v>1</v>
      </c>
      <c r="E13" s="34" t="b">
        <v>1</v>
      </c>
      <c r="F13" s="34" t="b">
        <v>0</v>
      </c>
      <c r="G13" s="35" t="b">
        <v>0</v>
      </c>
    </row>
    <row r="14" spans="1:7" ht="18" customHeight="1" x14ac:dyDescent="0.3">
      <c r="B14" s="10" t="s">
        <v>66</v>
      </c>
      <c r="C14" s="34" t="b">
        <v>1</v>
      </c>
      <c r="D14" s="34" t="b">
        <v>1</v>
      </c>
      <c r="E14" s="34" t="b">
        <v>1</v>
      </c>
      <c r="F14" s="34" t="b">
        <v>0</v>
      </c>
      <c r="G14" s="35" t="b">
        <v>0</v>
      </c>
    </row>
    <row r="15" spans="1:7" ht="18" customHeight="1" x14ac:dyDescent="0.3">
      <c r="B15" s="10" t="s">
        <v>67</v>
      </c>
      <c r="C15" s="34" t="b">
        <v>1</v>
      </c>
      <c r="D15" s="34" t="b">
        <v>1</v>
      </c>
      <c r="E15" s="34" t="b">
        <v>1</v>
      </c>
      <c r="F15" s="34" t="b">
        <v>0</v>
      </c>
      <c r="G15" s="35" t="b">
        <v>0</v>
      </c>
    </row>
    <row r="16" spans="1:7" ht="18" customHeight="1" x14ac:dyDescent="0.3">
      <c r="B16" s="10" t="s">
        <v>68</v>
      </c>
      <c r="C16" s="34" t="b">
        <v>1</v>
      </c>
      <c r="D16" s="34" t="b">
        <v>1</v>
      </c>
      <c r="E16" s="34" t="b">
        <v>1</v>
      </c>
      <c r="F16" s="34" t="b">
        <v>0</v>
      </c>
      <c r="G16" s="35" t="b">
        <v>0</v>
      </c>
    </row>
    <row r="17" spans="2:7" ht="18" customHeight="1" x14ac:dyDescent="0.3">
      <c r="B17" s="10" t="s">
        <v>69</v>
      </c>
      <c r="C17" s="34" t="b">
        <v>1</v>
      </c>
      <c r="D17" s="34" t="b">
        <v>1</v>
      </c>
      <c r="E17" s="34" t="b">
        <v>1</v>
      </c>
      <c r="F17" s="34" t="b">
        <v>0</v>
      </c>
      <c r="G17" s="35" t="b">
        <v>0</v>
      </c>
    </row>
    <row r="18" spans="2:7" x14ac:dyDescent="0.3">
      <c r="B18" s="11" t="s">
        <v>13</v>
      </c>
      <c r="C18" s="12">
        <f>COUNTIF(C4:C17,TRUE)</f>
        <v>13</v>
      </c>
      <c r="D18" s="12">
        <f>COUNTIF(D4:D17,TRUE)</f>
        <v>12</v>
      </c>
      <c r="E18" s="12">
        <f>COUNTIF(E4:E17,TRUE)</f>
        <v>12</v>
      </c>
      <c r="F18" s="12">
        <f>COUNTIF(F4:F17,TRUE)</f>
        <v>0</v>
      </c>
      <c r="G18" s="13">
        <f>COUNTIF(G4:G17,TRUE)</f>
        <v>0</v>
      </c>
    </row>
  </sheetData>
  <hyperlinks>
    <hyperlink ref="A1" location="'TOC Gallery'!A1" tooltip="Go To Table of Contents" display="'TOC Gallery'!A1" xr:uid="{F07722EC-EF2C-42E3-8D4E-B4C373563922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6F6E-944C-43C3-8F2A-D34A7CA9E6F9}">
  <dimension ref="A1:W14"/>
  <sheetViews>
    <sheetView showGridLines="0" workbookViewId="0"/>
  </sheetViews>
  <sheetFormatPr defaultRowHeight="14.4" x14ac:dyDescent="0.3"/>
  <cols>
    <col min="1" max="1" width="2.5546875" customWidth="1"/>
    <col min="2" max="2" width="3" customWidth="1"/>
    <col min="3" max="3" width="2.88671875" bestFit="1" customWidth="1"/>
    <col min="4" max="4" width="26.33203125" bestFit="1" customWidth="1"/>
    <col min="21" max="21" width="10.88671875" bestFit="1" customWidth="1"/>
  </cols>
  <sheetData>
    <row r="1" spans="1:23" s="73" customFormat="1" ht="30" customHeight="1" x14ac:dyDescent="0.4">
      <c r="A1" s="105">
        <v>3</v>
      </c>
      <c r="B1" s="73" t="s">
        <v>1152</v>
      </c>
    </row>
    <row r="3" spans="1:23" x14ac:dyDescent="0.3">
      <c r="B3" s="2" t="s">
        <v>538</v>
      </c>
      <c r="U3" s="2" t="s">
        <v>540</v>
      </c>
    </row>
    <row r="4" spans="1:23" ht="7.5" customHeight="1" x14ac:dyDescent="0.3">
      <c r="B4" s="2"/>
    </row>
    <row r="5" spans="1:23" x14ac:dyDescent="0.3">
      <c r="B5" s="1" t="b">
        <v>1</v>
      </c>
      <c r="C5">
        <v>1</v>
      </c>
      <c r="D5" t="s">
        <v>74</v>
      </c>
      <c r="U5" t="s">
        <v>1</v>
      </c>
      <c r="V5">
        <f>COUNTIFS(B5:B14,TRUE)</f>
        <v>5</v>
      </c>
      <c r="W5" s="54">
        <f>V5/10</f>
        <v>0.5</v>
      </c>
    </row>
    <row r="6" spans="1:23" x14ac:dyDescent="0.3">
      <c r="B6" s="1" t="b">
        <v>1</v>
      </c>
      <c r="C6">
        <v>2</v>
      </c>
      <c r="D6" t="s">
        <v>75</v>
      </c>
      <c r="U6" t="s">
        <v>541</v>
      </c>
      <c r="V6">
        <f>COUNTA(B5:B14)-V5</f>
        <v>5</v>
      </c>
      <c r="W6" s="54">
        <f>V6/10</f>
        <v>0.5</v>
      </c>
    </row>
    <row r="7" spans="1:23" x14ac:dyDescent="0.3">
      <c r="B7" s="1" t="b">
        <v>1</v>
      </c>
      <c r="C7">
        <v>3</v>
      </c>
      <c r="D7" t="s">
        <v>76</v>
      </c>
    </row>
    <row r="8" spans="1:23" x14ac:dyDescent="0.3">
      <c r="B8" s="1" t="b">
        <v>1</v>
      </c>
      <c r="C8">
        <v>4</v>
      </c>
      <c r="D8" t="s">
        <v>77</v>
      </c>
    </row>
    <row r="9" spans="1:23" x14ac:dyDescent="0.3">
      <c r="B9" s="1" t="b">
        <v>1</v>
      </c>
      <c r="C9">
        <v>5</v>
      </c>
      <c r="D9" t="s">
        <v>78</v>
      </c>
    </row>
    <row r="10" spans="1:23" x14ac:dyDescent="0.3">
      <c r="B10" s="1" t="b">
        <v>0</v>
      </c>
      <c r="C10">
        <v>6</v>
      </c>
      <c r="D10" t="s">
        <v>79</v>
      </c>
    </row>
    <row r="11" spans="1:23" x14ac:dyDescent="0.3">
      <c r="B11" s="1" t="b">
        <v>0</v>
      </c>
      <c r="C11">
        <v>7</v>
      </c>
      <c r="D11" t="s">
        <v>80</v>
      </c>
    </row>
    <row r="12" spans="1:23" x14ac:dyDescent="0.3">
      <c r="B12" s="1" t="b">
        <v>0</v>
      </c>
      <c r="C12">
        <v>8</v>
      </c>
      <c r="D12" t="s">
        <v>81</v>
      </c>
    </row>
    <row r="13" spans="1:23" x14ac:dyDescent="0.3">
      <c r="B13" s="1" t="b">
        <v>0</v>
      </c>
      <c r="C13">
        <v>9</v>
      </c>
      <c r="D13" t="s">
        <v>82</v>
      </c>
    </row>
    <row r="14" spans="1:23" x14ac:dyDescent="0.3">
      <c r="B14" s="1" t="b">
        <v>0</v>
      </c>
      <c r="C14">
        <v>10</v>
      </c>
      <c r="D14" t="s">
        <v>0</v>
      </c>
    </row>
  </sheetData>
  <conditionalFormatting sqref="B5:D14">
    <cfRule type="expression" dxfId="14" priority="3">
      <formula>$B5</formula>
    </cfRule>
  </conditionalFormatting>
  <hyperlinks>
    <hyperlink ref="A1" location="'TOC Gallery'!A1" tooltip="Go To Table of Contents" display="'TOC Gallery'!A1" xr:uid="{19ACE1AC-F957-4255-B7CC-068CD61BC7ED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7237-10F2-44CD-A242-F3D877E831FA}">
  <dimension ref="A1:E49"/>
  <sheetViews>
    <sheetView workbookViewId="0"/>
  </sheetViews>
  <sheetFormatPr defaultRowHeight="14.4" x14ac:dyDescent="0.3"/>
  <cols>
    <col min="1" max="1" width="3.6640625" customWidth="1"/>
    <col min="2" max="2" width="18.109375" bestFit="1" customWidth="1"/>
    <col min="3" max="3" width="16.33203125" bestFit="1" customWidth="1"/>
    <col min="4" max="4" width="16.88671875" bestFit="1" customWidth="1"/>
  </cols>
  <sheetData>
    <row r="1" spans="1:5" s="73" customFormat="1" ht="30" customHeight="1" x14ac:dyDescent="0.4">
      <c r="A1" s="105">
        <v>3</v>
      </c>
      <c r="B1" s="73" t="s">
        <v>1081</v>
      </c>
    </row>
    <row r="4" spans="1:5" x14ac:dyDescent="0.3">
      <c r="B4" t="s">
        <v>490</v>
      </c>
      <c r="C4" t="s">
        <v>489</v>
      </c>
      <c r="D4" t="s">
        <v>488</v>
      </c>
      <c r="E4" t="s">
        <v>1080</v>
      </c>
    </row>
    <row r="5" spans="1:5" x14ac:dyDescent="0.3">
      <c r="B5" t="s">
        <v>204</v>
      </c>
      <c r="C5" t="s">
        <v>699</v>
      </c>
      <c r="D5" s="55">
        <v>5552031671</v>
      </c>
      <c r="E5" s="56" t="b">
        <v>1</v>
      </c>
    </row>
    <row r="6" spans="1:5" x14ac:dyDescent="0.3">
      <c r="B6" t="s">
        <v>296</v>
      </c>
      <c r="C6" t="s">
        <v>898</v>
      </c>
      <c r="D6" s="55">
        <v>5552053422</v>
      </c>
      <c r="E6" s="56" t="b">
        <v>1</v>
      </c>
    </row>
    <row r="7" spans="1:5" x14ac:dyDescent="0.3">
      <c r="B7" t="s">
        <v>275</v>
      </c>
      <c r="C7" t="s">
        <v>976</v>
      </c>
      <c r="D7" s="55">
        <v>5552086767</v>
      </c>
      <c r="E7" s="56" t="b">
        <v>1</v>
      </c>
    </row>
    <row r="8" spans="1:5" x14ac:dyDescent="0.3">
      <c r="B8" t="s">
        <v>382</v>
      </c>
      <c r="C8" t="s">
        <v>1015</v>
      </c>
      <c r="D8" s="55">
        <v>5552101719</v>
      </c>
      <c r="E8" s="56" t="b">
        <v>1</v>
      </c>
    </row>
    <row r="9" spans="1:5" x14ac:dyDescent="0.3">
      <c r="B9" t="s">
        <v>245</v>
      </c>
      <c r="C9" t="s">
        <v>652</v>
      </c>
      <c r="D9" s="55">
        <v>5552109172</v>
      </c>
      <c r="E9" s="56" t="b">
        <v>1</v>
      </c>
    </row>
    <row r="10" spans="1:5" x14ac:dyDescent="0.3">
      <c r="B10" t="s">
        <v>370</v>
      </c>
      <c r="C10" t="s">
        <v>1001</v>
      </c>
      <c r="D10" s="55">
        <v>5552143357</v>
      </c>
      <c r="E10" s="56" t="b">
        <v>1</v>
      </c>
    </row>
    <row r="11" spans="1:5" x14ac:dyDescent="0.3">
      <c r="B11" t="s">
        <v>406</v>
      </c>
      <c r="C11" t="s">
        <v>833</v>
      </c>
      <c r="D11" s="55">
        <v>5552149758</v>
      </c>
      <c r="E11" s="56" t="b">
        <v>1</v>
      </c>
    </row>
    <row r="12" spans="1:5" x14ac:dyDescent="0.3">
      <c r="B12" t="s">
        <v>410</v>
      </c>
      <c r="C12" t="s">
        <v>790</v>
      </c>
      <c r="D12" s="55">
        <v>5552156082</v>
      </c>
      <c r="E12" s="56" t="b">
        <v>1</v>
      </c>
    </row>
    <row r="13" spans="1:5" x14ac:dyDescent="0.3">
      <c r="B13" t="s">
        <v>363</v>
      </c>
      <c r="C13" t="s">
        <v>702</v>
      </c>
      <c r="D13" s="55">
        <v>5552158213</v>
      </c>
      <c r="E13" s="56" t="b">
        <v>1</v>
      </c>
    </row>
    <row r="14" spans="1:5" x14ac:dyDescent="0.3">
      <c r="B14" t="s">
        <v>372</v>
      </c>
      <c r="C14" t="s">
        <v>740</v>
      </c>
      <c r="D14" s="55">
        <v>5552161499</v>
      </c>
      <c r="E14" s="56" t="b">
        <v>1</v>
      </c>
    </row>
    <row r="15" spans="1:5" x14ac:dyDescent="0.3">
      <c r="B15" t="s">
        <v>448</v>
      </c>
      <c r="C15" t="s">
        <v>583</v>
      </c>
      <c r="D15" s="55">
        <v>5552169194</v>
      </c>
      <c r="E15" s="56" t="b">
        <v>1</v>
      </c>
    </row>
    <row r="16" spans="1:5" x14ac:dyDescent="0.3">
      <c r="B16" t="s">
        <v>342</v>
      </c>
      <c r="C16" t="s">
        <v>930</v>
      </c>
      <c r="D16" s="55">
        <v>5552202998</v>
      </c>
      <c r="E16" s="56" t="b">
        <v>0</v>
      </c>
    </row>
    <row r="17" spans="2:5" x14ac:dyDescent="0.3">
      <c r="B17" t="s">
        <v>206</v>
      </c>
      <c r="C17" t="s">
        <v>682</v>
      </c>
      <c r="D17" s="55">
        <v>5552212337</v>
      </c>
      <c r="E17" s="56" t="b">
        <v>1</v>
      </c>
    </row>
    <row r="18" spans="2:5" x14ac:dyDescent="0.3">
      <c r="B18" t="s">
        <v>411</v>
      </c>
      <c r="C18" t="s">
        <v>864</v>
      </c>
      <c r="D18" s="55">
        <v>5552264675</v>
      </c>
      <c r="E18" s="56" t="b">
        <v>0</v>
      </c>
    </row>
    <row r="19" spans="2:5" x14ac:dyDescent="0.3">
      <c r="B19" t="s">
        <v>454</v>
      </c>
      <c r="C19" t="s">
        <v>883</v>
      </c>
      <c r="D19" s="55">
        <v>5552267646</v>
      </c>
      <c r="E19" s="56" t="b">
        <v>1</v>
      </c>
    </row>
    <row r="20" spans="2:5" x14ac:dyDescent="0.3">
      <c r="B20" t="s">
        <v>245</v>
      </c>
      <c r="C20" t="s">
        <v>650</v>
      </c>
      <c r="D20" s="55">
        <v>5552556504</v>
      </c>
      <c r="E20" s="56" t="b">
        <v>0</v>
      </c>
    </row>
    <row r="21" spans="2:5" x14ac:dyDescent="0.3">
      <c r="B21" t="s">
        <v>375</v>
      </c>
      <c r="C21" t="s">
        <v>889</v>
      </c>
      <c r="D21" s="55">
        <v>5552586965</v>
      </c>
      <c r="E21" s="56" t="b">
        <v>0</v>
      </c>
    </row>
    <row r="22" spans="2:5" x14ac:dyDescent="0.3">
      <c r="B22" t="s">
        <v>277</v>
      </c>
      <c r="C22" t="s">
        <v>989</v>
      </c>
      <c r="D22" s="55">
        <v>5552601007</v>
      </c>
      <c r="E22" s="56" t="b">
        <v>0</v>
      </c>
    </row>
    <row r="23" spans="2:5" x14ac:dyDescent="0.3">
      <c r="B23" t="s">
        <v>416</v>
      </c>
      <c r="C23" t="s">
        <v>808</v>
      </c>
      <c r="D23" s="55">
        <v>5552605482</v>
      </c>
      <c r="E23" s="56" t="b">
        <v>0</v>
      </c>
    </row>
    <row r="46" spans="2:4" x14ac:dyDescent="0.3">
      <c r="B46" t="s">
        <v>245</v>
      </c>
      <c r="C46" t="s">
        <v>650</v>
      </c>
      <c r="D46" s="55">
        <v>5552556504</v>
      </c>
    </row>
    <row r="47" spans="2:4" x14ac:dyDescent="0.3">
      <c r="B47" t="s">
        <v>375</v>
      </c>
      <c r="C47" t="s">
        <v>889</v>
      </c>
      <c r="D47" s="55">
        <v>5552586965</v>
      </c>
    </row>
    <row r="48" spans="2:4" x14ac:dyDescent="0.3">
      <c r="B48" t="s">
        <v>277</v>
      </c>
      <c r="C48" t="s">
        <v>989</v>
      </c>
      <c r="D48" s="55">
        <v>5552601007</v>
      </c>
    </row>
    <row r="49" spans="2:4" x14ac:dyDescent="0.3">
      <c r="B49" t="s">
        <v>416</v>
      </c>
      <c r="C49" t="s">
        <v>808</v>
      </c>
      <c r="D49" s="55">
        <v>5552605482</v>
      </c>
    </row>
  </sheetData>
  <hyperlinks>
    <hyperlink ref="A1" location="'TOC Gallery'!A1" tooltip="Go To Table of Contents" display="'TOC Gallery'!A1" xr:uid="{B4B4700A-1789-4006-90AB-0A6760B9D3ED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417F-D78F-4225-98D2-05268C3C28D0}">
  <dimension ref="A1:D11"/>
  <sheetViews>
    <sheetView showGridLines="0" workbookViewId="0"/>
  </sheetViews>
  <sheetFormatPr defaultRowHeight="14.4" x14ac:dyDescent="0.3"/>
  <cols>
    <col min="1" max="1" width="2.5546875" customWidth="1"/>
    <col min="2" max="2" width="3" customWidth="1"/>
    <col min="3" max="3" width="2.88671875" bestFit="1" customWidth="1"/>
    <col min="4" max="4" width="26.33203125" bestFit="1" customWidth="1"/>
  </cols>
  <sheetData>
    <row r="1" spans="1:4" s="73" customFormat="1" ht="30" customHeight="1" x14ac:dyDescent="0.4">
      <c r="A1" s="105">
        <v>3</v>
      </c>
      <c r="B1" s="73" t="s">
        <v>1151</v>
      </c>
    </row>
    <row r="3" spans="1:4" x14ac:dyDescent="0.3">
      <c r="B3" s="2" t="s">
        <v>73</v>
      </c>
    </row>
    <row r="4" spans="1:4" ht="7.5" customHeight="1" x14ac:dyDescent="0.3">
      <c r="B4" s="2"/>
    </row>
    <row r="5" spans="1:4" ht="15.75" customHeight="1" x14ac:dyDescent="0.3">
      <c r="B5" s="52" t="b">
        <v>1</v>
      </c>
      <c r="C5" s="50">
        <v>1</v>
      </c>
      <c r="D5" s="2" t="s">
        <v>15</v>
      </c>
    </row>
    <row r="6" spans="1:4" ht="15.75" customHeight="1" x14ac:dyDescent="0.3">
      <c r="B6" s="52" t="b">
        <v>1</v>
      </c>
      <c r="C6" s="50">
        <v>2</v>
      </c>
      <c r="D6" s="2" t="s">
        <v>16</v>
      </c>
    </row>
    <row r="7" spans="1:4" ht="15.75" customHeight="1" x14ac:dyDescent="0.3">
      <c r="B7" s="52" t="b">
        <v>1</v>
      </c>
      <c r="C7" s="50">
        <v>3</v>
      </c>
      <c r="D7" s="2" t="s">
        <v>17</v>
      </c>
    </row>
    <row r="8" spans="1:4" ht="15.75" customHeight="1" x14ac:dyDescent="0.3">
      <c r="B8" s="52" t="b">
        <v>0</v>
      </c>
      <c r="C8" s="50">
        <v>4</v>
      </c>
      <c r="D8" s="2" t="s">
        <v>18</v>
      </c>
    </row>
    <row r="9" spans="1:4" ht="15.75" customHeight="1" x14ac:dyDescent="0.3">
      <c r="B9" s="52" t="b">
        <v>0</v>
      </c>
      <c r="C9" s="50">
        <v>5</v>
      </c>
      <c r="D9" s="2" t="s">
        <v>19</v>
      </c>
    </row>
    <row r="10" spans="1:4" ht="15.75" customHeight="1" x14ac:dyDescent="0.3">
      <c r="B10" s="52" t="b">
        <v>0</v>
      </c>
      <c r="C10" s="50">
        <v>6</v>
      </c>
      <c r="D10" s="2" t="s">
        <v>21</v>
      </c>
    </row>
    <row r="11" spans="1:4" ht="15.75" customHeight="1" x14ac:dyDescent="0.3">
      <c r="B11" s="52" t="b">
        <v>0</v>
      </c>
      <c r="C11" s="50">
        <v>7</v>
      </c>
      <c r="D11" s="2" t="s">
        <v>20</v>
      </c>
    </row>
  </sheetData>
  <conditionalFormatting sqref="D5:D11">
    <cfRule type="expression" dxfId="13" priority="1">
      <formula>$B5=FALSE</formula>
    </cfRule>
  </conditionalFormatting>
  <hyperlinks>
    <hyperlink ref="A1" location="'TOC Gallery'!A1" tooltip="Go To Table of Contents" display="'TOC Gallery'!A1" xr:uid="{1FC27EBD-C9AA-4E7D-8E49-288E7DD9250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C641-5A90-4079-A32F-85A8F94C659F}">
  <dimension ref="A1:D11"/>
  <sheetViews>
    <sheetView showGridLines="0" workbookViewId="0"/>
  </sheetViews>
  <sheetFormatPr defaultRowHeight="14.4" x14ac:dyDescent="0.3"/>
  <cols>
    <col min="1" max="1" width="2.5546875" customWidth="1"/>
    <col min="2" max="2" width="3" customWidth="1"/>
    <col min="3" max="3" width="2.88671875" bestFit="1" customWidth="1"/>
    <col min="4" max="4" width="26.33203125" bestFit="1" customWidth="1"/>
  </cols>
  <sheetData>
    <row r="1" spans="1:4" s="73" customFormat="1" ht="30" customHeight="1" x14ac:dyDescent="0.4">
      <c r="A1" s="105">
        <v>3</v>
      </c>
      <c r="B1" s="73" t="s">
        <v>1150</v>
      </c>
    </row>
    <row r="3" spans="1:4" x14ac:dyDescent="0.3">
      <c r="C3" s="2" t="s">
        <v>73</v>
      </c>
    </row>
    <row r="4" spans="1:4" ht="7.5" customHeight="1" x14ac:dyDescent="0.3">
      <c r="B4" s="2"/>
    </row>
    <row r="5" spans="1:4" x14ac:dyDescent="0.3">
      <c r="B5" s="53" t="b">
        <v>1</v>
      </c>
      <c r="C5" s="50">
        <v>1</v>
      </c>
      <c r="D5" s="2" t="s">
        <v>15</v>
      </c>
    </row>
    <row r="6" spans="1:4" x14ac:dyDescent="0.3">
      <c r="B6" s="53" t="b">
        <v>1</v>
      </c>
      <c r="C6" s="50">
        <v>2</v>
      </c>
      <c r="D6" s="2" t="s">
        <v>16</v>
      </c>
    </row>
    <row r="7" spans="1:4" x14ac:dyDescent="0.3">
      <c r="B7" s="53" t="b">
        <v>1</v>
      </c>
      <c r="C7" s="50">
        <v>3</v>
      </c>
      <c r="D7" s="2" t="s">
        <v>17</v>
      </c>
    </row>
    <row r="8" spans="1:4" x14ac:dyDescent="0.3">
      <c r="B8" s="53" t="b">
        <v>0</v>
      </c>
      <c r="C8" s="50">
        <v>4</v>
      </c>
      <c r="D8" s="2" t="s">
        <v>18</v>
      </c>
    </row>
    <row r="9" spans="1:4" x14ac:dyDescent="0.3">
      <c r="B9" s="53" t="b">
        <v>0</v>
      </c>
      <c r="C9" s="50">
        <v>5</v>
      </c>
      <c r="D9" s="2" t="s">
        <v>19</v>
      </c>
    </row>
    <row r="10" spans="1:4" x14ac:dyDescent="0.3">
      <c r="B10" s="53" t="b">
        <v>0</v>
      </c>
      <c r="C10" s="50">
        <v>6</v>
      </c>
      <c r="D10" s="2" t="s">
        <v>21</v>
      </c>
    </row>
    <row r="11" spans="1:4" x14ac:dyDescent="0.3">
      <c r="B11" s="53" t="b">
        <v>0</v>
      </c>
      <c r="C11" s="50">
        <v>7</v>
      </c>
      <c r="D11" s="2" t="s">
        <v>20</v>
      </c>
    </row>
  </sheetData>
  <conditionalFormatting sqref="D5:D11">
    <cfRule type="expression" dxfId="12" priority="1">
      <formula>$B5=FALSE</formula>
    </cfRule>
  </conditionalFormatting>
  <hyperlinks>
    <hyperlink ref="A1" location="'TOC Gallery'!A1" tooltip="Go To Table of Contents" display="'TOC Gallery'!A1" xr:uid="{AEE741DB-E63A-4F11-B21F-D467D07194E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488C-0977-49D8-B894-882FBCE0604D}">
  <sheetPr codeName="Sheet6"/>
  <dimension ref="A1:AW104"/>
  <sheetViews>
    <sheetView showGridLines="0" workbookViewId="0"/>
  </sheetViews>
  <sheetFormatPr defaultRowHeight="14.4" x14ac:dyDescent="0.3"/>
  <cols>
    <col min="1" max="1" width="3.5546875" style="16" customWidth="1"/>
    <col min="2" max="2" width="13.5546875" customWidth="1"/>
    <col min="34" max="34" width="9" bestFit="1" customWidth="1"/>
    <col min="35" max="38" width="9" customWidth="1"/>
    <col min="42" max="42" width="9" bestFit="1" customWidth="1"/>
    <col min="45" max="45" width="9" bestFit="1" customWidth="1"/>
    <col min="46" max="46" width="10.109375" bestFit="1" customWidth="1"/>
    <col min="47" max="47" width="9.44140625" bestFit="1" customWidth="1"/>
    <col min="49" max="49" width="12.6640625" bestFit="1" customWidth="1"/>
  </cols>
  <sheetData>
    <row r="1" spans="1:49" s="73" customFormat="1" ht="30" customHeight="1" x14ac:dyDescent="0.4">
      <c r="A1" s="105">
        <v>3</v>
      </c>
      <c r="B1" s="73" t="s">
        <v>111</v>
      </c>
    </row>
    <row r="2" spans="1:49" x14ac:dyDescent="0.3">
      <c r="A2" s="31"/>
    </row>
    <row r="3" spans="1:49" x14ac:dyDescent="0.3">
      <c r="B3" s="9" t="s">
        <v>137</v>
      </c>
      <c r="C3" s="9" t="s">
        <v>1</v>
      </c>
      <c r="AE3" s="17" t="s">
        <v>112</v>
      </c>
      <c r="AF3" s="18"/>
      <c r="AG3" s="18"/>
      <c r="AH3" s="18"/>
      <c r="AJ3" s="19" t="s">
        <v>113</v>
      </c>
      <c r="AK3" s="20"/>
      <c r="AM3" s="21" t="s">
        <v>114</v>
      </c>
      <c r="AN3" s="22"/>
      <c r="AP3" s="23" t="s">
        <v>115</v>
      </c>
      <c r="AQ3" s="24"/>
      <c r="AS3" s="25" t="s">
        <v>116</v>
      </c>
      <c r="AT3" s="26"/>
      <c r="AV3" s="17" t="s">
        <v>117</v>
      </c>
      <c r="AW3" s="17"/>
    </row>
    <row r="4" spans="1:49" x14ac:dyDescent="0.3">
      <c r="B4" s="15">
        <v>45200</v>
      </c>
      <c r="C4" s="30" t="b">
        <v>1</v>
      </c>
      <c r="AE4" s="2" t="s">
        <v>118</v>
      </c>
      <c r="AF4" s="2" t="s">
        <v>119</v>
      </c>
      <c r="AG4" s="2" t="s">
        <v>120</v>
      </c>
      <c r="AH4" s="2" t="s">
        <v>121</v>
      </c>
      <c r="AI4" s="2"/>
      <c r="AJ4" s="2" t="s">
        <v>119</v>
      </c>
      <c r="AK4" s="2" t="s">
        <v>120</v>
      </c>
      <c r="AL4" s="2"/>
      <c r="AM4" s="2" t="s">
        <v>119</v>
      </c>
      <c r="AN4" s="2" t="s">
        <v>120</v>
      </c>
      <c r="AO4" s="2"/>
      <c r="AP4" s="2" t="s">
        <v>122</v>
      </c>
      <c r="AQ4" s="2" t="s">
        <v>123</v>
      </c>
      <c r="AR4" s="2"/>
      <c r="AS4" s="2" t="s">
        <v>124</v>
      </c>
      <c r="AT4" s="15">
        <f>DATE(1900,AT6,1)</f>
        <v>45231</v>
      </c>
      <c r="AV4" s="2" t="s">
        <v>125</v>
      </c>
      <c r="AW4" s="2" t="s">
        <v>126</v>
      </c>
    </row>
    <row r="5" spans="1:49" x14ac:dyDescent="0.3">
      <c r="B5" s="15">
        <v>45201</v>
      </c>
      <c r="C5" s="30" t="b">
        <v>1</v>
      </c>
      <c r="AE5">
        <v>1</v>
      </c>
      <c r="AF5">
        <v>1</v>
      </c>
      <c r="AG5">
        <v>6</v>
      </c>
      <c r="AH5" s="27">
        <f t="shared" ref="AH5:AH46" si="0">$AT$4-WEEKDAY($AT$4,$AT$8)+AE5</f>
        <v>45228</v>
      </c>
      <c r="AI5" s="27"/>
      <c r="AJ5" s="27">
        <f t="shared" ref="AJ5:AJ46" si="1">IF(MONTH($AT$4)&lt;&gt;MONTH(AH5),AF5,NA())</f>
        <v>1</v>
      </c>
      <c r="AK5">
        <v>6</v>
      </c>
      <c r="AL5" s="27"/>
      <c r="AM5" t="e">
        <f t="shared" ref="AM5:AM46" si="2">IF(COUNTIFS($B$4:$B$95,$AH5,$C$4:$C$95,TRUE)&gt;0,AF5,NA())</f>
        <v>#N/A</v>
      </c>
      <c r="AN5">
        <v>6</v>
      </c>
      <c r="AP5" t="str">
        <f t="shared" ref="AP5:AP11" si="3">LEFT(TEXT(AH5,"DDD"),1)</f>
        <v>S</v>
      </c>
      <c r="AQ5">
        <v>0</v>
      </c>
      <c r="AS5" s="2" t="s">
        <v>127</v>
      </c>
      <c r="AT5" t="str">
        <f>TEXT(AT4,"mmmm yyyy")</f>
        <v>November 2023</v>
      </c>
      <c r="AV5" t="s">
        <v>128</v>
      </c>
      <c r="AW5">
        <v>1</v>
      </c>
    </row>
    <row r="6" spans="1:49" x14ac:dyDescent="0.3">
      <c r="B6" s="15">
        <v>45202</v>
      </c>
      <c r="C6" s="30" t="b">
        <v>1</v>
      </c>
      <c r="AE6">
        <v>2</v>
      </c>
      <c r="AF6">
        <v>2</v>
      </c>
      <c r="AG6">
        <v>6</v>
      </c>
      <c r="AH6" s="27">
        <f t="shared" si="0"/>
        <v>45229</v>
      </c>
      <c r="AI6" s="27"/>
      <c r="AJ6" s="27">
        <f t="shared" si="1"/>
        <v>2</v>
      </c>
      <c r="AK6">
        <v>6</v>
      </c>
      <c r="AL6" s="27"/>
      <c r="AM6" t="e">
        <f t="shared" si="2"/>
        <v>#N/A</v>
      </c>
      <c r="AN6">
        <v>6</v>
      </c>
      <c r="AP6" t="str">
        <f t="shared" si="3"/>
        <v>M</v>
      </c>
      <c r="AQ6">
        <v>0</v>
      </c>
      <c r="AS6" s="28" t="s">
        <v>129</v>
      </c>
      <c r="AT6">
        <v>1487</v>
      </c>
      <c r="AV6" t="s">
        <v>130</v>
      </c>
      <c r="AW6">
        <v>11</v>
      </c>
    </row>
    <row r="7" spans="1:49" x14ac:dyDescent="0.3">
      <c r="B7" s="15">
        <v>45203</v>
      </c>
      <c r="C7" s="30" t="b">
        <v>1</v>
      </c>
      <c r="AE7">
        <v>3</v>
      </c>
      <c r="AF7">
        <v>3</v>
      </c>
      <c r="AG7">
        <v>6</v>
      </c>
      <c r="AH7" s="27">
        <f t="shared" si="0"/>
        <v>45230</v>
      </c>
      <c r="AI7" s="27"/>
      <c r="AJ7" s="27">
        <f t="shared" si="1"/>
        <v>3</v>
      </c>
      <c r="AK7">
        <v>6</v>
      </c>
      <c r="AL7" s="27"/>
      <c r="AM7" t="e">
        <f t="shared" si="2"/>
        <v>#N/A</v>
      </c>
      <c r="AN7">
        <v>6</v>
      </c>
      <c r="AP7" t="str">
        <f t="shared" si="3"/>
        <v>T</v>
      </c>
      <c r="AQ7">
        <v>0</v>
      </c>
      <c r="AS7" s="28" t="s">
        <v>124</v>
      </c>
      <c r="AT7" t="s">
        <v>128</v>
      </c>
      <c r="AV7" t="s">
        <v>131</v>
      </c>
      <c r="AW7">
        <v>12</v>
      </c>
    </row>
    <row r="8" spans="1:49" x14ac:dyDescent="0.3">
      <c r="B8" s="15">
        <v>45204</v>
      </c>
      <c r="C8" s="30" t="b">
        <v>1</v>
      </c>
      <c r="AE8">
        <v>4</v>
      </c>
      <c r="AF8">
        <v>4</v>
      </c>
      <c r="AG8">
        <v>6</v>
      </c>
      <c r="AH8" s="27">
        <f t="shared" si="0"/>
        <v>45231</v>
      </c>
      <c r="AI8" s="27"/>
      <c r="AJ8" s="27" t="e">
        <f t="shared" si="1"/>
        <v>#N/A</v>
      </c>
      <c r="AK8">
        <v>6</v>
      </c>
      <c r="AL8" s="27"/>
      <c r="AM8">
        <f t="shared" si="2"/>
        <v>4</v>
      </c>
      <c r="AN8">
        <v>6</v>
      </c>
      <c r="AP8" t="str">
        <f t="shared" si="3"/>
        <v>W</v>
      </c>
      <c r="AQ8">
        <v>0</v>
      </c>
      <c r="AS8" s="28" t="s">
        <v>132</v>
      </c>
      <c r="AT8">
        <f>VLOOKUP(AT7,$AV$5:$AW$11,2,FALSE)</f>
        <v>1</v>
      </c>
      <c r="AV8" t="s">
        <v>133</v>
      </c>
      <c r="AW8">
        <v>13</v>
      </c>
    </row>
    <row r="9" spans="1:49" x14ac:dyDescent="0.3">
      <c r="B9" s="15">
        <v>45205</v>
      </c>
      <c r="C9" s="30" t="b">
        <v>1</v>
      </c>
      <c r="AE9">
        <v>5</v>
      </c>
      <c r="AF9">
        <v>5</v>
      </c>
      <c r="AG9">
        <v>6</v>
      </c>
      <c r="AH9" s="27">
        <f t="shared" si="0"/>
        <v>45232</v>
      </c>
      <c r="AI9" s="27"/>
      <c r="AJ9" s="27" t="e">
        <f t="shared" si="1"/>
        <v>#N/A</v>
      </c>
      <c r="AK9">
        <v>6</v>
      </c>
      <c r="AL9" s="27"/>
      <c r="AM9">
        <f t="shared" si="2"/>
        <v>5</v>
      </c>
      <c r="AN9">
        <v>6</v>
      </c>
      <c r="AP9" t="str">
        <f t="shared" si="3"/>
        <v>T</v>
      </c>
      <c r="AQ9">
        <v>0</v>
      </c>
      <c r="AS9" s="29"/>
      <c r="AV9" t="s">
        <v>134</v>
      </c>
      <c r="AW9">
        <v>14</v>
      </c>
    </row>
    <row r="10" spans="1:49" x14ac:dyDescent="0.3">
      <c r="B10" s="15">
        <v>45206</v>
      </c>
      <c r="C10" s="30" t="b">
        <v>1</v>
      </c>
      <c r="AE10">
        <v>6</v>
      </c>
      <c r="AF10">
        <v>6</v>
      </c>
      <c r="AG10">
        <v>6</v>
      </c>
      <c r="AH10" s="27">
        <f t="shared" si="0"/>
        <v>45233</v>
      </c>
      <c r="AI10" s="27"/>
      <c r="AJ10" s="27" t="e">
        <f t="shared" si="1"/>
        <v>#N/A</v>
      </c>
      <c r="AK10">
        <v>6</v>
      </c>
      <c r="AL10" s="27"/>
      <c r="AM10" t="e">
        <f t="shared" si="2"/>
        <v>#N/A</v>
      </c>
      <c r="AN10">
        <v>6</v>
      </c>
      <c r="AP10" t="str">
        <f t="shared" si="3"/>
        <v>F</v>
      </c>
      <c r="AQ10">
        <v>0</v>
      </c>
      <c r="AS10" s="29"/>
      <c r="AV10" t="s">
        <v>135</v>
      </c>
      <c r="AW10">
        <v>15</v>
      </c>
    </row>
    <row r="11" spans="1:49" x14ac:dyDescent="0.3">
      <c r="B11" s="15">
        <v>45207</v>
      </c>
      <c r="C11" s="30" t="b">
        <v>1</v>
      </c>
      <c r="AE11">
        <v>7</v>
      </c>
      <c r="AF11">
        <v>7</v>
      </c>
      <c r="AG11">
        <v>6</v>
      </c>
      <c r="AH11" s="27">
        <f t="shared" si="0"/>
        <v>45234</v>
      </c>
      <c r="AI11" s="27"/>
      <c r="AJ11" s="27" t="e">
        <f t="shared" si="1"/>
        <v>#N/A</v>
      </c>
      <c r="AK11">
        <v>6</v>
      </c>
      <c r="AL11" s="27"/>
      <c r="AM11" t="e">
        <f t="shared" si="2"/>
        <v>#N/A</v>
      </c>
      <c r="AN11">
        <v>6</v>
      </c>
      <c r="AP11" t="str">
        <f t="shared" si="3"/>
        <v>S</v>
      </c>
      <c r="AQ11">
        <v>0</v>
      </c>
      <c r="AS11" s="29"/>
      <c r="AV11" t="s">
        <v>136</v>
      </c>
      <c r="AW11">
        <v>16</v>
      </c>
    </row>
    <row r="12" spans="1:49" x14ac:dyDescent="0.3">
      <c r="B12" s="15">
        <v>45208</v>
      </c>
      <c r="C12" s="30" t="b">
        <v>1</v>
      </c>
      <c r="AE12">
        <v>8</v>
      </c>
      <c r="AF12">
        <f>AF5</f>
        <v>1</v>
      </c>
      <c r="AG12">
        <f t="shared" ref="AG12:AG46" si="4">AG5-1</f>
        <v>5</v>
      </c>
      <c r="AH12" s="27">
        <f t="shared" si="0"/>
        <v>45235</v>
      </c>
      <c r="AI12" s="27"/>
      <c r="AJ12" s="27" t="e">
        <f t="shared" si="1"/>
        <v>#N/A</v>
      </c>
      <c r="AK12">
        <f>AK5-1</f>
        <v>5</v>
      </c>
      <c r="AL12" s="27"/>
      <c r="AM12" t="e">
        <f t="shared" si="2"/>
        <v>#N/A</v>
      </c>
      <c r="AN12">
        <f t="shared" ref="AN12:AN46" si="5">AN5-1</f>
        <v>5</v>
      </c>
      <c r="AS12" s="29"/>
    </row>
    <row r="13" spans="1:49" x14ac:dyDescent="0.3">
      <c r="B13" s="15">
        <v>45209</v>
      </c>
      <c r="C13" s="30" t="b">
        <v>1</v>
      </c>
      <c r="AE13">
        <v>9</v>
      </c>
      <c r="AF13">
        <f t="shared" ref="AF13:AF46" si="6">AF6</f>
        <v>2</v>
      </c>
      <c r="AG13">
        <f t="shared" si="4"/>
        <v>5</v>
      </c>
      <c r="AH13" s="27">
        <f t="shared" si="0"/>
        <v>45236</v>
      </c>
      <c r="AI13" s="27"/>
      <c r="AJ13" s="27" t="e">
        <f t="shared" si="1"/>
        <v>#N/A</v>
      </c>
      <c r="AK13">
        <f t="shared" ref="AK13:AK46" si="7">AK6-1</f>
        <v>5</v>
      </c>
      <c r="AL13" s="27"/>
      <c r="AM13" t="e">
        <f t="shared" si="2"/>
        <v>#N/A</v>
      </c>
      <c r="AN13">
        <f t="shared" si="5"/>
        <v>5</v>
      </c>
      <c r="AS13" s="29"/>
    </row>
    <row r="14" spans="1:49" x14ac:dyDescent="0.3">
      <c r="B14" s="15">
        <v>45210</v>
      </c>
      <c r="C14" s="30" t="b">
        <v>1</v>
      </c>
      <c r="AE14">
        <v>10</v>
      </c>
      <c r="AF14">
        <f t="shared" si="6"/>
        <v>3</v>
      </c>
      <c r="AG14">
        <f t="shared" si="4"/>
        <v>5</v>
      </c>
      <c r="AH14" s="27">
        <f t="shared" si="0"/>
        <v>45237</v>
      </c>
      <c r="AI14" s="27"/>
      <c r="AJ14" s="27" t="e">
        <f t="shared" si="1"/>
        <v>#N/A</v>
      </c>
      <c r="AK14">
        <f t="shared" si="7"/>
        <v>5</v>
      </c>
      <c r="AL14" s="27"/>
      <c r="AM14" t="e">
        <f t="shared" si="2"/>
        <v>#N/A</v>
      </c>
      <c r="AN14">
        <f t="shared" si="5"/>
        <v>5</v>
      </c>
      <c r="AS14" s="29"/>
    </row>
    <row r="15" spans="1:49" x14ac:dyDescent="0.3">
      <c r="B15" s="15">
        <v>45211</v>
      </c>
      <c r="C15" s="30" t="b">
        <v>1</v>
      </c>
      <c r="AE15">
        <v>11</v>
      </c>
      <c r="AF15">
        <f t="shared" si="6"/>
        <v>4</v>
      </c>
      <c r="AG15">
        <f t="shared" si="4"/>
        <v>5</v>
      </c>
      <c r="AH15" s="27">
        <f t="shared" si="0"/>
        <v>45238</v>
      </c>
      <c r="AI15" s="27"/>
      <c r="AJ15" s="27" t="e">
        <f t="shared" si="1"/>
        <v>#N/A</v>
      </c>
      <c r="AK15">
        <f t="shared" si="7"/>
        <v>5</v>
      </c>
      <c r="AL15" s="27"/>
      <c r="AM15" t="e">
        <f t="shared" si="2"/>
        <v>#N/A</v>
      </c>
      <c r="AN15">
        <f t="shared" si="5"/>
        <v>5</v>
      </c>
      <c r="AS15" s="29"/>
    </row>
    <row r="16" spans="1:49" x14ac:dyDescent="0.3">
      <c r="B16" s="15">
        <v>45212</v>
      </c>
      <c r="C16" s="30" t="b">
        <v>1</v>
      </c>
      <c r="AE16">
        <v>12</v>
      </c>
      <c r="AF16">
        <f t="shared" si="6"/>
        <v>5</v>
      </c>
      <c r="AG16">
        <f t="shared" si="4"/>
        <v>5</v>
      </c>
      <c r="AH16" s="27">
        <f t="shared" si="0"/>
        <v>45239</v>
      </c>
      <c r="AI16" s="27"/>
      <c r="AJ16" s="27" t="e">
        <f t="shared" si="1"/>
        <v>#N/A</v>
      </c>
      <c r="AK16">
        <f t="shared" si="7"/>
        <v>5</v>
      </c>
      <c r="AL16" s="27"/>
      <c r="AM16" t="e">
        <f t="shared" si="2"/>
        <v>#N/A</v>
      </c>
      <c r="AN16">
        <f t="shared" si="5"/>
        <v>5</v>
      </c>
      <c r="AS16" s="29"/>
    </row>
    <row r="17" spans="2:45" x14ac:dyDescent="0.3">
      <c r="B17" s="15">
        <v>45213</v>
      </c>
      <c r="C17" s="30" t="b">
        <v>1</v>
      </c>
      <c r="AE17">
        <v>13</v>
      </c>
      <c r="AF17">
        <f t="shared" si="6"/>
        <v>6</v>
      </c>
      <c r="AG17">
        <f t="shared" si="4"/>
        <v>5</v>
      </c>
      <c r="AH17" s="27">
        <f t="shared" si="0"/>
        <v>45240</v>
      </c>
      <c r="AI17" s="27"/>
      <c r="AJ17" s="27" t="e">
        <f t="shared" si="1"/>
        <v>#N/A</v>
      </c>
      <c r="AK17">
        <f t="shared" si="7"/>
        <v>5</v>
      </c>
      <c r="AL17" s="27"/>
      <c r="AM17" t="e">
        <f t="shared" si="2"/>
        <v>#N/A</v>
      </c>
      <c r="AN17">
        <f t="shared" si="5"/>
        <v>5</v>
      </c>
      <c r="AS17" s="29"/>
    </row>
    <row r="18" spans="2:45" x14ac:dyDescent="0.3">
      <c r="B18" s="15">
        <v>45214</v>
      </c>
      <c r="C18" s="30" t="b">
        <v>1</v>
      </c>
      <c r="AE18">
        <v>14</v>
      </c>
      <c r="AF18">
        <f t="shared" si="6"/>
        <v>7</v>
      </c>
      <c r="AG18">
        <f t="shared" si="4"/>
        <v>5</v>
      </c>
      <c r="AH18" s="27">
        <f t="shared" si="0"/>
        <v>45241</v>
      </c>
      <c r="AI18" s="27"/>
      <c r="AJ18" s="27" t="e">
        <f t="shared" si="1"/>
        <v>#N/A</v>
      </c>
      <c r="AK18">
        <f t="shared" si="7"/>
        <v>5</v>
      </c>
      <c r="AL18" s="27"/>
      <c r="AM18" t="e">
        <f t="shared" si="2"/>
        <v>#N/A</v>
      </c>
      <c r="AN18">
        <f t="shared" si="5"/>
        <v>5</v>
      </c>
      <c r="AS18" s="29"/>
    </row>
    <row r="19" spans="2:45" x14ac:dyDescent="0.3">
      <c r="B19" s="15">
        <v>45215</v>
      </c>
      <c r="C19" s="30" t="b">
        <v>1</v>
      </c>
      <c r="AE19">
        <v>15</v>
      </c>
      <c r="AF19">
        <f t="shared" si="6"/>
        <v>1</v>
      </c>
      <c r="AG19">
        <f t="shared" si="4"/>
        <v>4</v>
      </c>
      <c r="AH19" s="27">
        <f t="shared" si="0"/>
        <v>45242</v>
      </c>
      <c r="AI19" s="27"/>
      <c r="AJ19" s="27" t="e">
        <f t="shared" si="1"/>
        <v>#N/A</v>
      </c>
      <c r="AK19">
        <f t="shared" si="7"/>
        <v>4</v>
      </c>
      <c r="AL19" s="27"/>
      <c r="AM19" t="e">
        <f t="shared" si="2"/>
        <v>#N/A</v>
      </c>
      <c r="AN19">
        <f t="shared" si="5"/>
        <v>4</v>
      </c>
      <c r="AS19" s="29"/>
    </row>
    <row r="20" spans="2:45" x14ac:dyDescent="0.3">
      <c r="B20" s="15">
        <v>45216</v>
      </c>
      <c r="C20" s="30" t="b">
        <v>1</v>
      </c>
      <c r="AE20">
        <v>16</v>
      </c>
      <c r="AF20">
        <f t="shared" si="6"/>
        <v>2</v>
      </c>
      <c r="AG20">
        <f t="shared" si="4"/>
        <v>4</v>
      </c>
      <c r="AH20" s="27">
        <f t="shared" si="0"/>
        <v>45243</v>
      </c>
      <c r="AI20" s="27"/>
      <c r="AJ20" s="27" t="e">
        <f t="shared" si="1"/>
        <v>#N/A</v>
      </c>
      <c r="AK20">
        <f t="shared" si="7"/>
        <v>4</v>
      </c>
      <c r="AL20" s="27"/>
      <c r="AM20" t="e">
        <f t="shared" si="2"/>
        <v>#N/A</v>
      </c>
      <c r="AN20">
        <f t="shared" si="5"/>
        <v>4</v>
      </c>
      <c r="AS20" s="29"/>
    </row>
    <row r="21" spans="2:45" x14ac:dyDescent="0.3">
      <c r="B21" s="15">
        <v>45217</v>
      </c>
      <c r="C21" s="30" t="b">
        <v>1</v>
      </c>
      <c r="AE21">
        <v>17</v>
      </c>
      <c r="AF21">
        <f t="shared" si="6"/>
        <v>3</v>
      </c>
      <c r="AG21">
        <f t="shared" si="4"/>
        <v>4</v>
      </c>
      <c r="AH21" s="27">
        <f t="shared" si="0"/>
        <v>45244</v>
      </c>
      <c r="AI21" s="27"/>
      <c r="AJ21" s="27" t="e">
        <f t="shared" si="1"/>
        <v>#N/A</v>
      </c>
      <c r="AK21">
        <f t="shared" si="7"/>
        <v>4</v>
      </c>
      <c r="AL21" s="27"/>
      <c r="AM21" t="e">
        <f t="shared" si="2"/>
        <v>#N/A</v>
      </c>
      <c r="AN21">
        <f t="shared" si="5"/>
        <v>4</v>
      </c>
      <c r="AS21" s="29"/>
    </row>
    <row r="22" spans="2:45" x14ac:dyDescent="0.3">
      <c r="B22" s="15">
        <v>45218</v>
      </c>
      <c r="C22" s="30" t="b">
        <v>1</v>
      </c>
      <c r="AE22">
        <v>18</v>
      </c>
      <c r="AF22">
        <f t="shared" si="6"/>
        <v>4</v>
      </c>
      <c r="AG22">
        <f t="shared" si="4"/>
        <v>4</v>
      </c>
      <c r="AH22" s="27">
        <f t="shared" si="0"/>
        <v>45245</v>
      </c>
      <c r="AI22" s="27"/>
      <c r="AJ22" s="27" t="e">
        <f t="shared" si="1"/>
        <v>#N/A</v>
      </c>
      <c r="AK22">
        <f t="shared" si="7"/>
        <v>4</v>
      </c>
      <c r="AL22" s="27"/>
      <c r="AM22" t="e">
        <f t="shared" si="2"/>
        <v>#N/A</v>
      </c>
      <c r="AN22">
        <f t="shared" si="5"/>
        <v>4</v>
      </c>
      <c r="AS22" s="29"/>
    </row>
    <row r="23" spans="2:45" x14ac:dyDescent="0.3">
      <c r="B23" s="15">
        <v>45219</v>
      </c>
      <c r="C23" s="30" t="b">
        <v>1</v>
      </c>
      <c r="AE23">
        <v>19</v>
      </c>
      <c r="AF23">
        <f t="shared" si="6"/>
        <v>5</v>
      </c>
      <c r="AG23">
        <f t="shared" si="4"/>
        <v>4</v>
      </c>
      <c r="AH23" s="27">
        <f t="shared" si="0"/>
        <v>45246</v>
      </c>
      <c r="AI23" s="27"/>
      <c r="AJ23" s="27" t="e">
        <f t="shared" si="1"/>
        <v>#N/A</v>
      </c>
      <c r="AK23">
        <f t="shared" si="7"/>
        <v>4</v>
      </c>
      <c r="AL23" s="27"/>
      <c r="AM23" t="e">
        <f t="shared" si="2"/>
        <v>#N/A</v>
      </c>
      <c r="AN23">
        <f t="shared" si="5"/>
        <v>4</v>
      </c>
      <c r="AS23" s="29"/>
    </row>
    <row r="24" spans="2:45" x14ac:dyDescent="0.3">
      <c r="B24" s="15">
        <v>45220</v>
      </c>
      <c r="C24" s="30" t="b">
        <v>0</v>
      </c>
      <c r="AE24">
        <v>20</v>
      </c>
      <c r="AF24">
        <f t="shared" si="6"/>
        <v>6</v>
      </c>
      <c r="AG24">
        <f t="shared" si="4"/>
        <v>4</v>
      </c>
      <c r="AH24" s="27">
        <f t="shared" si="0"/>
        <v>45247</v>
      </c>
      <c r="AI24" s="27"/>
      <c r="AJ24" s="27" t="e">
        <f t="shared" si="1"/>
        <v>#N/A</v>
      </c>
      <c r="AK24">
        <f t="shared" si="7"/>
        <v>4</v>
      </c>
      <c r="AL24" s="27"/>
      <c r="AM24" t="e">
        <f t="shared" si="2"/>
        <v>#N/A</v>
      </c>
      <c r="AN24">
        <f t="shared" si="5"/>
        <v>4</v>
      </c>
      <c r="AS24" s="29"/>
    </row>
    <row r="25" spans="2:45" x14ac:dyDescent="0.3">
      <c r="B25" s="15">
        <v>45221</v>
      </c>
      <c r="C25" s="30" t="b">
        <v>1</v>
      </c>
      <c r="AE25">
        <v>21</v>
      </c>
      <c r="AF25">
        <f t="shared" si="6"/>
        <v>7</v>
      </c>
      <c r="AG25">
        <f t="shared" si="4"/>
        <v>4</v>
      </c>
      <c r="AH25" s="27">
        <f t="shared" si="0"/>
        <v>45248</v>
      </c>
      <c r="AI25" s="27"/>
      <c r="AJ25" s="27" t="e">
        <f t="shared" si="1"/>
        <v>#N/A</v>
      </c>
      <c r="AK25">
        <f t="shared" si="7"/>
        <v>4</v>
      </c>
      <c r="AL25" s="27"/>
      <c r="AM25" t="e">
        <f t="shared" si="2"/>
        <v>#N/A</v>
      </c>
      <c r="AN25">
        <f t="shared" si="5"/>
        <v>4</v>
      </c>
      <c r="AS25" s="29"/>
    </row>
    <row r="26" spans="2:45" x14ac:dyDescent="0.3">
      <c r="B26" s="15">
        <v>45222</v>
      </c>
      <c r="C26" s="30" t="b">
        <v>1</v>
      </c>
      <c r="AE26">
        <v>22</v>
      </c>
      <c r="AF26">
        <f t="shared" si="6"/>
        <v>1</v>
      </c>
      <c r="AG26">
        <f t="shared" si="4"/>
        <v>3</v>
      </c>
      <c r="AH26" s="27">
        <f t="shared" si="0"/>
        <v>45249</v>
      </c>
      <c r="AI26" s="27"/>
      <c r="AJ26" s="27" t="e">
        <f t="shared" si="1"/>
        <v>#N/A</v>
      </c>
      <c r="AK26">
        <f t="shared" si="7"/>
        <v>3</v>
      </c>
      <c r="AL26" s="27"/>
      <c r="AM26" t="e">
        <f t="shared" si="2"/>
        <v>#N/A</v>
      </c>
      <c r="AN26">
        <f t="shared" si="5"/>
        <v>3</v>
      </c>
      <c r="AS26" s="29"/>
    </row>
    <row r="27" spans="2:45" x14ac:dyDescent="0.3">
      <c r="B27" s="15">
        <v>45223</v>
      </c>
      <c r="C27" s="30" t="b">
        <v>0</v>
      </c>
      <c r="AE27">
        <v>23</v>
      </c>
      <c r="AF27">
        <f t="shared" si="6"/>
        <v>2</v>
      </c>
      <c r="AG27">
        <f t="shared" si="4"/>
        <v>3</v>
      </c>
      <c r="AH27" s="27">
        <f t="shared" si="0"/>
        <v>45250</v>
      </c>
      <c r="AI27" s="27"/>
      <c r="AJ27" s="27" t="e">
        <f t="shared" si="1"/>
        <v>#N/A</v>
      </c>
      <c r="AK27">
        <f t="shared" si="7"/>
        <v>3</v>
      </c>
      <c r="AL27" s="27"/>
      <c r="AM27" t="e">
        <f t="shared" si="2"/>
        <v>#N/A</v>
      </c>
      <c r="AN27">
        <f t="shared" si="5"/>
        <v>3</v>
      </c>
      <c r="AS27" s="29"/>
    </row>
    <row r="28" spans="2:45" x14ac:dyDescent="0.3">
      <c r="B28" s="15">
        <v>45224</v>
      </c>
      <c r="C28" s="30" t="b">
        <v>1</v>
      </c>
      <c r="AE28">
        <v>24</v>
      </c>
      <c r="AF28">
        <f t="shared" si="6"/>
        <v>3</v>
      </c>
      <c r="AG28">
        <f t="shared" si="4"/>
        <v>3</v>
      </c>
      <c r="AH28" s="27">
        <f t="shared" si="0"/>
        <v>45251</v>
      </c>
      <c r="AI28" s="27"/>
      <c r="AJ28" s="27" t="e">
        <f t="shared" si="1"/>
        <v>#N/A</v>
      </c>
      <c r="AK28">
        <f t="shared" si="7"/>
        <v>3</v>
      </c>
      <c r="AL28" s="27"/>
      <c r="AM28" t="e">
        <f t="shared" si="2"/>
        <v>#N/A</v>
      </c>
      <c r="AN28">
        <f t="shared" si="5"/>
        <v>3</v>
      </c>
      <c r="AS28" s="29"/>
    </row>
    <row r="29" spans="2:45" x14ac:dyDescent="0.3">
      <c r="B29" s="15">
        <v>45225</v>
      </c>
      <c r="C29" s="30" t="b">
        <v>0</v>
      </c>
      <c r="AE29">
        <v>25</v>
      </c>
      <c r="AF29">
        <f t="shared" si="6"/>
        <v>4</v>
      </c>
      <c r="AG29">
        <f t="shared" si="4"/>
        <v>3</v>
      </c>
      <c r="AH29" s="27">
        <f t="shared" si="0"/>
        <v>45252</v>
      </c>
      <c r="AI29" s="27"/>
      <c r="AJ29" s="27" t="e">
        <f t="shared" si="1"/>
        <v>#N/A</v>
      </c>
      <c r="AK29">
        <f t="shared" si="7"/>
        <v>3</v>
      </c>
      <c r="AL29" s="27"/>
      <c r="AM29" t="e">
        <f t="shared" si="2"/>
        <v>#N/A</v>
      </c>
      <c r="AN29">
        <f t="shared" si="5"/>
        <v>3</v>
      </c>
      <c r="AS29" s="29"/>
    </row>
    <row r="30" spans="2:45" x14ac:dyDescent="0.3">
      <c r="B30" s="15">
        <v>45226</v>
      </c>
      <c r="C30" s="30" t="b">
        <v>0</v>
      </c>
      <c r="AE30">
        <v>26</v>
      </c>
      <c r="AF30">
        <f t="shared" si="6"/>
        <v>5</v>
      </c>
      <c r="AG30">
        <f t="shared" si="4"/>
        <v>3</v>
      </c>
      <c r="AH30" s="27">
        <f t="shared" si="0"/>
        <v>45253</v>
      </c>
      <c r="AI30" s="27"/>
      <c r="AJ30" s="27" t="e">
        <f t="shared" si="1"/>
        <v>#N/A</v>
      </c>
      <c r="AK30">
        <f t="shared" si="7"/>
        <v>3</v>
      </c>
      <c r="AL30" s="27"/>
      <c r="AM30" t="e">
        <f t="shared" si="2"/>
        <v>#N/A</v>
      </c>
      <c r="AN30">
        <f t="shared" si="5"/>
        <v>3</v>
      </c>
      <c r="AS30" s="29"/>
    </row>
    <row r="31" spans="2:45" x14ac:dyDescent="0.3">
      <c r="B31" s="15">
        <v>45227</v>
      </c>
      <c r="C31" s="30" t="b">
        <v>0</v>
      </c>
      <c r="AE31">
        <v>27</v>
      </c>
      <c r="AF31">
        <f t="shared" si="6"/>
        <v>6</v>
      </c>
      <c r="AG31">
        <f t="shared" si="4"/>
        <v>3</v>
      </c>
      <c r="AH31" s="27">
        <f t="shared" si="0"/>
        <v>45254</v>
      </c>
      <c r="AI31" s="27"/>
      <c r="AJ31" s="27" t="e">
        <f t="shared" si="1"/>
        <v>#N/A</v>
      </c>
      <c r="AK31">
        <f t="shared" si="7"/>
        <v>3</v>
      </c>
      <c r="AL31" s="27"/>
      <c r="AM31" t="e">
        <f t="shared" si="2"/>
        <v>#N/A</v>
      </c>
      <c r="AN31">
        <f t="shared" si="5"/>
        <v>3</v>
      </c>
      <c r="AS31" s="29"/>
    </row>
    <row r="32" spans="2:45" x14ac:dyDescent="0.3">
      <c r="B32" s="15">
        <v>45228</v>
      </c>
      <c r="C32" s="30" t="b">
        <v>0</v>
      </c>
      <c r="AE32">
        <v>28</v>
      </c>
      <c r="AF32">
        <f t="shared" si="6"/>
        <v>7</v>
      </c>
      <c r="AG32">
        <f t="shared" si="4"/>
        <v>3</v>
      </c>
      <c r="AH32" s="27">
        <f t="shared" si="0"/>
        <v>45255</v>
      </c>
      <c r="AI32" s="27"/>
      <c r="AJ32" s="27" t="e">
        <f t="shared" si="1"/>
        <v>#N/A</v>
      </c>
      <c r="AK32">
        <f t="shared" si="7"/>
        <v>3</v>
      </c>
      <c r="AL32" s="27"/>
      <c r="AM32" t="e">
        <f t="shared" si="2"/>
        <v>#N/A</v>
      </c>
      <c r="AN32">
        <f t="shared" si="5"/>
        <v>3</v>
      </c>
      <c r="AS32" s="29"/>
    </row>
    <row r="33" spans="2:45" x14ac:dyDescent="0.3">
      <c r="B33" s="15">
        <v>45229</v>
      </c>
      <c r="C33" s="30" t="b">
        <v>0</v>
      </c>
      <c r="AE33">
        <v>29</v>
      </c>
      <c r="AF33">
        <f t="shared" si="6"/>
        <v>1</v>
      </c>
      <c r="AG33">
        <f t="shared" si="4"/>
        <v>2</v>
      </c>
      <c r="AH33" s="27">
        <f t="shared" si="0"/>
        <v>45256</v>
      </c>
      <c r="AI33" s="27"/>
      <c r="AJ33" s="27" t="e">
        <f t="shared" si="1"/>
        <v>#N/A</v>
      </c>
      <c r="AK33">
        <f t="shared" si="7"/>
        <v>2</v>
      </c>
      <c r="AL33" s="27"/>
      <c r="AM33" t="e">
        <f t="shared" si="2"/>
        <v>#N/A</v>
      </c>
      <c r="AN33">
        <f t="shared" si="5"/>
        <v>2</v>
      </c>
      <c r="AS33" s="29"/>
    </row>
    <row r="34" spans="2:45" x14ac:dyDescent="0.3">
      <c r="B34" s="15">
        <v>45230</v>
      </c>
      <c r="C34" s="30" t="b">
        <v>0</v>
      </c>
      <c r="AE34">
        <v>30</v>
      </c>
      <c r="AF34">
        <f t="shared" si="6"/>
        <v>2</v>
      </c>
      <c r="AG34">
        <f t="shared" si="4"/>
        <v>2</v>
      </c>
      <c r="AH34" s="27">
        <f t="shared" si="0"/>
        <v>45257</v>
      </c>
      <c r="AI34" s="27"/>
      <c r="AJ34" s="27" t="e">
        <f t="shared" si="1"/>
        <v>#N/A</v>
      </c>
      <c r="AK34">
        <f t="shared" si="7"/>
        <v>2</v>
      </c>
      <c r="AL34" s="27"/>
      <c r="AM34" t="e">
        <f t="shared" si="2"/>
        <v>#N/A</v>
      </c>
      <c r="AN34">
        <f t="shared" si="5"/>
        <v>2</v>
      </c>
      <c r="AS34" s="29"/>
    </row>
    <row r="35" spans="2:45" x14ac:dyDescent="0.3">
      <c r="B35" s="15">
        <v>45231</v>
      </c>
      <c r="C35" s="30" t="b">
        <v>1</v>
      </c>
      <c r="AE35">
        <v>31</v>
      </c>
      <c r="AF35">
        <f t="shared" si="6"/>
        <v>3</v>
      </c>
      <c r="AG35">
        <f t="shared" si="4"/>
        <v>2</v>
      </c>
      <c r="AH35" s="27">
        <f t="shared" si="0"/>
        <v>45258</v>
      </c>
      <c r="AI35" s="27"/>
      <c r="AJ35" s="27" t="e">
        <f t="shared" si="1"/>
        <v>#N/A</v>
      </c>
      <c r="AK35">
        <f t="shared" si="7"/>
        <v>2</v>
      </c>
      <c r="AL35" s="27"/>
      <c r="AM35" t="e">
        <f t="shared" si="2"/>
        <v>#N/A</v>
      </c>
      <c r="AN35">
        <f t="shared" si="5"/>
        <v>2</v>
      </c>
      <c r="AS35" s="29"/>
    </row>
    <row r="36" spans="2:45" x14ac:dyDescent="0.3">
      <c r="B36" s="15">
        <v>45232</v>
      </c>
      <c r="C36" s="30" t="b">
        <v>1</v>
      </c>
      <c r="AE36">
        <v>32</v>
      </c>
      <c r="AF36">
        <f t="shared" si="6"/>
        <v>4</v>
      </c>
      <c r="AG36">
        <f t="shared" si="4"/>
        <v>2</v>
      </c>
      <c r="AH36" s="27">
        <f t="shared" si="0"/>
        <v>45259</v>
      </c>
      <c r="AI36" s="27"/>
      <c r="AJ36" s="27" t="e">
        <f t="shared" si="1"/>
        <v>#N/A</v>
      </c>
      <c r="AK36">
        <f t="shared" si="7"/>
        <v>2</v>
      </c>
      <c r="AL36" s="27"/>
      <c r="AM36" t="e">
        <f t="shared" si="2"/>
        <v>#N/A</v>
      </c>
      <c r="AN36">
        <f t="shared" si="5"/>
        <v>2</v>
      </c>
      <c r="AS36" s="29"/>
    </row>
    <row r="37" spans="2:45" x14ac:dyDescent="0.3">
      <c r="B37" s="15">
        <v>45233</v>
      </c>
      <c r="C37" s="30" t="b">
        <v>0</v>
      </c>
      <c r="AE37">
        <v>33</v>
      </c>
      <c r="AF37">
        <f t="shared" si="6"/>
        <v>5</v>
      </c>
      <c r="AG37">
        <f t="shared" si="4"/>
        <v>2</v>
      </c>
      <c r="AH37" s="27">
        <f t="shared" si="0"/>
        <v>45260</v>
      </c>
      <c r="AI37" s="27"/>
      <c r="AJ37" s="27" t="e">
        <f t="shared" si="1"/>
        <v>#N/A</v>
      </c>
      <c r="AK37">
        <f t="shared" si="7"/>
        <v>2</v>
      </c>
      <c r="AL37" s="27"/>
      <c r="AM37" t="e">
        <f t="shared" si="2"/>
        <v>#N/A</v>
      </c>
      <c r="AN37">
        <f t="shared" si="5"/>
        <v>2</v>
      </c>
      <c r="AS37" s="29"/>
    </row>
    <row r="38" spans="2:45" x14ac:dyDescent="0.3">
      <c r="B38" s="15">
        <v>45234</v>
      </c>
      <c r="C38" s="30" t="b">
        <v>0</v>
      </c>
      <c r="AE38">
        <v>34</v>
      </c>
      <c r="AF38">
        <f t="shared" si="6"/>
        <v>6</v>
      </c>
      <c r="AG38">
        <f t="shared" si="4"/>
        <v>2</v>
      </c>
      <c r="AH38" s="27">
        <f t="shared" si="0"/>
        <v>45261</v>
      </c>
      <c r="AI38" s="27"/>
      <c r="AJ38" s="27">
        <f t="shared" si="1"/>
        <v>6</v>
      </c>
      <c r="AK38">
        <f t="shared" si="7"/>
        <v>2</v>
      </c>
      <c r="AL38" s="27"/>
      <c r="AM38" t="e">
        <f t="shared" si="2"/>
        <v>#N/A</v>
      </c>
      <c r="AN38">
        <f t="shared" si="5"/>
        <v>2</v>
      </c>
      <c r="AS38" s="29"/>
    </row>
    <row r="39" spans="2:45" x14ac:dyDescent="0.3">
      <c r="B39" s="15">
        <v>45235</v>
      </c>
      <c r="C39" s="30" t="b">
        <v>0</v>
      </c>
      <c r="AE39">
        <v>35</v>
      </c>
      <c r="AF39">
        <f t="shared" si="6"/>
        <v>7</v>
      </c>
      <c r="AG39">
        <f t="shared" si="4"/>
        <v>2</v>
      </c>
      <c r="AH39" s="27">
        <f t="shared" si="0"/>
        <v>45262</v>
      </c>
      <c r="AI39" s="27"/>
      <c r="AJ39" s="27">
        <f t="shared" si="1"/>
        <v>7</v>
      </c>
      <c r="AK39">
        <f t="shared" si="7"/>
        <v>2</v>
      </c>
      <c r="AL39" s="27"/>
      <c r="AM39" t="e">
        <f t="shared" si="2"/>
        <v>#N/A</v>
      </c>
      <c r="AN39">
        <f t="shared" si="5"/>
        <v>2</v>
      </c>
      <c r="AS39" s="29"/>
    </row>
    <row r="40" spans="2:45" x14ac:dyDescent="0.3">
      <c r="B40" s="15">
        <v>45236</v>
      </c>
      <c r="C40" s="30" t="b">
        <v>0</v>
      </c>
      <c r="AE40">
        <v>36</v>
      </c>
      <c r="AF40">
        <f t="shared" si="6"/>
        <v>1</v>
      </c>
      <c r="AG40">
        <f t="shared" si="4"/>
        <v>1</v>
      </c>
      <c r="AH40" s="27">
        <f t="shared" si="0"/>
        <v>45263</v>
      </c>
      <c r="AI40" s="27"/>
      <c r="AJ40" s="27">
        <f t="shared" si="1"/>
        <v>1</v>
      </c>
      <c r="AK40">
        <f t="shared" si="7"/>
        <v>1</v>
      </c>
      <c r="AL40" s="27"/>
      <c r="AM40" t="e">
        <f t="shared" si="2"/>
        <v>#N/A</v>
      </c>
      <c r="AN40">
        <f t="shared" si="5"/>
        <v>1</v>
      </c>
      <c r="AS40" s="29"/>
    </row>
    <row r="41" spans="2:45" x14ac:dyDescent="0.3">
      <c r="B41" s="15">
        <v>45237</v>
      </c>
      <c r="C41" s="30" t="b">
        <v>0</v>
      </c>
      <c r="AE41">
        <v>37</v>
      </c>
      <c r="AF41">
        <f t="shared" si="6"/>
        <v>2</v>
      </c>
      <c r="AG41">
        <f t="shared" si="4"/>
        <v>1</v>
      </c>
      <c r="AH41" s="27">
        <f t="shared" si="0"/>
        <v>45264</v>
      </c>
      <c r="AI41" s="27"/>
      <c r="AJ41" s="27">
        <f t="shared" si="1"/>
        <v>2</v>
      </c>
      <c r="AK41">
        <f t="shared" si="7"/>
        <v>1</v>
      </c>
      <c r="AL41" s="27"/>
      <c r="AM41" t="e">
        <f t="shared" si="2"/>
        <v>#N/A</v>
      </c>
      <c r="AN41">
        <f t="shared" si="5"/>
        <v>1</v>
      </c>
      <c r="AS41" s="29"/>
    </row>
    <row r="42" spans="2:45" x14ac:dyDescent="0.3">
      <c r="B42" s="15">
        <v>45238</v>
      </c>
      <c r="C42" s="30" t="b">
        <v>0</v>
      </c>
      <c r="AE42">
        <v>38</v>
      </c>
      <c r="AF42">
        <f t="shared" si="6"/>
        <v>3</v>
      </c>
      <c r="AG42">
        <f t="shared" si="4"/>
        <v>1</v>
      </c>
      <c r="AH42" s="27">
        <f t="shared" si="0"/>
        <v>45265</v>
      </c>
      <c r="AI42" s="27"/>
      <c r="AJ42" s="27">
        <f t="shared" si="1"/>
        <v>3</v>
      </c>
      <c r="AK42">
        <f t="shared" si="7"/>
        <v>1</v>
      </c>
      <c r="AL42" s="27"/>
      <c r="AM42" t="e">
        <f t="shared" si="2"/>
        <v>#N/A</v>
      </c>
      <c r="AN42">
        <f t="shared" si="5"/>
        <v>1</v>
      </c>
      <c r="AS42" s="29"/>
    </row>
    <row r="43" spans="2:45" x14ac:dyDescent="0.3">
      <c r="B43" s="15">
        <v>45239</v>
      </c>
      <c r="C43" s="30" t="b">
        <v>0</v>
      </c>
      <c r="AE43">
        <v>39</v>
      </c>
      <c r="AF43">
        <f t="shared" si="6"/>
        <v>4</v>
      </c>
      <c r="AG43">
        <f t="shared" si="4"/>
        <v>1</v>
      </c>
      <c r="AH43" s="27">
        <f t="shared" si="0"/>
        <v>45266</v>
      </c>
      <c r="AI43" s="27"/>
      <c r="AJ43" s="27">
        <f t="shared" si="1"/>
        <v>4</v>
      </c>
      <c r="AK43">
        <f t="shared" si="7"/>
        <v>1</v>
      </c>
      <c r="AL43" s="27"/>
      <c r="AM43" t="e">
        <f t="shared" si="2"/>
        <v>#N/A</v>
      </c>
      <c r="AN43">
        <f t="shared" si="5"/>
        <v>1</v>
      </c>
      <c r="AS43" s="29"/>
    </row>
    <row r="44" spans="2:45" x14ac:dyDescent="0.3">
      <c r="B44" s="15">
        <v>45240</v>
      </c>
      <c r="C44" s="30" t="b">
        <v>0</v>
      </c>
      <c r="AE44">
        <v>40</v>
      </c>
      <c r="AF44">
        <f t="shared" si="6"/>
        <v>5</v>
      </c>
      <c r="AG44">
        <f t="shared" si="4"/>
        <v>1</v>
      </c>
      <c r="AH44" s="27">
        <f t="shared" si="0"/>
        <v>45267</v>
      </c>
      <c r="AI44" s="27"/>
      <c r="AJ44" s="27">
        <f t="shared" si="1"/>
        <v>5</v>
      </c>
      <c r="AK44">
        <f t="shared" si="7"/>
        <v>1</v>
      </c>
      <c r="AL44" s="27"/>
      <c r="AM44" t="e">
        <f t="shared" si="2"/>
        <v>#N/A</v>
      </c>
      <c r="AN44">
        <f t="shared" si="5"/>
        <v>1</v>
      </c>
      <c r="AS44" s="29"/>
    </row>
    <row r="45" spans="2:45" x14ac:dyDescent="0.3">
      <c r="B45" s="15">
        <v>45241</v>
      </c>
      <c r="C45" s="30" t="b">
        <v>0</v>
      </c>
      <c r="AE45">
        <v>41</v>
      </c>
      <c r="AF45">
        <f t="shared" si="6"/>
        <v>6</v>
      </c>
      <c r="AG45">
        <f t="shared" si="4"/>
        <v>1</v>
      </c>
      <c r="AH45" s="27">
        <f t="shared" si="0"/>
        <v>45268</v>
      </c>
      <c r="AI45" s="27"/>
      <c r="AJ45" s="27">
        <f t="shared" si="1"/>
        <v>6</v>
      </c>
      <c r="AK45">
        <f t="shared" si="7"/>
        <v>1</v>
      </c>
      <c r="AL45" s="27"/>
      <c r="AM45" t="e">
        <f t="shared" si="2"/>
        <v>#N/A</v>
      </c>
      <c r="AN45">
        <f t="shared" si="5"/>
        <v>1</v>
      </c>
      <c r="AS45" s="29"/>
    </row>
    <row r="46" spans="2:45" x14ac:dyDescent="0.3">
      <c r="B46" s="15">
        <v>45242</v>
      </c>
      <c r="C46" s="30" t="b">
        <v>0</v>
      </c>
      <c r="AE46">
        <v>42</v>
      </c>
      <c r="AF46">
        <f t="shared" si="6"/>
        <v>7</v>
      </c>
      <c r="AG46">
        <f t="shared" si="4"/>
        <v>1</v>
      </c>
      <c r="AH46" s="27">
        <f t="shared" si="0"/>
        <v>45269</v>
      </c>
      <c r="AI46" s="27"/>
      <c r="AJ46" s="27">
        <f t="shared" si="1"/>
        <v>7</v>
      </c>
      <c r="AK46">
        <f t="shared" si="7"/>
        <v>1</v>
      </c>
      <c r="AL46" s="27"/>
      <c r="AM46" t="e">
        <f t="shared" si="2"/>
        <v>#N/A</v>
      </c>
      <c r="AN46">
        <f t="shared" si="5"/>
        <v>1</v>
      </c>
      <c r="AS46" s="29"/>
    </row>
    <row r="47" spans="2:45" x14ac:dyDescent="0.3">
      <c r="B47" s="15">
        <v>45243</v>
      </c>
      <c r="C47" s="30" t="b">
        <v>0</v>
      </c>
      <c r="AS47" s="29"/>
    </row>
    <row r="48" spans="2:45" x14ac:dyDescent="0.3">
      <c r="B48" s="15">
        <v>45244</v>
      </c>
      <c r="C48" s="30" t="b">
        <v>0</v>
      </c>
      <c r="AS48" s="29"/>
    </row>
    <row r="49" spans="2:45" x14ac:dyDescent="0.3">
      <c r="B49" s="15">
        <v>45245</v>
      </c>
      <c r="C49" s="30" t="b">
        <v>0</v>
      </c>
      <c r="AS49" s="29"/>
    </row>
    <row r="50" spans="2:45" x14ac:dyDescent="0.3">
      <c r="B50" s="15">
        <v>45246</v>
      </c>
      <c r="C50" s="30" t="b">
        <v>0</v>
      </c>
      <c r="AS50" s="29"/>
    </row>
    <row r="51" spans="2:45" x14ac:dyDescent="0.3">
      <c r="B51" s="15">
        <v>45247</v>
      </c>
      <c r="C51" s="30" t="b">
        <v>0</v>
      </c>
      <c r="AS51" s="29"/>
    </row>
    <row r="52" spans="2:45" x14ac:dyDescent="0.3">
      <c r="B52" s="15">
        <v>45248</v>
      </c>
      <c r="C52" s="30" t="b">
        <v>0</v>
      </c>
      <c r="AS52" s="29"/>
    </row>
    <row r="53" spans="2:45" x14ac:dyDescent="0.3">
      <c r="B53" s="15">
        <v>45249</v>
      </c>
      <c r="C53" s="30" t="b">
        <v>0</v>
      </c>
      <c r="AS53" s="29"/>
    </row>
    <row r="54" spans="2:45" x14ac:dyDescent="0.3">
      <c r="B54" s="15">
        <v>45250</v>
      </c>
      <c r="C54" s="30" t="b">
        <v>0</v>
      </c>
      <c r="AS54" s="29"/>
    </row>
    <row r="55" spans="2:45" x14ac:dyDescent="0.3">
      <c r="B55" s="15">
        <v>45251</v>
      </c>
      <c r="C55" s="30" t="b">
        <v>0</v>
      </c>
      <c r="AS55" s="29"/>
    </row>
    <row r="56" spans="2:45" x14ac:dyDescent="0.3">
      <c r="B56" s="15">
        <v>45252</v>
      </c>
      <c r="C56" s="30" t="b">
        <v>0</v>
      </c>
      <c r="AS56" s="29"/>
    </row>
    <row r="57" spans="2:45" x14ac:dyDescent="0.3">
      <c r="B57" s="15">
        <v>45253</v>
      </c>
      <c r="C57" s="30" t="b">
        <v>0</v>
      </c>
      <c r="AS57" s="29"/>
    </row>
    <row r="58" spans="2:45" x14ac:dyDescent="0.3">
      <c r="B58" s="15">
        <v>45254</v>
      </c>
      <c r="C58" s="30" t="b">
        <v>0</v>
      </c>
      <c r="AS58" s="29"/>
    </row>
    <row r="59" spans="2:45" x14ac:dyDescent="0.3">
      <c r="B59" s="15">
        <v>45255</v>
      </c>
      <c r="C59" s="30" t="b">
        <v>0</v>
      </c>
      <c r="AS59" s="29"/>
    </row>
    <row r="60" spans="2:45" x14ac:dyDescent="0.3">
      <c r="B60" s="15">
        <v>45256</v>
      </c>
      <c r="C60" s="30" t="b">
        <v>0</v>
      </c>
      <c r="AS60" s="29"/>
    </row>
    <row r="61" spans="2:45" x14ac:dyDescent="0.3">
      <c r="B61" s="15">
        <v>45257</v>
      </c>
      <c r="C61" s="30" t="b">
        <v>0</v>
      </c>
      <c r="AS61" s="29"/>
    </row>
    <row r="62" spans="2:45" x14ac:dyDescent="0.3">
      <c r="B62" s="15">
        <v>45258</v>
      </c>
      <c r="C62" s="30" t="b">
        <v>0</v>
      </c>
      <c r="AS62" s="29"/>
    </row>
    <row r="63" spans="2:45" x14ac:dyDescent="0.3">
      <c r="B63" s="15">
        <v>45259</v>
      </c>
      <c r="C63" s="30" t="b">
        <v>0</v>
      </c>
      <c r="AS63" s="29"/>
    </row>
    <row r="64" spans="2:45" x14ac:dyDescent="0.3">
      <c r="B64" s="15">
        <v>45260</v>
      </c>
      <c r="C64" s="30" t="b">
        <v>0</v>
      </c>
      <c r="AS64" s="29"/>
    </row>
    <row r="65" spans="2:45" x14ac:dyDescent="0.3">
      <c r="B65" s="15">
        <v>45261</v>
      </c>
      <c r="C65" s="30" t="b">
        <v>0</v>
      </c>
      <c r="AS65" s="29"/>
    </row>
    <row r="66" spans="2:45" x14ac:dyDescent="0.3">
      <c r="B66" s="15">
        <v>45262</v>
      </c>
      <c r="C66" s="30" t="b">
        <v>0</v>
      </c>
      <c r="AS66" s="29"/>
    </row>
    <row r="67" spans="2:45" x14ac:dyDescent="0.3">
      <c r="B67" s="15">
        <v>45263</v>
      </c>
      <c r="C67" s="30" t="b">
        <v>0</v>
      </c>
      <c r="AS67" s="29"/>
    </row>
    <row r="68" spans="2:45" x14ac:dyDescent="0.3">
      <c r="B68" s="15">
        <v>45264</v>
      </c>
      <c r="C68" s="30" t="b">
        <v>0</v>
      </c>
      <c r="AS68" s="29"/>
    </row>
    <row r="69" spans="2:45" x14ac:dyDescent="0.3">
      <c r="B69" s="15">
        <v>45265</v>
      </c>
      <c r="C69" s="30" t="b">
        <v>0</v>
      </c>
      <c r="AS69" s="29"/>
    </row>
    <row r="70" spans="2:45" x14ac:dyDescent="0.3">
      <c r="B70" s="15">
        <v>45266</v>
      </c>
      <c r="C70" s="30" t="b">
        <v>0</v>
      </c>
      <c r="AS70" s="29"/>
    </row>
    <row r="71" spans="2:45" x14ac:dyDescent="0.3">
      <c r="B71" s="15">
        <v>45267</v>
      </c>
      <c r="C71" s="30" t="b">
        <v>0</v>
      </c>
      <c r="AS71" s="29"/>
    </row>
    <row r="72" spans="2:45" x14ac:dyDescent="0.3">
      <c r="B72" s="15">
        <v>45268</v>
      </c>
      <c r="C72" s="30" t="b">
        <v>0</v>
      </c>
      <c r="AS72" s="29"/>
    </row>
    <row r="73" spans="2:45" x14ac:dyDescent="0.3">
      <c r="B73" s="15">
        <v>45269</v>
      </c>
      <c r="C73" s="30" t="b">
        <v>0</v>
      </c>
      <c r="AS73" s="29"/>
    </row>
    <row r="74" spans="2:45" x14ac:dyDescent="0.3">
      <c r="B74" s="15">
        <v>45270</v>
      </c>
      <c r="C74" s="30" t="b">
        <v>0</v>
      </c>
      <c r="AS74" s="29"/>
    </row>
    <row r="75" spans="2:45" x14ac:dyDescent="0.3">
      <c r="B75" s="15">
        <v>45271</v>
      </c>
      <c r="C75" s="30" t="b">
        <v>0</v>
      </c>
      <c r="AS75" s="29"/>
    </row>
    <row r="76" spans="2:45" x14ac:dyDescent="0.3">
      <c r="B76" s="15">
        <v>45272</v>
      </c>
      <c r="C76" s="30" t="b">
        <v>0</v>
      </c>
      <c r="AS76" s="29"/>
    </row>
    <row r="77" spans="2:45" x14ac:dyDescent="0.3">
      <c r="B77" s="15">
        <v>45273</v>
      </c>
      <c r="C77" s="30" t="b">
        <v>0</v>
      </c>
      <c r="AS77" s="29"/>
    </row>
    <row r="78" spans="2:45" x14ac:dyDescent="0.3">
      <c r="B78" s="15">
        <v>45274</v>
      </c>
      <c r="C78" s="30" t="b">
        <v>0</v>
      </c>
      <c r="AS78" s="29"/>
    </row>
    <row r="79" spans="2:45" x14ac:dyDescent="0.3">
      <c r="B79" s="15">
        <v>45275</v>
      </c>
      <c r="C79" s="30" t="b">
        <v>0</v>
      </c>
      <c r="AS79" s="29"/>
    </row>
    <row r="80" spans="2:45" x14ac:dyDescent="0.3">
      <c r="B80" s="15">
        <v>45276</v>
      </c>
      <c r="C80" s="30" t="b">
        <v>0</v>
      </c>
      <c r="AS80" s="29"/>
    </row>
    <row r="81" spans="2:45" x14ac:dyDescent="0.3">
      <c r="B81" s="15">
        <v>45277</v>
      </c>
      <c r="C81" s="30" t="b">
        <v>0</v>
      </c>
      <c r="AS81" s="29"/>
    </row>
    <row r="82" spans="2:45" x14ac:dyDescent="0.3">
      <c r="B82" s="15">
        <v>45278</v>
      </c>
      <c r="C82" s="30" t="b">
        <v>0</v>
      </c>
      <c r="AS82" s="29"/>
    </row>
    <row r="83" spans="2:45" x14ac:dyDescent="0.3">
      <c r="B83" s="15">
        <v>45279</v>
      </c>
      <c r="C83" s="30" t="b">
        <v>0</v>
      </c>
      <c r="AS83" s="29"/>
    </row>
    <row r="84" spans="2:45" x14ac:dyDescent="0.3">
      <c r="B84" s="15">
        <v>45280</v>
      </c>
      <c r="C84" s="30" t="b">
        <v>0</v>
      </c>
      <c r="AS84" s="29"/>
    </row>
    <row r="85" spans="2:45" x14ac:dyDescent="0.3">
      <c r="B85" s="15">
        <v>45281</v>
      </c>
      <c r="C85" s="30" t="b">
        <v>0</v>
      </c>
      <c r="AS85" s="29"/>
    </row>
    <row r="86" spans="2:45" x14ac:dyDescent="0.3">
      <c r="B86" s="15">
        <v>45282</v>
      </c>
      <c r="C86" s="30" t="b">
        <v>0</v>
      </c>
      <c r="AS86" s="29"/>
    </row>
    <row r="87" spans="2:45" x14ac:dyDescent="0.3">
      <c r="B87" s="15">
        <v>45283</v>
      </c>
      <c r="C87" s="30" t="b">
        <v>0</v>
      </c>
      <c r="AS87" s="29"/>
    </row>
    <row r="88" spans="2:45" x14ac:dyDescent="0.3">
      <c r="B88" s="15">
        <v>45284</v>
      </c>
      <c r="C88" s="30" t="b">
        <v>0</v>
      </c>
      <c r="AS88" s="29"/>
    </row>
    <row r="89" spans="2:45" x14ac:dyDescent="0.3">
      <c r="B89" s="15">
        <v>45285</v>
      </c>
      <c r="C89" s="30" t="b">
        <v>0</v>
      </c>
      <c r="AS89" s="29"/>
    </row>
    <row r="90" spans="2:45" x14ac:dyDescent="0.3">
      <c r="B90" s="15">
        <v>45286</v>
      </c>
      <c r="C90" s="30" t="b">
        <v>0</v>
      </c>
      <c r="AS90" s="29"/>
    </row>
    <row r="91" spans="2:45" x14ac:dyDescent="0.3">
      <c r="B91" s="15">
        <v>45287</v>
      </c>
      <c r="C91" s="30" t="b">
        <v>0</v>
      </c>
      <c r="AS91" s="29"/>
    </row>
    <row r="92" spans="2:45" x14ac:dyDescent="0.3">
      <c r="B92" s="15">
        <v>45288</v>
      </c>
      <c r="C92" s="30" t="b">
        <v>0</v>
      </c>
      <c r="AS92" s="29"/>
    </row>
    <row r="93" spans="2:45" x14ac:dyDescent="0.3">
      <c r="B93" s="15">
        <v>45289</v>
      </c>
      <c r="C93" s="30" t="b">
        <v>0</v>
      </c>
      <c r="AS93" s="29"/>
    </row>
    <row r="94" spans="2:45" x14ac:dyDescent="0.3">
      <c r="B94" s="15">
        <v>45290</v>
      </c>
      <c r="C94" s="30" t="b">
        <v>0</v>
      </c>
      <c r="AS94" s="29"/>
    </row>
    <row r="95" spans="2:45" x14ac:dyDescent="0.3">
      <c r="B95" s="15">
        <v>45291</v>
      </c>
      <c r="C95" s="30" t="b">
        <v>0</v>
      </c>
      <c r="AS95" s="29"/>
    </row>
    <row r="96" spans="2:45" x14ac:dyDescent="0.3">
      <c r="AS96" s="29"/>
    </row>
    <row r="97" spans="45:45" x14ac:dyDescent="0.3">
      <c r="AS97" s="29"/>
    </row>
    <row r="98" spans="45:45" x14ac:dyDescent="0.3">
      <c r="AS98" s="29"/>
    </row>
    <row r="99" spans="45:45" x14ac:dyDescent="0.3">
      <c r="AS99" s="29"/>
    </row>
    <row r="100" spans="45:45" x14ac:dyDescent="0.3">
      <c r="AS100" s="29"/>
    </row>
    <row r="101" spans="45:45" x14ac:dyDescent="0.3">
      <c r="AS101" s="29"/>
    </row>
    <row r="102" spans="45:45" x14ac:dyDescent="0.3">
      <c r="AS102" s="29"/>
    </row>
    <row r="103" spans="45:45" x14ac:dyDescent="0.3">
      <c r="AS103" s="29"/>
    </row>
    <row r="104" spans="45:45" x14ac:dyDescent="0.3">
      <c r="AS104" s="29"/>
    </row>
  </sheetData>
  <conditionalFormatting sqref="C4:C95">
    <cfRule type="cellIs" dxfId="11" priority="1" operator="equal">
      <formula>TRUE</formula>
    </cfRule>
  </conditionalFormatting>
  <dataValidations count="1">
    <dataValidation type="list" allowBlank="1" showInputMessage="1" showErrorMessage="1" sqref="AT7" xr:uid="{70A9280B-1312-4FB1-AB07-EB5FC7151F94}">
      <formula1>$AV$5:$AV$11</formula1>
    </dataValidation>
  </dataValidations>
  <hyperlinks>
    <hyperlink ref="A1" location="'TOC Gallery'!A1" tooltip="Go To Table of Contents" display="'TOC Gallery'!A1" xr:uid="{7FBF1DA9-D0CD-4D16-BA5C-7486BE8FDDDE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Spinner 1">
              <controlPr defaultSize="0" autoPict="0">
                <anchor moveWithCells="1" sizeWithCells="1">
                  <from>
                    <xdr:col>6</xdr:col>
                    <xdr:colOff>403860</xdr:colOff>
                    <xdr:row>2</xdr:row>
                    <xdr:rowOff>45720</xdr:rowOff>
                  </from>
                  <to>
                    <xdr:col>7</xdr:col>
                    <xdr:colOff>45720</xdr:colOff>
                    <xdr:row>3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33E8-6F0E-422F-8B8B-47D4C54333C8}">
  <dimension ref="A1:W28"/>
  <sheetViews>
    <sheetView showGridLines="0" workbookViewId="0"/>
  </sheetViews>
  <sheetFormatPr defaultRowHeight="14.4" x14ac:dyDescent="0.3"/>
  <cols>
    <col min="1" max="1" width="3.6640625" customWidth="1"/>
    <col min="2" max="2" width="9.88671875" hidden="1" customWidth="1"/>
    <col min="3" max="3" width="5.5546875" hidden="1" customWidth="1"/>
    <col min="4" max="4" width="2.109375" customWidth="1"/>
    <col min="5" max="18" width="3.44140625" customWidth="1"/>
    <col min="19" max="19" width="5.88671875" customWidth="1"/>
    <col min="21" max="21" width="10.109375" bestFit="1" customWidth="1"/>
    <col min="22" max="22" width="10.33203125" bestFit="1" customWidth="1"/>
    <col min="23" max="23" width="8.33203125" customWidth="1"/>
    <col min="24" max="24" width="12.5546875" customWidth="1"/>
    <col min="25" max="27" width="9" customWidth="1"/>
  </cols>
  <sheetData>
    <row r="1" spans="1:23" s="73" customFormat="1" ht="30" customHeight="1" x14ac:dyDescent="0.4">
      <c r="A1" s="105">
        <v>3</v>
      </c>
      <c r="E1" s="73" t="s">
        <v>1147</v>
      </c>
    </row>
    <row r="3" spans="1:23" hidden="1" x14ac:dyDescent="0.3">
      <c r="E3" t="s">
        <v>140</v>
      </c>
      <c r="U3" t="s">
        <v>141</v>
      </c>
      <c r="V3" t="s">
        <v>142</v>
      </c>
      <c r="W3" t="s">
        <v>143</v>
      </c>
    </row>
    <row r="4" spans="1:23" hidden="1" x14ac:dyDescent="0.3">
      <c r="E4">
        <v>1</v>
      </c>
      <c r="G4">
        <f>E4+1</f>
        <v>2</v>
      </c>
      <c r="I4">
        <f>G4+1</f>
        <v>3</v>
      </c>
      <c r="K4">
        <f>I4+1</f>
        <v>4</v>
      </c>
      <c r="M4">
        <f>K4+1</f>
        <v>5</v>
      </c>
      <c r="O4">
        <f>M4+1</f>
        <v>6</v>
      </c>
      <c r="Q4">
        <f>O4+1</f>
        <v>7</v>
      </c>
      <c r="U4" s="15">
        <f>DATE(0,W4,1)</f>
        <v>45566</v>
      </c>
      <c r="V4" s="15">
        <f>EOMONTH(U4,0)</f>
        <v>45596</v>
      </c>
      <c r="W4">
        <v>1498</v>
      </c>
    </row>
    <row r="5" spans="1:23" ht="36.75" customHeight="1" x14ac:dyDescent="0.55000000000000004">
      <c r="E5" s="38" t="s">
        <v>144</v>
      </c>
      <c r="F5" s="39"/>
      <c r="G5" s="39"/>
      <c r="H5" s="39"/>
      <c r="I5" s="39"/>
      <c r="J5" s="39"/>
      <c r="K5" s="39"/>
      <c r="M5" s="107">
        <f>U4</f>
        <v>45566</v>
      </c>
      <c r="N5" s="107"/>
      <c r="O5" s="107"/>
      <c r="P5" s="107"/>
      <c r="Q5" s="107"/>
      <c r="R5" s="107"/>
      <c r="W5" s="40"/>
    </row>
    <row r="6" spans="1:23" ht="21.75" customHeight="1" x14ac:dyDescent="0.3">
      <c r="B6" t="s">
        <v>145</v>
      </c>
      <c r="C6" t="s">
        <v>146</v>
      </c>
      <c r="E6" s="108" t="s">
        <v>147</v>
      </c>
      <c r="F6" s="109"/>
      <c r="G6" s="110" t="s">
        <v>9</v>
      </c>
      <c r="H6" s="111"/>
      <c r="I6" s="111" t="s">
        <v>10</v>
      </c>
      <c r="J6" s="111"/>
      <c r="K6" s="111" t="s">
        <v>11</v>
      </c>
      <c r="L6" s="111"/>
      <c r="M6" s="111" t="s">
        <v>10</v>
      </c>
      <c r="N6" s="111"/>
      <c r="O6" s="111" t="s">
        <v>12</v>
      </c>
      <c r="P6" s="111"/>
      <c r="Q6" s="111" t="s">
        <v>147</v>
      </c>
      <c r="R6" s="111"/>
      <c r="V6" s="15"/>
      <c r="W6" s="40"/>
    </row>
    <row r="7" spans="1:23" s="41" customFormat="1" ht="36" customHeight="1" x14ac:dyDescent="0.3">
      <c r="B7" s="41">
        <v>0</v>
      </c>
      <c r="C7" s="42" t="b">
        <f t="shared" ref="C7:C12" si="0">MIN(E7:R7)&lt;=$V$4</f>
        <v>1</v>
      </c>
      <c r="E7" s="43">
        <f>U4-CHOOSE(WEEKDAY(U4),0,1,2,3,4,5,6)</f>
        <v>45564</v>
      </c>
      <c r="F7" s="44" t="b">
        <v>1</v>
      </c>
      <c r="G7" s="43">
        <f t="shared" ref="G7:G12" si="1">E7+1</f>
        <v>45565</v>
      </c>
      <c r="H7" s="45" t="b">
        <v>1</v>
      </c>
      <c r="I7" s="43">
        <f t="shared" ref="I7:I12" si="2">G7+1</f>
        <v>45566</v>
      </c>
      <c r="J7" s="45" t="b">
        <v>1</v>
      </c>
      <c r="K7" s="43">
        <f t="shared" ref="K7:K12" si="3">I7+1</f>
        <v>45567</v>
      </c>
      <c r="L7" s="45" t="b">
        <v>1</v>
      </c>
      <c r="M7" s="43">
        <f t="shared" ref="M7:M12" si="4">K7+1</f>
        <v>45568</v>
      </c>
      <c r="N7" s="45" t="b">
        <v>1</v>
      </c>
      <c r="O7" s="43">
        <f t="shared" ref="O7:O12" si="5">M7+1</f>
        <v>45569</v>
      </c>
      <c r="P7" s="45" t="b">
        <v>1</v>
      </c>
      <c r="Q7" s="43">
        <f t="shared" ref="Q7:Q12" si="6">O7+1</f>
        <v>45570</v>
      </c>
      <c r="R7" s="45" t="b">
        <v>0</v>
      </c>
      <c r="S7" s="46" t="s">
        <v>148</v>
      </c>
      <c r="W7" s="47"/>
    </row>
    <row r="8" spans="1:23" s="41" customFormat="1" ht="36" customHeight="1" x14ac:dyDescent="0.3">
      <c r="B8" s="41">
        <v>7</v>
      </c>
      <c r="C8" s="42" t="b">
        <f t="shared" si="0"/>
        <v>1</v>
      </c>
      <c r="E8" s="43">
        <f>Q7+1</f>
        <v>45571</v>
      </c>
      <c r="F8" s="48" t="b">
        <v>0</v>
      </c>
      <c r="G8" s="43">
        <f t="shared" si="1"/>
        <v>45572</v>
      </c>
      <c r="H8" s="49" t="b">
        <v>0</v>
      </c>
      <c r="I8" s="43">
        <f t="shared" si="2"/>
        <v>45573</v>
      </c>
      <c r="J8" s="49" t="b">
        <v>0</v>
      </c>
      <c r="K8" s="43">
        <f t="shared" si="3"/>
        <v>45574</v>
      </c>
      <c r="L8" s="49" t="b">
        <v>0</v>
      </c>
      <c r="M8" s="43">
        <f t="shared" si="4"/>
        <v>45575</v>
      </c>
      <c r="N8" s="49" t="b">
        <v>0</v>
      </c>
      <c r="O8" s="43">
        <f t="shared" si="5"/>
        <v>45576</v>
      </c>
      <c r="P8" s="49" t="b">
        <v>0</v>
      </c>
      <c r="Q8" s="43">
        <f t="shared" si="6"/>
        <v>45577</v>
      </c>
      <c r="R8" s="49" t="b">
        <v>0</v>
      </c>
      <c r="S8" s="46" t="s">
        <v>148</v>
      </c>
      <c r="W8" s="47"/>
    </row>
    <row r="9" spans="1:23" s="41" customFormat="1" ht="36" customHeight="1" x14ac:dyDescent="0.3">
      <c r="B9" s="41">
        <v>14</v>
      </c>
      <c r="C9" s="42" t="b">
        <f t="shared" si="0"/>
        <v>1</v>
      </c>
      <c r="E9" s="43">
        <f>Q8+1</f>
        <v>45578</v>
      </c>
      <c r="F9" s="48" t="b">
        <v>1</v>
      </c>
      <c r="G9" s="43">
        <f t="shared" si="1"/>
        <v>45579</v>
      </c>
      <c r="H9" s="49" t="b">
        <v>1</v>
      </c>
      <c r="I9" s="43">
        <f t="shared" si="2"/>
        <v>45580</v>
      </c>
      <c r="J9" s="49" t="b">
        <v>1</v>
      </c>
      <c r="K9" s="43">
        <f t="shared" si="3"/>
        <v>45581</v>
      </c>
      <c r="L9" s="49" t="b">
        <v>1</v>
      </c>
      <c r="M9" s="43">
        <f t="shared" si="4"/>
        <v>45582</v>
      </c>
      <c r="N9" s="49" t="b">
        <v>1</v>
      </c>
      <c r="O9" s="43">
        <f t="shared" si="5"/>
        <v>45583</v>
      </c>
      <c r="P9" s="49" t="b">
        <v>1</v>
      </c>
      <c r="Q9" s="43">
        <f t="shared" si="6"/>
        <v>45584</v>
      </c>
      <c r="R9" s="49" t="b">
        <v>1</v>
      </c>
      <c r="S9" s="46" t="s">
        <v>148</v>
      </c>
      <c r="W9" s="47"/>
    </row>
    <row r="10" spans="1:23" s="41" customFormat="1" ht="36" customHeight="1" x14ac:dyDescent="0.3">
      <c r="B10" s="41">
        <v>21</v>
      </c>
      <c r="C10" s="42" t="b">
        <f t="shared" si="0"/>
        <v>1</v>
      </c>
      <c r="E10" s="43">
        <f>Q9+1</f>
        <v>45585</v>
      </c>
      <c r="F10" s="48" t="b">
        <v>0</v>
      </c>
      <c r="G10" s="43">
        <f t="shared" si="1"/>
        <v>45586</v>
      </c>
      <c r="H10" s="49" t="b">
        <v>0</v>
      </c>
      <c r="I10" s="43">
        <f t="shared" si="2"/>
        <v>45587</v>
      </c>
      <c r="J10" s="49" t="b">
        <v>0</v>
      </c>
      <c r="K10" s="43">
        <f t="shared" si="3"/>
        <v>45588</v>
      </c>
      <c r="L10" s="49" t="b">
        <v>0</v>
      </c>
      <c r="M10" s="43">
        <f t="shared" si="4"/>
        <v>45589</v>
      </c>
      <c r="N10" s="49" t="b">
        <v>0</v>
      </c>
      <c r="O10" s="43">
        <f t="shared" si="5"/>
        <v>45590</v>
      </c>
      <c r="P10" s="49" t="b">
        <v>0</v>
      </c>
      <c r="Q10" s="43">
        <f t="shared" si="6"/>
        <v>45591</v>
      </c>
      <c r="R10" s="49" t="b">
        <v>0</v>
      </c>
      <c r="S10" s="46" t="s">
        <v>148</v>
      </c>
      <c r="W10" s="47"/>
    </row>
    <row r="11" spans="1:23" s="41" customFormat="1" ht="36" customHeight="1" x14ac:dyDescent="0.3">
      <c r="B11" s="41">
        <v>28</v>
      </c>
      <c r="C11" s="42" t="b">
        <f t="shared" si="0"/>
        <v>1</v>
      </c>
      <c r="E11" s="43">
        <f>Q10+1</f>
        <v>45592</v>
      </c>
      <c r="F11" s="48" t="b">
        <v>0</v>
      </c>
      <c r="G11" s="43">
        <f t="shared" si="1"/>
        <v>45593</v>
      </c>
      <c r="H11" s="49" t="b">
        <v>0</v>
      </c>
      <c r="I11" s="43">
        <f t="shared" si="2"/>
        <v>45594</v>
      </c>
      <c r="J11" s="49" t="b">
        <v>0</v>
      </c>
      <c r="K11" s="43">
        <f t="shared" si="3"/>
        <v>45595</v>
      </c>
      <c r="L11" s="49" t="b">
        <v>0</v>
      </c>
      <c r="M11" s="43">
        <f t="shared" si="4"/>
        <v>45596</v>
      </c>
      <c r="N11" s="49" t="b">
        <v>0</v>
      </c>
      <c r="O11" s="43">
        <f t="shared" si="5"/>
        <v>45597</v>
      </c>
      <c r="P11" s="49" t="b">
        <v>0</v>
      </c>
      <c r="Q11" s="43">
        <f t="shared" si="6"/>
        <v>45598</v>
      </c>
      <c r="R11" s="49" t="b">
        <v>0</v>
      </c>
      <c r="S11" s="46" t="s">
        <v>148</v>
      </c>
      <c r="W11" s="47"/>
    </row>
    <row r="12" spans="1:23" ht="36" customHeight="1" x14ac:dyDescent="0.3">
      <c r="B12" s="41">
        <v>35</v>
      </c>
      <c r="C12" s="42" t="b">
        <f t="shared" si="0"/>
        <v>0</v>
      </c>
      <c r="E12" s="43">
        <f>Q11+1</f>
        <v>45599</v>
      </c>
      <c r="F12" s="48" t="b">
        <v>0</v>
      </c>
      <c r="G12" s="43">
        <f t="shared" si="1"/>
        <v>45600</v>
      </c>
      <c r="H12" s="49" t="b">
        <v>0</v>
      </c>
      <c r="I12" s="43">
        <f t="shared" si="2"/>
        <v>45601</v>
      </c>
      <c r="J12" s="49" t="b">
        <v>0</v>
      </c>
      <c r="K12" s="43">
        <f t="shared" si="3"/>
        <v>45602</v>
      </c>
      <c r="L12" s="49" t="b">
        <v>0</v>
      </c>
      <c r="M12" s="43">
        <f t="shared" si="4"/>
        <v>45603</v>
      </c>
      <c r="N12" s="49" t="b">
        <v>0</v>
      </c>
      <c r="O12" s="43">
        <f t="shared" si="5"/>
        <v>45604</v>
      </c>
      <c r="P12" s="49" t="b">
        <v>0</v>
      </c>
      <c r="Q12" s="43">
        <f t="shared" si="6"/>
        <v>45605</v>
      </c>
      <c r="R12" s="49" t="b">
        <v>0</v>
      </c>
      <c r="S12" s="46" t="s">
        <v>148</v>
      </c>
      <c r="W12" s="40"/>
    </row>
    <row r="13" spans="1:23" x14ac:dyDescent="0.3">
      <c r="W13" s="40"/>
    </row>
    <row r="14" spans="1:23" x14ac:dyDescent="0.3">
      <c r="E14" s="27"/>
      <c r="G14" s="27"/>
      <c r="I14" s="27"/>
      <c r="K14" s="27"/>
      <c r="M14" s="27"/>
      <c r="O14" s="27"/>
      <c r="Q14" s="27"/>
      <c r="W14" s="40"/>
    </row>
    <row r="15" spans="1:23" x14ac:dyDescent="0.3">
      <c r="W15" s="40"/>
    </row>
    <row r="16" spans="1:23" x14ac:dyDescent="0.3">
      <c r="W16" s="40"/>
    </row>
    <row r="17" spans="23:23" x14ac:dyDescent="0.3">
      <c r="W17" s="40"/>
    </row>
    <row r="18" spans="23:23" x14ac:dyDescent="0.3">
      <c r="W18" s="40"/>
    </row>
    <row r="19" spans="23:23" x14ac:dyDescent="0.3">
      <c r="W19" s="40"/>
    </row>
    <row r="20" spans="23:23" x14ac:dyDescent="0.3">
      <c r="W20" s="40"/>
    </row>
    <row r="21" spans="23:23" x14ac:dyDescent="0.3">
      <c r="W21" s="40"/>
    </row>
    <row r="22" spans="23:23" x14ac:dyDescent="0.3">
      <c r="W22" s="40"/>
    </row>
    <row r="23" spans="23:23" x14ac:dyDescent="0.3">
      <c r="W23" s="40"/>
    </row>
    <row r="24" spans="23:23" x14ac:dyDescent="0.3">
      <c r="W24" s="40"/>
    </row>
    <row r="25" spans="23:23" x14ac:dyDescent="0.3">
      <c r="W25" s="40"/>
    </row>
    <row r="26" spans="23:23" x14ac:dyDescent="0.3">
      <c r="W26" s="40"/>
    </row>
    <row r="27" spans="23:23" x14ac:dyDescent="0.3">
      <c r="W27" s="40"/>
    </row>
    <row r="28" spans="23:23" x14ac:dyDescent="0.3">
      <c r="W28" s="40"/>
    </row>
  </sheetData>
  <mergeCells count="8">
    <mergeCell ref="M5:R5"/>
    <mergeCell ref="E6:F6"/>
    <mergeCell ref="G6:H6"/>
    <mergeCell ref="I6:J6"/>
    <mergeCell ref="K6:L6"/>
    <mergeCell ref="M6:N6"/>
    <mergeCell ref="O6:P6"/>
    <mergeCell ref="Q6:R6"/>
  </mergeCells>
  <conditionalFormatting sqref="E7:R12">
    <cfRule type="expression" dxfId="10" priority="3">
      <formula>COUNTIF($F7:$R7,FALSE)=0</formula>
    </cfRule>
    <cfRule type="expression" dxfId="9" priority="5">
      <formula>F7=TRUE</formula>
    </cfRule>
  </conditionalFormatting>
  <conditionalFormatting sqref="E7:S12">
    <cfRule type="expression" dxfId="8" priority="1">
      <formula>$C7=FALSE</formula>
    </cfRule>
  </conditionalFormatting>
  <conditionalFormatting sqref="F7:R12">
    <cfRule type="cellIs" dxfId="7" priority="4" operator="equal">
      <formula>TRUE</formula>
    </cfRule>
  </conditionalFormatting>
  <conditionalFormatting sqref="S7:S12">
    <cfRule type="expression" dxfId="6" priority="2">
      <formula>COUNTIF($F7:$R7,FALSE)=0</formula>
    </cfRule>
  </conditionalFormatting>
  <hyperlinks>
    <hyperlink ref="A1" location="'TOC Gallery'!A1" tooltip="Go To Table of Contents" display="'TOC Gallery'!A1" xr:uid="{A77C272B-24C7-47ED-B4CB-775D80891C19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Spinner 1">
              <controlPr defaultSize="0" autoPict="0">
                <anchor moveWithCells="1" sizeWithCells="1">
                  <from>
                    <xdr:col>18</xdr:col>
                    <xdr:colOff>30480</xdr:colOff>
                    <xdr:row>4</xdr:row>
                    <xdr:rowOff>144780</xdr:rowOff>
                  </from>
                  <to>
                    <xdr:col>18</xdr:col>
                    <xdr:colOff>144780</xdr:colOff>
                    <xdr:row>4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E86F-A548-4795-A427-FDA83C027458}">
  <dimension ref="A1:W28"/>
  <sheetViews>
    <sheetView showGridLines="0" workbookViewId="0"/>
  </sheetViews>
  <sheetFormatPr defaultRowHeight="14.4" x14ac:dyDescent="0.3"/>
  <cols>
    <col min="1" max="1" width="3.5546875" customWidth="1"/>
    <col min="2" max="2" width="9.88671875" hidden="1" customWidth="1"/>
    <col min="3" max="3" width="5.5546875" hidden="1" customWidth="1"/>
    <col min="4" max="4" width="2.109375" customWidth="1"/>
    <col min="5" max="18" width="3.33203125" customWidth="1"/>
    <col min="19" max="19" width="5.88671875" customWidth="1"/>
    <col min="20" max="20" width="15" bestFit="1" customWidth="1"/>
    <col min="21" max="21" width="10.109375" bestFit="1" customWidth="1"/>
    <col min="22" max="22" width="10.33203125" bestFit="1" customWidth="1"/>
    <col min="23" max="23" width="8.33203125" customWidth="1"/>
    <col min="24" max="24" width="12.5546875" customWidth="1"/>
    <col min="25" max="27" width="9" customWidth="1"/>
  </cols>
  <sheetData>
    <row r="1" spans="1:23" s="73" customFormat="1" ht="30" customHeight="1" x14ac:dyDescent="0.4">
      <c r="A1" s="105">
        <v>3</v>
      </c>
      <c r="E1" s="73" t="s">
        <v>1153</v>
      </c>
    </row>
    <row r="3" spans="1:23" hidden="1" x14ac:dyDescent="0.3">
      <c r="E3" t="s">
        <v>140</v>
      </c>
      <c r="U3" t="s">
        <v>141</v>
      </c>
      <c r="V3" t="s">
        <v>142</v>
      </c>
      <c r="W3" t="s">
        <v>143</v>
      </c>
    </row>
    <row r="4" spans="1:23" hidden="1" x14ac:dyDescent="0.3">
      <c r="E4">
        <v>1</v>
      </c>
      <c r="G4">
        <f>E4+1</f>
        <v>2</v>
      </c>
      <c r="I4">
        <f>G4+1</f>
        <v>3</v>
      </c>
      <c r="K4">
        <f>I4+1</f>
        <v>4</v>
      </c>
      <c r="M4">
        <f>K4+1</f>
        <v>5</v>
      </c>
      <c r="O4">
        <f>M4+1</f>
        <v>6</v>
      </c>
      <c r="Q4">
        <f>O4+1</f>
        <v>7</v>
      </c>
      <c r="U4" s="15">
        <f>DATE(0,W4,1)</f>
        <v>45108</v>
      </c>
      <c r="V4" s="15">
        <f>EOMONTH(U4,0)</f>
        <v>45138</v>
      </c>
      <c r="W4">
        <v>1483</v>
      </c>
    </row>
    <row r="5" spans="1:23" ht="33.75" customHeight="1" x14ac:dyDescent="0.55000000000000004">
      <c r="E5" s="38" t="s">
        <v>144</v>
      </c>
      <c r="F5" s="39"/>
      <c r="G5" s="39"/>
      <c r="H5" s="39"/>
      <c r="I5" s="39"/>
      <c r="J5" s="39"/>
      <c r="K5" s="39"/>
      <c r="M5" s="107">
        <f>U4</f>
        <v>45108</v>
      </c>
      <c r="N5" s="107"/>
      <c r="O5" s="107"/>
      <c r="P5" s="107"/>
      <c r="Q5" s="107"/>
      <c r="R5" s="107"/>
      <c r="T5" s="93" t="s">
        <v>1129</v>
      </c>
      <c r="W5" s="40"/>
    </row>
    <row r="6" spans="1:23" ht="21.75" customHeight="1" x14ac:dyDescent="0.3">
      <c r="B6" t="s">
        <v>145</v>
      </c>
      <c r="C6" t="s">
        <v>146</v>
      </c>
      <c r="E6" s="108" t="s">
        <v>147</v>
      </c>
      <c r="F6" s="109"/>
      <c r="G6" s="110" t="s">
        <v>9</v>
      </c>
      <c r="H6" s="111"/>
      <c r="I6" s="111" t="s">
        <v>10</v>
      </c>
      <c r="J6" s="111"/>
      <c r="K6" s="111" t="s">
        <v>11</v>
      </c>
      <c r="L6" s="111"/>
      <c r="M6" s="111" t="s">
        <v>10</v>
      </c>
      <c r="N6" s="111"/>
      <c r="O6" s="111" t="s">
        <v>12</v>
      </c>
      <c r="P6" s="111"/>
      <c r="Q6" s="111" t="s">
        <v>147</v>
      </c>
      <c r="R6" s="111"/>
      <c r="V6" s="15"/>
      <c r="W6" s="40"/>
    </row>
    <row r="7" spans="1:23" s="41" customFormat="1" ht="36" customHeight="1" x14ac:dyDescent="0.3">
      <c r="B7" s="41">
        <v>0</v>
      </c>
      <c r="C7" s="42" t="b">
        <f t="shared" ref="C7:C12" si="0">MIN(E7:R7)&lt;=$V$4</f>
        <v>1</v>
      </c>
      <c r="E7" s="43">
        <f>U4-CHOOSE(WEEKDAY(U4),0,1,2,3,4,5,6)</f>
        <v>45102</v>
      </c>
      <c r="F7" s="44" t="b">
        <v>0</v>
      </c>
      <c r="G7" s="43">
        <f t="shared" ref="G7:G12" si="1">E7+1</f>
        <v>45103</v>
      </c>
      <c r="H7" s="45" t="b">
        <v>0</v>
      </c>
      <c r="I7" s="43">
        <f t="shared" ref="I7:I12" si="2">G7+1</f>
        <v>45104</v>
      </c>
      <c r="J7" s="45" t="b">
        <v>0</v>
      </c>
      <c r="K7" s="43">
        <f t="shared" ref="K7:K12" si="3">I7+1</f>
        <v>45105</v>
      </c>
      <c r="L7" s="45" t="b">
        <v>0</v>
      </c>
      <c r="M7" s="43">
        <f t="shared" ref="M7:M12" si="4">K7+1</f>
        <v>45106</v>
      </c>
      <c r="N7" s="45" t="b">
        <v>0</v>
      </c>
      <c r="O7" s="43">
        <f t="shared" ref="O7:O12" si="5">M7+1</f>
        <v>45107</v>
      </c>
      <c r="P7" s="45" t="b">
        <v>0</v>
      </c>
      <c r="Q7" s="43">
        <f t="shared" ref="Q7:Q12" si="6">O7+1</f>
        <v>45108</v>
      </c>
      <c r="R7" s="45" t="b">
        <v>0</v>
      </c>
      <c r="S7" s="46" t="s">
        <v>148</v>
      </c>
      <c r="W7" s="47"/>
    </row>
    <row r="8" spans="1:23" s="41" customFormat="1" ht="36" customHeight="1" x14ac:dyDescent="0.3">
      <c r="B8" s="41">
        <v>7</v>
      </c>
      <c r="C8" s="42" t="b">
        <f t="shared" si="0"/>
        <v>1</v>
      </c>
      <c r="E8" s="43">
        <f>Q7+1</f>
        <v>45109</v>
      </c>
      <c r="F8" s="48" t="b">
        <v>0</v>
      </c>
      <c r="G8" s="43">
        <f t="shared" si="1"/>
        <v>45110</v>
      </c>
      <c r="H8" s="49" t="b">
        <v>0</v>
      </c>
      <c r="I8" s="43">
        <f t="shared" si="2"/>
        <v>45111</v>
      </c>
      <c r="J8" s="49" t="b">
        <v>0</v>
      </c>
      <c r="K8" s="43">
        <f t="shared" si="3"/>
        <v>45112</v>
      </c>
      <c r="L8" s="49" t="b">
        <v>0</v>
      </c>
      <c r="M8" s="43">
        <f t="shared" si="4"/>
        <v>45113</v>
      </c>
      <c r="N8" s="49" t="b">
        <v>0</v>
      </c>
      <c r="O8" s="43">
        <f t="shared" si="5"/>
        <v>45114</v>
      </c>
      <c r="P8" s="49" t="b">
        <v>0</v>
      </c>
      <c r="Q8" s="43">
        <f t="shared" si="6"/>
        <v>45115</v>
      </c>
      <c r="R8" s="49" t="b">
        <v>0</v>
      </c>
      <c r="S8" s="46" t="s">
        <v>148</v>
      </c>
      <c r="W8" s="47"/>
    </row>
    <row r="9" spans="1:23" s="41" customFormat="1" ht="36" customHeight="1" x14ac:dyDescent="0.3">
      <c r="B9" s="41">
        <v>14</v>
      </c>
      <c r="C9" s="42" t="b">
        <f t="shared" si="0"/>
        <v>1</v>
      </c>
      <c r="E9" s="43">
        <f>Q8+1</f>
        <v>45116</v>
      </c>
      <c r="F9" s="48" t="b">
        <v>0</v>
      </c>
      <c r="G9" s="43">
        <f t="shared" si="1"/>
        <v>45117</v>
      </c>
      <c r="H9" s="49" t="b">
        <v>0</v>
      </c>
      <c r="I9" s="43">
        <f t="shared" si="2"/>
        <v>45118</v>
      </c>
      <c r="J9" s="49" t="b">
        <v>0</v>
      </c>
      <c r="K9" s="43">
        <f t="shared" si="3"/>
        <v>45119</v>
      </c>
      <c r="L9" s="49" t="b">
        <v>0</v>
      </c>
      <c r="M9" s="43">
        <f t="shared" si="4"/>
        <v>45120</v>
      </c>
      <c r="N9" s="49" t="b">
        <v>0</v>
      </c>
      <c r="O9" s="43">
        <f t="shared" si="5"/>
        <v>45121</v>
      </c>
      <c r="P9" s="49" t="b">
        <v>0</v>
      </c>
      <c r="Q9" s="43">
        <f t="shared" si="6"/>
        <v>45122</v>
      </c>
      <c r="R9" s="49" t="b">
        <v>0</v>
      </c>
      <c r="S9" s="46" t="s">
        <v>148</v>
      </c>
      <c r="W9" s="47"/>
    </row>
    <row r="10" spans="1:23" s="41" customFormat="1" ht="36" customHeight="1" x14ac:dyDescent="0.3">
      <c r="B10" s="41">
        <v>21</v>
      </c>
      <c r="C10" s="42" t="b">
        <f t="shared" si="0"/>
        <v>1</v>
      </c>
      <c r="E10" s="43">
        <f>Q9+1</f>
        <v>45123</v>
      </c>
      <c r="F10" s="48" t="b">
        <v>0</v>
      </c>
      <c r="G10" s="43">
        <f t="shared" si="1"/>
        <v>45124</v>
      </c>
      <c r="H10" s="49" t="b">
        <v>0</v>
      </c>
      <c r="I10" s="43">
        <f t="shared" si="2"/>
        <v>45125</v>
      </c>
      <c r="J10" s="49" t="b">
        <v>0</v>
      </c>
      <c r="K10" s="43">
        <f t="shared" si="3"/>
        <v>45126</v>
      </c>
      <c r="L10" s="49" t="b">
        <v>0</v>
      </c>
      <c r="M10" s="43">
        <f t="shared" si="4"/>
        <v>45127</v>
      </c>
      <c r="N10" s="49" t="b">
        <v>0</v>
      </c>
      <c r="O10" s="43">
        <f t="shared" si="5"/>
        <v>45128</v>
      </c>
      <c r="P10" s="49" t="b">
        <v>0</v>
      </c>
      <c r="Q10" s="43">
        <f t="shared" si="6"/>
        <v>45129</v>
      </c>
      <c r="R10" s="49" t="b">
        <v>0</v>
      </c>
      <c r="S10" s="46" t="s">
        <v>148</v>
      </c>
      <c r="W10" s="47"/>
    </row>
    <row r="11" spans="1:23" s="41" customFormat="1" ht="36" customHeight="1" x14ac:dyDescent="0.3">
      <c r="B11" s="41">
        <v>28</v>
      </c>
      <c r="C11" s="42" t="b">
        <f t="shared" si="0"/>
        <v>1</v>
      </c>
      <c r="E11" s="43">
        <f>Q10+1</f>
        <v>45130</v>
      </c>
      <c r="F11" s="48" t="b">
        <v>0</v>
      </c>
      <c r="G11" s="43">
        <f t="shared" si="1"/>
        <v>45131</v>
      </c>
      <c r="H11" s="49" t="b">
        <v>0</v>
      </c>
      <c r="I11" s="43">
        <f t="shared" si="2"/>
        <v>45132</v>
      </c>
      <c r="J11" s="49" t="b">
        <v>0</v>
      </c>
      <c r="K11" s="43">
        <f t="shared" si="3"/>
        <v>45133</v>
      </c>
      <c r="L11" s="49" t="b">
        <v>0</v>
      </c>
      <c r="M11" s="43">
        <f t="shared" si="4"/>
        <v>45134</v>
      </c>
      <c r="N11" s="49" t="b">
        <v>0</v>
      </c>
      <c r="O11" s="43">
        <f t="shared" si="5"/>
        <v>45135</v>
      </c>
      <c r="P11" s="49" t="b">
        <v>0</v>
      </c>
      <c r="Q11" s="43">
        <f t="shared" si="6"/>
        <v>45136</v>
      </c>
      <c r="R11" s="49" t="b">
        <v>0</v>
      </c>
      <c r="S11" s="46" t="s">
        <v>148</v>
      </c>
      <c r="W11" s="47"/>
    </row>
    <row r="12" spans="1:23" ht="36" customHeight="1" x14ac:dyDescent="0.3">
      <c r="B12" s="41">
        <v>35</v>
      </c>
      <c r="C12" s="42" t="b">
        <f t="shared" si="0"/>
        <v>1</v>
      </c>
      <c r="E12" s="43">
        <f>Q11+1</f>
        <v>45137</v>
      </c>
      <c r="F12" s="48" t="b">
        <v>0</v>
      </c>
      <c r="G12" s="43">
        <f t="shared" si="1"/>
        <v>45138</v>
      </c>
      <c r="H12" s="49" t="b">
        <v>0</v>
      </c>
      <c r="I12" s="43">
        <f t="shared" si="2"/>
        <v>45139</v>
      </c>
      <c r="J12" s="49" t="b">
        <v>0</v>
      </c>
      <c r="K12" s="43">
        <f t="shared" si="3"/>
        <v>45140</v>
      </c>
      <c r="L12" s="49" t="b">
        <v>0</v>
      </c>
      <c r="M12" s="43">
        <f t="shared" si="4"/>
        <v>45141</v>
      </c>
      <c r="N12" s="49" t="b">
        <v>0</v>
      </c>
      <c r="O12" s="43">
        <f t="shared" si="5"/>
        <v>45142</v>
      </c>
      <c r="P12" s="49" t="b">
        <v>0</v>
      </c>
      <c r="Q12" s="43">
        <f t="shared" si="6"/>
        <v>45143</v>
      </c>
      <c r="R12" s="49" t="b">
        <v>0</v>
      </c>
      <c r="S12" s="46" t="s">
        <v>148</v>
      </c>
      <c r="W12" s="40"/>
    </row>
    <row r="13" spans="1:23" x14ac:dyDescent="0.3">
      <c r="W13" s="40"/>
    </row>
    <row r="14" spans="1:23" x14ac:dyDescent="0.3">
      <c r="E14" s="27"/>
      <c r="G14" s="27"/>
      <c r="I14" s="27"/>
      <c r="K14" s="27"/>
      <c r="M14" s="27"/>
      <c r="O14" s="27"/>
      <c r="Q14" s="27"/>
      <c r="W14" s="40"/>
    </row>
    <row r="15" spans="1:23" x14ac:dyDescent="0.3">
      <c r="W15" s="40"/>
    </row>
    <row r="16" spans="1:23" x14ac:dyDescent="0.3">
      <c r="W16" s="40"/>
    </row>
    <row r="17" spans="23:23" x14ac:dyDescent="0.3">
      <c r="W17" s="40"/>
    </row>
    <row r="18" spans="23:23" x14ac:dyDescent="0.3">
      <c r="W18" s="40"/>
    </row>
    <row r="19" spans="23:23" x14ac:dyDescent="0.3">
      <c r="W19" s="40"/>
    </row>
    <row r="20" spans="23:23" x14ac:dyDescent="0.3">
      <c r="W20" s="40"/>
    </row>
    <row r="21" spans="23:23" x14ac:dyDescent="0.3">
      <c r="W21" s="40"/>
    </row>
    <row r="22" spans="23:23" x14ac:dyDescent="0.3">
      <c r="W22" s="40"/>
    </row>
    <row r="23" spans="23:23" x14ac:dyDescent="0.3">
      <c r="W23" s="40"/>
    </row>
    <row r="24" spans="23:23" x14ac:dyDescent="0.3">
      <c r="W24" s="40"/>
    </row>
    <row r="25" spans="23:23" x14ac:dyDescent="0.3">
      <c r="W25" s="40"/>
    </row>
    <row r="26" spans="23:23" x14ac:dyDescent="0.3">
      <c r="W26" s="40"/>
    </row>
    <row r="27" spans="23:23" x14ac:dyDescent="0.3">
      <c r="W27" s="40"/>
    </row>
    <row r="28" spans="23:23" x14ac:dyDescent="0.3">
      <c r="W28" s="40"/>
    </row>
  </sheetData>
  <mergeCells count="8">
    <mergeCell ref="M5:R5"/>
    <mergeCell ref="E6:F6"/>
    <mergeCell ref="G6:H6"/>
    <mergeCell ref="I6:J6"/>
    <mergeCell ref="K6:L6"/>
    <mergeCell ref="M6:N6"/>
    <mergeCell ref="O6:P6"/>
    <mergeCell ref="Q6:R6"/>
  </mergeCells>
  <conditionalFormatting sqref="E7:R12">
    <cfRule type="expression" dxfId="5" priority="3">
      <formula>COUNTIF($F7:$R7,FALSE)=0</formula>
    </cfRule>
    <cfRule type="expression" dxfId="4" priority="5">
      <formula>F7=TRUE</formula>
    </cfRule>
  </conditionalFormatting>
  <conditionalFormatting sqref="E7:S12">
    <cfRule type="expression" dxfId="3" priority="1">
      <formula>$C7=FALSE</formula>
    </cfRule>
  </conditionalFormatting>
  <conditionalFormatting sqref="F7:R12">
    <cfRule type="cellIs" dxfId="2" priority="4" operator="equal">
      <formula>TRUE</formula>
    </cfRule>
  </conditionalFormatting>
  <conditionalFormatting sqref="S7:S12">
    <cfRule type="expression" dxfId="1" priority="2">
      <formula>COUNTIF($F7:$R7,FALSE)=0</formula>
    </cfRule>
  </conditionalFormatting>
  <hyperlinks>
    <hyperlink ref="T5" location="Reset!rngReset" tooltip="Press Space Bar to Check/Uncheck All" display="Reset Calendar" xr:uid="{88CA4ACE-C03B-4F90-828D-9ECEFEF3043B}"/>
    <hyperlink ref="A1" location="'TOC Gallery'!A1" tooltip="Go To Table of Contents" display="'TOC Gallery'!A1" xr:uid="{88D75928-C230-4D31-925D-A2864776F4EF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r:id="rId3" name="Spinner 1">
              <controlPr defaultSize="0" autoPict="0">
                <anchor moveWithCells="1" sizeWithCells="1">
                  <from>
                    <xdr:col>18</xdr:col>
                    <xdr:colOff>30480</xdr:colOff>
                    <xdr:row>4</xdr:row>
                    <xdr:rowOff>144780</xdr:rowOff>
                  </from>
                  <to>
                    <xdr:col>18</xdr:col>
                    <xdr:colOff>182880</xdr:colOff>
                    <xdr:row>4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81DC-D34D-40C2-9B54-0D51B4DC9F4D}">
  <dimension ref="A1:D19"/>
  <sheetViews>
    <sheetView showGridLines="0" workbookViewId="0"/>
  </sheetViews>
  <sheetFormatPr defaultRowHeight="14.4" x14ac:dyDescent="0.3"/>
  <cols>
    <col min="1" max="1" width="3.5546875" customWidth="1"/>
    <col min="2" max="2" width="4.33203125" customWidth="1"/>
    <col min="3" max="3" width="11.6640625" customWidth="1"/>
  </cols>
  <sheetData>
    <row r="1" spans="1:4" s="73" customFormat="1" ht="30" customHeight="1" x14ac:dyDescent="0.4">
      <c r="A1" s="105">
        <v>3</v>
      </c>
      <c r="B1" s="73" t="s">
        <v>1130</v>
      </c>
    </row>
    <row r="4" spans="1:4" ht="18" customHeight="1" thickBot="1" x14ac:dyDescent="0.35">
      <c r="B4" s="87"/>
      <c r="C4" s="88" t="s">
        <v>2</v>
      </c>
      <c r="D4" s="88" t="s">
        <v>1131</v>
      </c>
    </row>
    <row r="5" spans="1:4" ht="18" customHeight="1" x14ac:dyDescent="0.3">
      <c r="B5" s="85" t="b">
        <v>0</v>
      </c>
      <c r="C5" s="86" t="s">
        <v>56</v>
      </c>
      <c r="D5" s="86" t="s">
        <v>1133</v>
      </c>
    </row>
    <row r="6" spans="1:4" ht="18" customHeight="1" x14ac:dyDescent="0.3">
      <c r="B6" s="83" t="b">
        <v>0</v>
      </c>
      <c r="C6" s="84" t="s">
        <v>57</v>
      </c>
      <c r="D6" s="84" t="s">
        <v>1134</v>
      </c>
    </row>
    <row r="7" spans="1:4" ht="18" customHeight="1" x14ac:dyDescent="0.3">
      <c r="B7" s="83" t="b">
        <v>0</v>
      </c>
      <c r="C7" s="84" t="s">
        <v>58</v>
      </c>
      <c r="D7" s="84" t="s">
        <v>1135</v>
      </c>
    </row>
    <row r="8" spans="1:4" ht="18" customHeight="1" x14ac:dyDescent="0.3">
      <c r="B8" s="83" t="b">
        <v>0</v>
      </c>
      <c r="C8" s="84" t="s">
        <v>59</v>
      </c>
      <c r="D8" s="84" t="s">
        <v>1136</v>
      </c>
    </row>
    <row r="9" spans="1:4" ht="18" customHeight="1" x14ac:dyDescent="0.3">
      <c r="B9" s="83" t="b">
        <v>0</v>
      </c>
      <c r="C9" s="84" t="s">
        <v>60</v>
      </c>
      <c r="D9" s="84" t="s">
        <v>1137</v>
      </c>
    </row>
    <row r="10" spans="1:4" ht="18" customHeight="1" x14ac:dyDescent="0.3">
      <c r="B10" s="83" t="b">
        <v>0</v>
      </c>
      <c r="C10" s="84" t="s">
        <v>61</v>
      </c>
      <c r="D10" s="84" t="s">
        <v>1138</v>
      </c>
    </row>
    <row r="11" spans="1:4" ht="18" customHeight="1" x14ac:dyDescent="0.3">
      <c r="B11" s="83" t="b">
        <v>0</v>
      </c>
      <c r="C11" s="84" t="s">
        <v>62</v>
      </c>
      <c r="D11" s="84" t="s">
        <v>1139</v>
      </c>
    </row>
    <row r="12" spans="1:4" ht="18" customHeight="1" x14ac:dyDescent="0.3">
      <c r="B12" s="83" t="b">
        <v>0</v>
      </c>
      <c r="C12" s="84" t="s">
        <v>63</v>
      </c>
      <c r="D12" s="84" t="s">
        <v>1140</v>
      </c>
    </row>
    <row r="13" spans="1:4" ht="18" customHeight="1" x14ac:dyDescent="0.3">
      <c r="B13" s="83" t="b">
        <v>0</v>
      </c>
      <c r="C13" s="84" t="s">
        <v>64</v>
      </c>
      <c r="D13" s="84" t="s">
        <v>1132</v>
      </c>
    </row>
    <row r="14" spans="1:4" ht="18" customHeight="1" x14ac:dyDescent="0.3">
      <c r="B14" s="83" t="b">
        <v>0</v>
      </c>
      <c r="C14" s="84" t="s">
        <v>65</v>
      </c>
      <c r="D14" s="84" t="s">
        <v>1141</v>
      </c>
    </row>
    <row r="15" spans="1:4" ht="18" customHeight="1" x14ac:dyDescent="0.3">
      <c r="B15" s="83" t="b">
        <v>0</v>
      </c>
      <c r="C15" s="84" t="s">
        <v>66</v>
      </c>
      <c r="D15" s="84" t="s">
        <v>1142</v>
      </c>
    </row>
    <row r="16" spans="1:4" ht="18" customHeight="1" x14ac:dyDescent="0.3">
      <c r="B16" s="83" t="b">
        <v>0</v>
      </c>
      <c r="C16" s="84" t="s">
        <v>67</v>
      </c>
      <c r="D16" s="84" t="s">
        <v>1143</v>
      </c>
    </row>
    <row r="17" spans="2:4" ht="18" customHeight="1" x14ac:dyDescent="0.3">
      <c r="B17" s="83" t="b">
        <v>0</v>
      </c>
      <c r="C17" s="84" t="s">
        <v>68</v>
      </c>
      <c r="D17" s="84" t="s">
        <v>1144</v>
      </c>
    </row>
    <row r="18" spans="2:4" ht="18" customHeight="1" x14ac:dyDescent="0.3">
      <c r="B18" s="83" t="b">
        <v>0</v>
      </c>
      <c r="C18" s="84" t="s">
        <v>70</v>
      </c>
      <c r="D18" s="84" t="s">
        <v>1145</v>
      </c>
    </row>
    <row r="19" spans="2:4" ht="18" customHeight="1" x14ac:dyDescent="0.3">
      <c r="B19" s="83" t="b">
        <v>0</v>
      </c>
      <c r="C19" s="84" t="s">
        <v>71</v>
      </c>
      <c r="D19" s="84" t="s">
        <v>1146</v>
      </c>
    </row>
  </sheetData>
  <hyperlinks>
    <hyperlink ref="A1" location="'TOC Gallery'!A1" tooltip="Go To Table of Contents" display="'TOC Gallery'!A1" xr:uid="{1A2A66F5-51EF-4B40-892C-0B123ED7778C}"/>
  </hyperlink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F56A-0508-4D92-8FB3-4CD4CEB2402B}">
  <sheetPr codeName="Sheet1"/>
  <dimension ref="A1:P17"/>
  <sheetViews>
    <sheetView showGridLines="0" workbookViewId="0"/>
  </sheetViews>
  <sheetFormatPr defaultRowHeight="14.4" x14ac:dyDescent="0.3"/>
  <cols>
    <col min="1" max="1" width="3.5546875" customWidth="1"/>
    <col min="2" max="2" width="14.109375" customWidth="1"/>
    <col min="3" max="3" width="2.5546875" customWidth="1"/>
    <col min="13" max="13" width="9.5546875" bestFit="1" customWidth="1"/>
    <col min="14" max="16" width="12.5546875" customWidth="1"/>
    <col min="27" max="29" width="11.5546875" bestFit="1" customWidth="1"/>
    <col min="31" max="31" width="8.88671875" customWidth="1"/>
    <col min="32" max="32" width="11.6640625" customWidth="1"/>
  </cols>
  <sheetData>
    <row r="1" spans="1:16" s="73" customFormat="1" ht="30" customHeight="1" x14ac:dyDescent="0.4">
      <c r="A1" s="105">
        <v>3</v>
      </c>
      <c r="B1" s="73" t="s">
        <v>493</v>
      </c>
    </row>
    <row r="4" spans="1:16" x14ac:dyDescent="0.3">
      <c r="B4" s="20" t="s">
        <v>139</v>
      </c>
      <c r="C4" s="32" t="b">
        <v>1</v>
      </c>
      <c r="M4" s="95" t="s">
        <v>540</v>
      </c>
      <c r="N4" s="94" t="b">
        <v>1</v>
      </c>
    </row>
    <row r="5" spans="1:16" x14ac:dyDescent="0.3">
      <c r="M5" s="19" t="s">
        <v>83</v>
      </c>
      <c r="N5" s="19" t="s">
        <v>84</v>
      </c>
      <c r="O5" s="19" t="str">
        <f>IF($C$4,P5,"")</f>
        <v>Budget</v>
      </c>
      <c r="P5" s="19" t="s">
        <v>4</v>
      </c>
    </row>
    <row r="6" spans="1:16" x14ac:dyDescent="0.3">
      <c r="M6" t="s">
        <v>85</v>
      </c>
      <c r="N6" s="14">
        <v>1616737</v>
      </c>
      <c r="O6" s="14">
        <f>IF($C$4,P6,NA())</f>
        <v>1892000</v>
      </c>
      <c r="P6" s="14">
        <v>1892000</v>
      </c>
    </row>
    <row r="7" spans="1:16" x14ac:dyDescent="0.3">
      <c r="M7" t="s">
        <v>86</v>
      </c>
      <c r="N7" s="14">
        <v>2130113</v>
      </c>
      <c r="O7" s="14">
        <f t="shared" ref="O7:O17" si="0">IF($C$4,P7,NA())</f>
        <v>2135000</v>
      </c>
      <c r="P7" s="14">
        <v>2135000</v>
      </c>
    </row>
    <row r="8" spans="1:16" x14ac:dyDescent="0.3">
      <c r="M8" t="s">
        <v>87</v>
      </c>
      <c r="N8" s="14">
        <v>1741636</v>
      </c>
      <c r="O8" s="14">
        <f t="shared" si="0"/>
        <v>1446000</v>
      </c>
      <c r="P8" s="14">
        <v>1446000</v>
      </c>
    </row>
    <row r="9" spans="1:16" x14ac:dyDescent="0.3">
      <c r="M9" t="s">
        <v>88</v>
      </c>
      <c r="N9" s="14">
        <v>2247601</v>
      </c>
      <c r="O9" s="14">
        <f t="shared" si="0"/>
        <v>2360000</v>
      </c>
      <c r="P9" s="14">
        <v>2360000</v>
      </c>
    </row>
    <row r="10" spans="1:16" x14ac:dyDescent="0.3">
      <c r="M10" t="s">
        <v>89</v>
      </c>
      <c r="N10" s="14">
        <v>1205465</v>
      </c>
      <c r="O10" s="14">
        <f t="shared" si="0"/>
        <v>1350000</v>
      </c>
      <c r="P10" s="14">
        <v>1350000</v>
      </c>
    </row>
    <row r="11" spans="1:16" x14ac:dyDescent="0.3">
      <c r="M11" t="s">
        <v>90</v>
      </c>
      <c r="N11" s="14">
        <v>1315492</v>
      </c>
      <c r="O11" s="14">
        <f t="shared" si="0"/>
        <v>1066000</v>
      </c>
      <c r="P11" s="14">
        <v>1066000</v>
      </c>
    </row>
    <row r="12" spans="1:16" x14ac:dyDescent="0.3">
      <c r="M12" t="s">
        <v>91</v>
      </c>
      <c r="N12" s="14">
        <v>2334039</v>
      </c>
      <c r="O12" s="14">
        <f t="shared" si="0"/>
        <v>2241000</v>
      </c>
      <c r="P12" s="14">
        <v>2241000</v>
      </c>
    </row>
    <row r="13" spans="1:16" x14ac:dyDescent="0.3">
      <c r="M13" t="s">
        <v>92</v>
      </c>
      <c r="N13" s="14">
        <v>1248364</v>
      </c>
      <c r="O13" s="14">
        <f t="shared" si="0"/>
        <v>1124000</v>
      </c>
      <c r="P13" s="14">
        <v>1124000</v>
      </c>
    </row>
    <row r="14" spans="1:16" x14ac:dyDescent="0.3">
      <c r="M14" t="s">
        <v>93</v>
      </c>
      <c r="N14" s="14">
        <v>1147287</v>
      </c>
      <c r="O14" s="14">
        <f t="shared" si="0"/>
        <v>1354000</v>
      </c>
      <c r="P14" s="14">
        <v>1354000</v>
      </c>
    </row>
    <row r="15" spans="1:16" x14ac:dyDescent="0.3">
      <c r="M15" t="s">
        <v>94</v>
      </c>
      <c r="N15" s="14">
        <v>2235615</v>
      </c>
      <c r="O15" s="14">
        <f t="shared" si="0"/>
        <v>1990000</v>
      </c>
      <c r="P15" s="14">
        <v>1990000</v>
      </c>
    </row>
    <row r="16" spans="1:16" x14ac:dyDescent="0.3">
      <c r="M16" t="s">
        <v>95</v>
      </c>
      <c r="N16" s="14">
        <v>1843416</v>
      </c>
      <c r="O16" s="14">
        <f t="shared" si="0"/>
        <v>2175000</v>
      </c>
      <c r="P16" s="14">
        <v>2175000</v>
      </c>
    </row>
    <row r="17" spans="13:16" x14ac:dyDescent="0.3">
      <c r="M17" t="s">
        <v>96</v>
      </c>
      <c r="N17" s="14">
        <v>1118629</v>
      </c>
      <c r="O17" s="14">
        <f t="shared" si="0"/>
        <v>973000</v>
      </c>
      <c r="P17" s="14">
        <v>973000</v>
      </c>
    </row>
  </sheetData>
  <phoneticPr fontId="7" type="noConversion"/>
  <conditionalFormatting sqref="M5:P17">
    <cfRule type="expression" dxfId="0" priority="10">
      <formula>$N$4=FALSE</formula>
    </cfRule>
  </conditionalFormatting>
  <hyperlinks>
    <hyperlink ref="A1" location="'TOC Gallery'!A1" tooltip="Go To Table of Contents" display="'TOC Gallery'!A1" xr:uid="{D52D7EDD-6D66-448F-986E-8086C0889E4F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FB91-7BBC-49FA-A50E-D2F0873992F7}">
  <sheetPr>
    <tabColor theme="4"/>
  </sheetPr>
  <dimension ref="A3:B7"/>
  <sheetViews>
    <sheetView showGridLines="0" workbookViewId="0">
      <selection activeCell="M3" sqref="M3"/>
    </sheetView>
  </sheetViews>
  <sheetFormatPr defaultRowHeight="14.4" x14ac:dyDescent="0.3"/>
  <cols>
    <col min="1" max="1" width="13.44140625" bestFit="1" customWidth="1"/>
    <col min="2" max="2" width="21.6640625" bestFit="1" customWidth="1"/>
  </cols>
  <sheetData>
    <row r="3" spans="1:2" x14ac:dyDescent="0.3">
      <c r="A3" s="62" t="s">
        <v>1072</v>
      </c>
      <c r="B3" t="s">
        <v>1074</v>
      </c>
    </row>
    <row r="4" spans="1:2" x14ac:dyDescent="0.3">
      <c r="A4" s="33" t="s">
        <v>1043</v>
      </c>
      <c r="B4" s="63">
        <v>60812.710000000014</v>
      </c>
    </row>
    <row r="5" spans="1:2" x14ac:dyDescent="0.3">
      <c r="A5" s="33" t="s">
        <v>1040</v>
      </c>
      <c r="B5" s="63">
        <v>40949.244999999995</v>
      </c>
    </row>
    <row r="6" spans="1:2" x14ac:dyDescent="0.3">
      <c r="A6" s="33" t="s">
        <v>1046</v>
      </c>
      <c r="B6" s="63">
        <v>96438.091000000015</v>
      </c>
    </row>
    <row r="7" spans="1:2" x14ac:dyDescent="0.3">
      <c r="A7" s="33" t="s">
        <v>1073</v>
      </c>
      <c r="B7" s="63">
        <v>198200.04600000003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0210-EC1A-4FDC-A3C5-D98FD18383D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TOC Gallery</vt:lpstr>
      <vt:lpstr>Simple List</vt:lpstr>
      <vt:lpstr>CF</vt:lpstr>
      <vt:lpstr>IF</vt:lpstr>
      <vt:lpstr>IF + CF</vt:lpstr>
      <vt:lpstr>Compare Rows</vt:lpstr>
      <vt:lpstr>CF Other Cells</vt:lpstr>
      <vt:lpstr>Advanced CF</vt:lpstr>
      <vt:lpstr>Inv Details</vt:lpstr>
      <vt:lpstr>Inv Details (2)</vt:lpstr>
      <vt:lpstr>Inv Details (3)</vt:lpstr>
      <vt:lpstr>Sales Data</vt:lpstr>
      <vt:lpstr>Call Details</vt:lpstr>
      <vt:lpstr>Customer List</vt:lpstr>
      <vt:lpstr>Chart Data</vt:lpstr>
      <vt:lpstr>Count</vt:lpstr>
      <vt:lpstr>Attendance</vt:lpstr>
      <vt:lpstr>Progress Bars</vt:lpstr>
      <vt:lpstr>Tables</vt:lpstr>
      <vt:lpstr>Reveal</vt:lpstr>
      <vt:lpstr>Invisible</vt:lpstr>
      <vt:lpstr>Calendar</vt:lpstr>
      <vt:lpstr>Interactive Cal</vt:lpstr>
      <vt:lpstr>Reset</vt:lpstr>
      <vt:lpstr>Select All</vt:lpstr>
      <vt:lpstr>Toggle Chart</vt:lpstr>
      <vt:lpstr>Pivot Chart</vt:lpstr>
      <vt:lpstr>Resources</vt:lpstr>
      <vt:lpstr>Reset!rngReset</vt:lpstr>
      <vt:lpstr>'Select All'!rngSelectAll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Acampora</dc:creator>
  <cp:lastModifiedBy>Ananda Ranganathan Harikrishnan</cp:lastModifiedBy>
  <dcterms:created xsi:type="dcterms:W3CDTF">2023-10-03T21:31:16Z</dcterms:created>
  <dcterms:modified xsi:type="dcterms:W3CDTF">2025-05-13T15:59:34Z</dcterms:modified>
</cp:coreProperties>
</file>